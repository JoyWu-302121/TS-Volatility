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chien2\Desktop\"/>
    </mc:Choice>
  </mc:AlternateContent>
  <xr:revisionPtr revIDLastSave="0" documentId="8_{4F31C7D5-EBF4-4097-A090-38B1239FECFA}" xr6:coauthVersionLast="47" xr6:coauthVersionMax="47" xr10:uidLastSave="{00000000-0000-0000-0000-000000000000}"/>
  <bookViews>
    <workbookView xWindow="-120" yWindow="-120" windowWidth="57840" windowHeight="23520" activeTab="4" xr2:uid="{D2C48FF2-D2F0-4DA3-8DB1-A0355C9C1F35}"/>
  </bookViews>
  <sheets>
    <sheet name="ExpiryTable" sheetId="1" r:id="rId1"/>
    <sheet name="Call" sheetId="2" r:id="rId2"/>
    <sheet name="Put" sheetId="3" r:id="rId3"/>
    <sheet name="IV" sheetId="5" r:id="rId4"/>
    <sheet name="Straddle" sheetId="4" r:id="rId5"/>
    <sheet name="Delta_interpolation" sheetId="6" r:id="rId6"/>
    <sheet name="Delta_Trading" sheetId="7" r:id="rId7"/>
    <sheet name="Pnl_interpolation" sheetId="8" r:id="rId8"/>
    <sheet name="Pnl_Trading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4" l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3" i="4"/>
  <c r="O4" i="9"/>
  <c r="O5" i="9" s="1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O26" i="9" s="1"/>
  <c r="O27" i="9" s="1"/>
  <c r="O28" i="9" s="1"/>
  <c r="O29" i="9" s="1"/>
  <c r="O30" i="9" s="1"/>
  <c r="O31" i="9" s="1"/>
  <c r="O32" i="9" s="1"/>
  <c r="O33" i="9" s="1"/>
  <c r="O34" i="9" s="1"/>
  <c r="O35" i="9" s="1"/>
  <c r="O36" i="9" s="1"/>
  <c r="O37" i="9" s="1"/>
  <c r="O38" i="9" s="1"/>
  <c r="O39" i="9" s="1"/>
  <c r="O40" i="9" s="1"/>
  <c r="O41" i="9" s="1"/>
  <c r="O42" i="9" s="1"/>
  <c r="O43" i="9" s="1"/>
  <c r="O44" i="9" s="1"/>
  <c r="O45" i="9" s="1"/>
  <c r="O46" i="9" s="1"/>
  <c r="O47" i="9" s="1"/>
  <c r="O48" i="9" s="1"/>
  <c r="O49" i="9" s="1"/>
  <c r="O50" i="9" s="1"/>
  <c r="O51" i="9" s="1"/>
  <c r="O52" i="9" s="1"/>
  <c r="O53" i="9" s="1"/>
  <c r="O54" i="9" s="1"/>
  <c r="O55" i="9" s="1"/>
  <c r="O56" i="9" s="1"/>
  <c r="O57" i="9" s="1"/>
  <c r="O58" i="9" s="1"/>
  <c r="O59" i="9" s="1"/>
  <c r="O60" i="9" s="1"/>
  <c r="O61" i="9" s="1"/>
  <c r="O62" i="9" s="1"/>
  <c r="O63" i="9" s="1"/>
  <c r="O64" i="9" s="1"/>
  <c r="O65" i="9" s="1"/>
  <c r="O66" i="9" s="1"/>
  <c r="O67" i="9" s="1"/>
  <c r="O68" i="9" s="1"/>
  <c r="O69" i="9" s="1"/>
  <c r="O70" i="9" s="1"/>
  <c r="O71" i="9" s="1"/>
  <c r="O72" i="9" s="1"/>
  <c r="O73" i="9" s="1"/>
  <c r="O74" i="9" s="1"/>
  <c r="O75" i="9" s="1"/>
  <c r="O76" i="9" s="1"/>
  <c r="O77" i="9" s="1"/>
  <c r="O78" i="9" s="1"/>
  <c r="O79" i="9" s="1"/>
  <c r="O80" i="9" s="1"/>
  <c r="O81" i="9" s="1"/>
  <c r="O82" i="9" s="1"/>
  <c r="O83" i="9" s="1"/>
  <c r="O84" i="9" s="1"/>
  <c r="O85" i="9" s="1"/>
  <c r="O86" i="9" s="1"/>
  <c r="O87" i="9" s="1"/>
  <c r="O88" i="9" s="1"/>
  <c r="O89" i="9" s="1"/>
  <c r="O90" i="9" s="1"/>
  <c r="O91" i="9" s="1"/>
  <c r="O92" i="9" s="1"/>
  <c r="O93" i="9" s="1"/>
  <c r="O94" i="9" s="1"/>
  <c r="O95" i="9" s="1"/>
  <c r="O96" i="9" s="1"/>
  <c r="O97" i="9" s="1"/>
  <c r="O98" i="9" s="1"/>
  <c r="O99" i="9" s="1"/>
  <c r="O100" i="9" s="1"/>
  <c r="O101" i="9" s="1"/>
  <c r="O102" i="9" s="1"/>
  <c r="O103" i="9" s="1"/>
  <c r="O104" i="9" s="1"/>
  <c r="O105" i="9" s="1"/>
  <c r="O106" i="9" s="1"/>
  <c r="O107" i="9" s="1"/>
  <c r="O108" i="9" s="1"/>
  <c r="O109" i="9" s="1"/>
  <c r="O110" i="9" s="1"/>
  <c r="O111" i="9" s="1"/>
  <c r="O112" i="9" s="1"/>
  <c r="O113" i="9" s="1"/>
  <c r="O114" i="9" s="1"/>
  <c r="O115" i="9" s="1"/>
  <c r="O116" i="9" s="1"/>
  <c r="O117" i="9" s="1"/>
  <c r="O118" i="9" s="1"/>
  <c r="O119" i="9" s="1"/>
  <c r="O120" i="9" s="1"/>
  <c r="O121" i="9" s="1"/>
  <c r="O122" i="9" s="1"/>
  <c r="O123" i="9" s="1"/>
  <c r="O124" i="9" s="1"/>
  <c r="O125" i="9" s="1"/>
  <c r="O126" i="9" s="1"/>
  <c r="O127" i="9" s="1"/>
  <c r="O128" i="9" s="1"/>
  <c r="O129" i="9" s="1"/>
  <c r="O130" i="9" s="1"/>
  <c r="O131" i="9" s="1"/>
  <c r="O132" i="9" s="1"/>
  <c r="O133" i="9" s="1"/>
  <c r="O134" i="9" s="1"/>
  <c r="O135" i="9" s="1"/>
  <c r="O136" i="9" s="1"/>
  <c r="O137" i="9" s="1"/>
  <c r="O138" i="9" s="1"/>
  <c r="O139" i="9" s="1"/>
  <c r="O140" i="9" s="1"/>
  <c r="O141" i="9" s="1"/>
  <c r="O142" i="9" s="1"/>
  <c r="O143" i="9" s="1"/>
  <c r="O144" i="9" s="1"/>
  <c r="O145" i="9" s="1"/>
  <c r="O146" i="9" s="1"/>
  <c r="O147" i="9" s="1"/>
  <c r="O148" i="9" s="1"/>
  <c r="O149" i="9" s="1"/>
  <c r="O150" i="9" s="1"/>
  <c r="O151" i="9" s="1"/>
  <c r="O152" i="9" s="1"/>
  <c r="O153" i="9" s="1"/>
  <c r="O154" i="9" s="1"/>
  <c r="O155" i="9" s="1"/>
  <c r="O156" i="9" s="1"/>
  <c r="O157" i="9" s="1"/>
  <c r="O158" i="9" s="1"/>
  <c r="O159" i="9" s="1"/>
  <c r="O160" i="9" s="1"/>
  <c r="O161" i="9" s="1"/>
  <c r="O162" i="9" s="1"/>
  <c r="O163" i="9" s="1"/>
  <c r="O164" i="9" s="1"/>
  <c r="O165" i="9" s="1"/>
  <c r="O166" i="9" s="1"/>
  <c r="O167" i="9" s="1"/>
  <c r="O168" i="9" s="1"/>
  <c r="O169" i="9" s="1"/>
  <c r="O170" i="9" s="1"/>
  <c r="O171" i="9" s="1"/>
  <c r="O172" i="9" s="1"/>
  <c r="O173" i="9" s="1"/>
  <c r="O174" i="9" s="1"/>
  <c r="O175" i="9" s="1"/>
  <c r="O176" i="9" s="1"/>
  <c r="O177" i="9" s="1"/>
  <c r="O178" i="9" s="1"/>
  <c r="O179" i="9" s="1"/>
  <c r="O180" i="9" s="1"/>
  <c r="O181" i="9" s="1"/>
  <c r="O182" i="9" s="1"/>
  <c r="O183" i="9" s="1"/>
  <c r="O184" i="9" s="1"/>
  <c r="O185" i="9" s="1"/>
  <c r="O186" i="9" s="1"/>
  <c r="O187" i="9" s="1"/>
  <c r="O188" i="9" s="1"/>
  <c r="O189" i="9" s="1"/>
  <c r="O190" i="9" s="1"/>
  <c r="O191" i="9" s="1"/>
  <c r="O192" i="9" s="1"/>
  <c r="O193" i="9" s="1"/>
  <c r="O194" i="9" s="1"/>
  <c r="O195" i="9" s="1"/>
  <c r="O196" i="9" s="1"/>
  <c r="O197" i="9" s="1"/>
  <c r="O198" i="9" s="1"/>
  <c r="O199" i="9" s="1"/>
  <c r="O200" i="9" s="1"/>
  <c r="O201" i="9" s="1"/>
  <c r="O202" i="9" s="1"/>
  <c r="O203" i="9" s="1"/>
  <c r="O204" i="9" s="1"/>
  <c r="O205" i="9" s="1"/>
  <c r="O206" i="9" s="1"/>
  <c r="O207" i="9" s="1"/>
  <c r="O208" i="9" s="1"/>
  <c r="O209" i="9" s="1"/>
  <c r="O210" i="9" s="1"/>
  <c r="O211" i="9" s="1"/>
  <c r="O212" i="9" s="1"/>
  <c r="O213" i="9" s="1"/>
  <c r="O214" i="9" s="1"/>
  <c r="O215" i="9" s="1"/>
  <c r="O216" i="9" s="1"/>
  <c r="O217" i="9" s="1"/>
  <c r="O218" i="9" s="1"/>
  <c r="O219" i="9" s="1"/>
  <c r="O220" i="9" s="1"/>
  <c r="O221" i="9" s="1"/>
  <c r="O222" i="9" s="1"/>
  <c r="O223" i="9" s="1"/>
  <c r="O224" i="9" s="1"/>
  <c r="O225" i="9" s="1"/>
  <c r="O226" i="9" s="1"/>
  <c r="O227" i="9" s="1"/>
  <c r="O228" i="9" s="1"/>
  <c r="O229" i="9" s="1"/>
  <c r="O230" i="9" s="1"/>
  <c r="O231" i="9" s="1"/>
  <c r="O232" i="9" s="1"/>
  <c r="O233" i="9" s="1"/>
  <c r="O234" i="9" s="1"/>
  <c r="O235" i="9" s="1"/>
  <c r="O236" i="9" s="1"/>
  <c r="O237" i="9" s="1"/>
  <c r="O238" i="9" s="1"/>
  <c r="O239" i="9" s="1"/>
  <c r="O240" i="9" s="1"/>
  <c r="O241" i="9" s="1"/>
  <c r="O242" i="9" s="1"/>
  <c r="O243" i="9" s="1"/>
  <c r="O244" i="9" s="1"/>
  <c r="O245" i="9" s="1"/>
  <c r="O246" i="9" s="1"/>
  <c r="O247" i="9" s="1"/>
  <c r="O248" i="9" s="1"/>
  <c r="O249" i="9" s="1"/>
  <c r="O250" i="9" s="1"/>
  <c r="O251" i="9" s="1"/>
  <c r="O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3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" i="9"/>
  <c r="M3" i="4"/>
  <c r="M4" i="4" s="1"/>
  <c r="M5" i="4" s="1"/>
  <c r="M6" i="4" s="1"/>
  <c r="M7" i="4" s="1"/>
  <c r="M8" i="4" s="1"/>
  <c r="M9" i="4" s="1"/>
  <c r="M10" i="4" s="1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s="1"/>
  <c r="M61" i="4" s="1"/>
  <c r="M62" i="4" s="1"/>
  <c r="M63" i="4" s="1"/>
  <c r="M64" i="4" s="1"/>
  <c r="M65" i="4" s="1"/>
  <c r="M66" i="4" s="1"/>
  <c r="M67" i="4" s="1"/>
  <c r="M68" i="4" s="1"/>
  <c r="M69" i="4" s="1"/>
  <c r="M70" i="4" s="1"/>
  <c r="M71" i="4" s="1"/>
  <c r="M72" i="4" s="1"/>
  <c r="M73" i="4" s="1"/>
  <c r="M74" i="4" s="1"/>
  <c r="M75" i="4" s="1"/>
  <c r="M76" i="4" s="1"/>
  <c r="M77" i="4" s="1"/>
  <c r="M78" i="4" s="1"/>
  <c r="M79" i="4" s="1"/>
  <c r="M80" i="4" s="1"/>
  <c r="M81" i="4" s="1"/>
  <c r="M82" i="4" s="1"/>
  <c r="M83" i="4" s="1"/>
  <c r="M84" i="4" s="1"/>
  <c r="M85" i="4" s="1"/>
  <c r="M86" i="4" s="1"/>
  <c r="M87" i="4" s="1"/>
  <c r="M88" i="4" s="1"/>
  <c r="M89" i="4" s="1"/>
  <c r="M90" i="4" s="1"/>
  <c r="M91" i="4" s="1"/>
  <c r="M92" i="4" s="1"/>
  <c r="M93" i="4" s="1"/>
  <c r="M94" i="4" s="1"/>
  <c r="M95" i="4" s="1"/>
  <c r="M96" i="4" s="1"/>
  <c r="M97" i="4" s="1"/>
  <c r="M98" i="4" s="1"/>
  <c r="M99" i="4" s="1"/>
  <c r="M100" i="4" s="1"/>
  <c r="M101" i="4" s="1"/>
  <c r="M102" i="4" s="1"/>
  <c r="M103" i="4" s="1"/>
  <c r="M104" i="4" s="1"/>
  <c r="M105" i="4" s="1"/>
  <c r="M106" i="4" s="1"/>
  <c r="M107" i="4" s="1"/>
  <c r="M108" i="4" s="1"/>
  <c r="M109" i="4" s="1"/>
  <c r="M110" i="4" s="1"/>
  <c r="M111" i="4" s="1"/>
  <c r="M112" i="4" s="1"/>
  <c r="M113" i="4" s="1"/>
  <c r="M114" i="4" s="1"/>
  <c r="M115" i="4" s="1"/>
  <c r="M116" i="4" s="1"/>
  <c r="M117" i="4" s="1"/>
  <c r="M118" i="4" s="1"/>
  <c r="M119" i="4" s="1"/>
  <c r="M120" i="4" s="1"/>
  <c r="M121" i="4" s="1"/>
  <c r="M122" i="4" s="1"/>
  <c r="M123" i="4" s="1"/>
  <c r="M124" i="4" s="1"/>
  <c r="M125" i="4" s="1"/>
  <c r="M126" i="4" s="1"/>
  <c r="M127" i="4" s="1"/>
  <c r="M128" i="4" s="1"/>
  <c r="M129" i="4" s="1"/>
  <c r="M130" i="4" s="1"/>
  <c r="M131" i="4" s="1"/>
  <c r="M132" i="4" s="1"/>
  <c r="M133" i="4" s="1"/>
  <c r="M134" i="4" s="1"/>
  <c r="M135" i="4" s="1"/>
  <c r="M136" i="4" s="1"/>
  <c r="M137" i="4" s="1"/>
  <c r="M138" i="4" s="1"/>
  <c r="M139" i="4" s="1"/>
  <c r="M140" i="4" s="1"/>
  <c r="M141" i="4" s="1"/>
  <c r="M142" i="4" s="1"/>
  <c r="M143" i="4" s="1"/>
  <c r="M144" i="4" s="1"/>
  <c r="M145" i="4" s="1"/>
  <c r="M146" i="4" s="1"/>
  <c r="M147" i="4" s="1"/>
  <c r="M148" i="4" s="1"/>
  <c r="M149" i="4" s="1"/>
  <c r="M150" i="4" s="1"/>
  <c r="M151" i="4" s="1"/>
  <c r="M152" i="4" s="1"/>
  <c r="M153" i="4" s="1"/>
  <c r="M154" i="4" s="1"/>
  <c r="M155" i="4" s="1"/>
  <c r="M156" i="4" s="1"/>
  <c r="M157" i="4" s="1"/>
  <c r="M158" i="4" s="1"/>
  <c r="M159" i="4" s="1"/>
  <c r="M160" i="4" s="1"/>
  <c r="M161" i="4" s="1"/>
  <c r="M162" i="4" s="1"/>
  <c r="M163" i="4" s="1"/>
  <c r="M164" i="4" s="1"/>
  <c r="M165" i="4" s="1"/>
  <c r="M166" i="4" s="1"/>
  <c r="M167" i="4" s="1"/>
  <c r="M168" i="4" s="1"/>
  <c r="M169" i="4" s="1"/>
  <c r="M170" i="4" s="1"/>
  <c r="M171" i="4" s="1"/>
  <c r="M172" i="4" s="1"/>
  <c r="M173" i="4" s="1"/>
  <c r="M174" i="4" s="1"/>
  <c r="M175" i="4" s="1"/>
  <c r="M176" i="4" s="1"/>
  <c r="M177" i="4" s="1"/>
  <c r="M178" i="4" s="1"/>
  <c r="M179" i="4" s="1"/>
  <c r="M180" i="4" s="1"/>
  <c r="M181" i="4" s="1"/>
  <c r="M182" i="4" s="1"/>
  <c r="M183" i="4" s="1"/>
  <c r="M184" i="4" s="1"/>
  <c r="M185" i="4" s="1"/>
  <c r="M186" i="4" s="1"/>
  <c r="M187" i="4" s="1"/>
  <c r="M188" i="4" s="1"/>
  <c r="M189" i="4" s="1"/>
  <c r="M190" i="4" s="1"/>
  <c r="M191" i="4" s="1"/>
  <c r="M192" i="4" s="1"/>
  <c r="M193" i="4" s="1"/>
  <c r="M194" i="4" s="1"/>
  <c r="M195" i="4" s="1"/>
  <c r="M196" i="4" s="1"/>
  <c r="M197" i="4" s="1"/>
  <c r="M198" i="4" s="1"/>
  <c r="M199" i="4" s="1"/>
  <c r="M200" i="4" s="1"/>
  <c r="M201" i="4" s="1"/>
  <c r="M202" i="4" s="1"/>
  <c r="M203" i="4" s="1"/>
  <c r="M204" i="4" s="1"/>
  <c r="M205" i="4" s="1"/>
  <c r="M206" i="4" s="1"/>
  <c r="M207" i="4" s="1"/>
  <c r="M208" i="4" s="1"/>
  <c r="M209" i="4" s="1"/>
  <c r="M210" i="4" s="1"/>
  <c r="M211" i="4" s="1"/>
  <c r="M212" i="4" s="1"/>
  <c r="M213" i="4" s="1"/>
  <c r="M214" i="4" s="1"/>
  <c r="M215" i="4" s="1"/>
  <c r="M216" i="4" s="1"/>
  <c r="M217" i="4" s="1"/>
  <c r="M218" i="4" s="1"/>
  <c r="M219" i="4" s="1"/>
  <c r="M220" i="4" s="1"/>
  <c r="M221" i="4" s="1"/>
  <c r="M222" i="4" s="1"/>
  <c r="M223" i="4" s="1"/>
  <c r="M224" i="4" s="1"/>
  <c r="M225" i="4" s="1"/>
  <c r="M226" i="4" s="1"/>
  <c r="M227" i="4" s="1"/>
  <c r="M228" i="4" s="1"/>
  <c r="M229" i="4" s="1"/>
  <c r="M230" i="4" s="1"/>
  <c r="M231" i="4" s="1"/>
  <c r="M232" i="4" s="1"/>
  <c r="M233" i="4" s="1"/>
  <c r="M234" i="4" s="1"/>
  <c r="M235" i="4" s="1"/>
  <c r="M236" i="4" s="1"/>
  <c r="M237" i="4" s="1"/>
  <c r="M238" i="4" s="1"/>
  <c r="M239" i="4" s="1"/>
  <c r="M240" i="4" s="1"/>
  <c r="M241" i="4" s="1"/>
  <c r="M242" i="4" s="1"/>
  <c r="M243" i="4" s="1"/>
  <c r="M244" i="4" s="1"/>
  <c r="M245" i="4" s="1"/>
  <c r="M246" i="4" s="1"/>
  <c r="M247" i="4" s="1"/>
  <c r="M248" i="4" s="1"/>
  <c r="M249" i="4" s="1"/>
  <c r="M250" i="4" s="1"/>
  <c r="M251" i="4" s="1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" i="7"/>
  <c r="H108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I108" i="6" s="1"/>
  <c r="J108" i="6" s="1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" i="2"/>
  <c r="AC3" i="2"/>
  <c r="AE3" i="2" s="1"/>
  <c r="AC4" i="2"/>
  <c r="AE4" i="2" s="1"/>
  <c r="AC5" i="2"/>
  <c r="AE5" i="2" s="1"/>
  <c r="AC6" i="2"/>
  <c r="AE6" i="2" s="1"/>
  <c r="AC7" i="2"/>
  <c r="AE7" i="2" s="1"/>
  <c r="AC8" i="2"/>
  <c r="AE8" i="2" s="1"/>
  <c r="AC9" i="2"/>
  <c r="AE9" i="2" s="1"/>
  <c r="AC10" i="2"/>
  <c r="AE10" i="2" s="1"/>
  <c r="AC11" i="2"/>
  <c r="AE11" i="2" s="1"/>
  <c r="AC12" i="2"/>
  <c r="AE12" i="2" s="1"/>
  <c r="AC13" i="2"/>
  <c r="AE13" i="2" s="1"/>
  <c r="AC14" i="2"/>
  <c r="AE14" i="2" s="1"/>
  <c r="AC15" i="2"/>
  <c r="AE15" i="2" s="1"/>
  <c r="AC16" i="2"/>
  <c r="AE16" i="2" s="1"/>
  <c r="AC17" i="2"/>
  <c r="AE17" i="2" s="1"/>
  <c r="AC18" i="2"/>
  <c r="AE18" i="2" s="1"/>
  <c r="AC19" i="2"/>
  <c r="AE19" i="2" s="1"/>
  <c r="AC20" i="2"/>
  <c r="AE20" i="2" s="1"/>
  <c r="AC21" i="2"/>
  <c r="AE21" i="2" s="1"/>
  <c r="AC22" i="2"/>
  <c r="AE22" i="2" s="1"/>
  <c r="AC23" i="2"/>
  <c r="AE23" i="2" s="1"/>
  <c r="AC24" i="2"/>
  <c r="AE24" i="2" s="1"/>
  <c r="AC25" i="2"/>
  <c r="AE25" i="2" s="1"/>
  <c r="AC26" i="2"/>
  <c r="AE26" i="2" s="1"/>
  <c r="AC27" i="2"/>
  <c r="AE27" i="2" s="1"/>
  <c r="AC28" i="2"/>
  <c r="AE28" i="2" s="1"/>
  <c r="AC29" i="2"/>
  <c r="AE29" i="2" s="1"/>
  <c r="AC30" i="2"/>
  <c r="AE30" i="2" s="1"/>
  <c r="AC31" i="2"/>
  <c r="AE31" i="2" s="1"/>
  <c r="AC32" i="2"/>
  <c r="AE32" i="2" s="1"/>
  <c r="AC33" i="2"/>
  <c r="AE33" i="2" s="1"/>
  <c r="AC34" i="2"/>
  <c r="AE34" i="2" s="1"/>
  <c r="AC35" i="2"/>
  <c r="AE35" i="2" s="1"/>
  <c r="AC36" i="2"/>
  <c r="AE36" i="2" s="1"/>
  <c r="AC37" i="2"/>
  <c r="AE37" i="2" s="1"/>
  <c r="AC38" i="2"/>
  <c r="AE38" i="2" s="1"/>
  <c r="AC39" i="2"/>
  <c r="AE39" i="2" s="1"/>
  <c r="AC40" i="2"/>
  <c r="AE40" i="2" s="1"/>
  <c r="AC41" i="2"/>
  <c r="AE41" i="2" s="1"/>
  <c r="AC42" i="2"/>
  <c r="AE42" i="2" s="1"/>
  <c r="AC43" i="2"/>
  <c r="AE43" i="2" s="1"/>
  <c r="AC44" i="2"/>
  <c r="AE44" i="2" s="1"/>
  <c r="AC45" i="2"/>
  <c r="AE45" i="2" s="1"/>
  <c r="AC46" i="2"/>
  <c r="AE46" i="2" s="1"/>
  <c r="AC47" i="2"/>
  <c r="AE47" i="2" s="1"/>
  <c r="AC48" i="2"/>
  <c r="AE48" i="2" s="1"/>
  <c r="AC49" i="2"/>
  <c r="AE49" i="2" s="1"/>
  <c r="AC50" i="2"/>
  <c r="AE50" i="2" s="1"/>
  <c r="AC51" i="2"/>
  <c r="AE51" i="2" s="1"/>
  <c r="AC52" i="2"/>
  <c r="AE52" i="2" s="1"/>
  <c r="AC53" i="2"/>
  <c r="AE53" i="2" s="1"/>
  <c r="AC54" i="2"/>
  <c r="AE54" i="2" s="1"/>
  <c r="AC55" i="2"/>
  <c r="AE55" i="2" s="1"/>
  <c r="AC56" i="2"/>
  <c r="AE56" i="2" s="1"/>
  <c r="AC57" i="2"/>
  <c r="AE57" i="2" s="1"/>
  <c r="AC58" i="2"/>
  <c r="AE58" i="2" s="1"/>
  <c r="AC59" i="2"/>
  <c r="AE59" i="2" s="1"/>
  <c r="AC60" i="2"/>
  <c r="AE60" i="2" s="1"/>
  <c r="AC61" i="2"/>
  <c r="AE61" i="2" s="1"/>
  <c r="AC62" i="2"/>
  <c r="AE62" i="2" s="1"/>
  <c r="AC63" i="2"/>
  <c r="AE63" i="2" s="1"/>
  <c r="AC64" i="2"/>
  <c r="AE64" i="2" s="1"/>
  <c r="AC65" i="2"/>
  <c r="AE65" i="2" s="1"/>
  <c r="AC66" i="2"/>
  <c r="AE66" i="2" s="1"/>
  <c r="AC67" i="2"/>
  <c r="AE67" i="2" s="1"/>
  <c r="AC68" i="2"/>
  <c r="AE68" i="2" s="1"/>
  <c r="AC69" i="2"/>
  <c r="AE69" i="2" s="1"/>
  <c r="AC70" i="2"/>
  <c r="AE70" i="2" s="1"/>
  <c r="AC71" i="2"/>
  <c r="AE71" i="2" s="1"/>
  <c r="AC72" i="2"/>
  <c r="AE72" i="2" s="1"/>
  <c r="AC73" i="2"/>
  <c r="AE73" i="2" s="1"/>
  <c r="AC74" i="2"/>
  <c r="AE74" i="2" s="1"/>
  <c r="AC75" i="2"/>
  <c r="AE75" i="2" s="1"/>
  <c r="AC76" i="2"/>
  <c r="AE76" i="2" s="1"/>
  <c r="AC77" i="2"/>
  <c r="AE77" i="2" s="1"/>
  <c r="AC78" i="2"/>
  <c r="AE78" i="2" s="1"/>
  <c r="AC79" i="2"/>
  <c r="AE79" i="2" s="1"/>
  <c r="AC80" i="2"/>
  <c r="AE80" i="2" s="1"/>
  <c r="AC81" i="2"/>
  <c r="AE81" i="2" s="1"/>
  <c r="AC82" i="2"/>
  <c r="AE82" i="2" s="1"/>
  <c r="AC83" i="2"/>
  <c r="AE83" i="2" s="1"/>
  <c r="AC84" i="2"/>
  <c r="AE84" i="2" s="1"/>
  <c r="AC85" i="2"/>
  <c r="AE85" i="2" s="1"/>
  <c r="AC86" i="2"/>
  <c r="AE86" i="2" s="1"/>
  <c r="AC87" i="2"/>
  <c r="AE87" i="2" s="1"/>
  <c r="AC88" i="2"/>
  <c r="AE88" i="2" s="1"/>
  <c r="AC89" i="2"/>
  <c r="AE89" i="2" s="1"/>
  <c r="AC90" i="2"/>
  <c r="AE90" i="2" s="1"/>
  <c r="AC91" i="2"/>
  <c r="AE91" i="2" s="1"/>
  <c r="AC92" i="2"/>
  <c r="AE92" i="2" s="1"/>
  <c r="AC93" i="2"/>
  <c r="AE93" i="2" s="1"/>
  <c r="AC94" i="2"/>
  <c r="AE94" i="2" s="1"/>
  <c r="AC95" i="2"/>
  <c r="AE95" i="2" s="1"/>
  <c r="AC96" i="2"/>
  <c r="AE96" i="2" s="1"/>
  <c r="AC97" i="2"/>
  <c r="AE97" i="2" s="1"/>
  <c r="AC98" i="2"/>
  <c r="AE98" i="2" s="1"/>
  <c r="AC99" i="2"/>
  <c r="AE99" i="2" s="1"/>
  <c r="AC100" i="2"/>
  <c r="AE100" i="2" s="1"/>
  <c r="AC101" i="2"/>
  <c r="AE101" i="2" s="1"/>
  <c r="AC102" i="2"/>
  <c r="AE102" i="2" s="1"/>
  <c r="AC103" i="2"/>
  <c r="AE103" i="2" s="1"/>
  <c r="AC104" i="2"/>
  <c r="AE104" i="2" s="1"/>
  <c r="AC105" i="2"/>
  <c r="AE105" i="2" s="1"/>
  <c r="AC106" i="2"/>
  <c r="AE106" i="2" s="1"/>
  <c r="AC107" i="2"/>
  <c r="AE107" i="2" s="1"/>
  <c r="AC108" i="2"/>
  <c r="AE108" i="2" s="1"/>
  <c r="AC109" i="2"/>
  <c r="AE109" i="2" s="1"/>
  <c r="AC110" i="2"/>
  <c r="AE110" i="2" s="1"/>
  <c r="AC111" i="2"/>
  <c r="AE111" i="2" s="1"/>
  <c r="AC112" i="2"/>
  <c r="AE112" i="2" s="1"/>
  <c r="AC113" i="2"/>
  <c r="AE113" i="2" s="1"/>
  <c r="AC114" i="2"/>
  <c r="AE114" i="2" s="1"/>
  <c r="AC115" i="2"/>
  <c r="AE115" i="2" s="1"/>
  <c r="AC116" i="2"/>
  <c r="AE116" i="2" s="1"/>
  <c r="AC117" i="2"/>
  <c r="AE117" i="2" s="1"/>
  <c r="AC118" i="2"/>
  <c r="AE118" i="2" s="1"/>
  <c r="AC119" i="2"/>
  <c r="AE119" i="2" s="1"/>
  <c r="AC120" i="2"/>
  <c r="AE120" i="2" s="1"/>
  <c r="AC121" i="2"/>
  <c r="AE121" i="2" s="1"/>
  <c r="AC122" i="2"/>
  <c r="AE122" i="2" s="1"/>
  <c r="AC123" i="2"/>
  <c r="AE123" i="2" s="1"/>
  <c r="AC124" i="2"/>
  <c r="AE124" i="2" s="1"/>
  <c r="AC125" i="2"/>
  <c r="AE125" i="2" s="1"/>
  <c r="AC126" i="2"/>
  <c r="AE126" i="2" s="1"/>
  <c r="AC127" i="2"/>
  <c r="AE127" i="2" s="1"/>
  <c r="AC128" i="2"/>
  <c r="AE128" i="2" s="1"/>
  <c r="AC129" i="2"/>
  <c r="AE129" i="2" s="1"/>
  <c r="AC130" i="2"/>
  <c r="AE130" i="2" s="1"/>
  <c r="AC131" i="2"/>
  <c r="AE131" i="2" s="1"/>
  <c r="AC132" i="2"/>
  <c r="AE132" i="2" s="1"/>
  <c r="AC133" i="2"/>
  <c r="AE133" i="2" s="1"/>
  <c r="AC134" i="2"/>
  <c r="AE134" i="2" s="1"/>
  <c r="AC135" i="2"/>
  <c r="AE135" i="2" s="1"/>
  <c r="AC136" i="2"/>
  <c r="AE136" i="2" s="1"/>
  <c r="AC137" i="2"/>
  <c r="AE137" i="2" s="1"/>
  <c r="AC138" i="2"/>
  <c r="AE138" i="2" s="1"/>
  <c r="AC139" i="2"/>
  <c r="AE139" i="2" s="1"/>
  <c r="AC140" i="2"/>
  <c r="AE140" i="2" s="1"/>
  <c r="AC141" i="2"/>
  <c r="AE141" i="2" s="1"/>
  <c r="AC142" i="2"/>
  <c r="AE142" i="2" s="1"/>
  <c r="AC143" i="2"/>
  <c r="AE143" i="2" s="1"/>
  <c r="AC144" i="2"/>
  <c r="AE144" i="2" s="1"/>
  <c r="AC145" i="2"/>
  <c r="AE145" i="2" s="1"/>
  <c r="AC146" i="2"/>
  <c r="AE146" i="2" s="1"/>
  <c r="AC147" i="2"/>
  <c r="AE147" i="2" s="1"/>
  <c r="AC148" i="2"/>
  <c r="AE148" i="2" s="1"/>
  <c r="AC149" i="2"/>
  <c r="AE149" i="2" s="1"/>
  <c r="AC150" i="2"/>
  <c r="AE150" i="2" s="1"/>
  <c r="AC151" i="2"/>
  <c r="AE151" i="2" s="1"/>
  <c r="AC152" i="2"/>
  <c r="AE152" i="2" s="1"/>
  <c r="AC153" i="2"/>
  <c r="AE153" i="2" s="1"/>
  <c r="AC154" i="2"/>
  <c r="AE154" i="2" s="1"/>
  <c r="AC155" i="2"/>
  <c r="AE155" i="2" s="1"/>
  <c r="AC156" i="2"/>
  <c r="AE156" i="2" s="1"/>
  <c r="AC157" i="2"/>
  <c r="AE157" i="2" s="1"/>
  <c r="AC158" i="2"/>
  <c r="AE158" i="2" s="1"/>
  <c r="AC159" i="2"/>
  <c r="AE159" i="2" s="1"/>
  <c r="AC160" i="2"/>
  <c r="AE160" i="2" s="1"/>
  <c r="AC161" i="2"/>
  <c r="AE161" i="2" s="1"/>
  <c r="AC162" i="2"/>
  <c r="AE162" i="2" s="1"/>
  <c r="AC163" i="2"/>
  <c r="AE163" i="2" s="1"/>
  <c r="AC164" i="2"/>
  <c r="AE164" i="2" s="1"/>
  <c r="AC165" i="2"/>
  <c r="AE165" i="2" s="1"/>
  <c r="AC166" i="2"/>
  <c r="AE166" i="2" s="1"/>
  <c r="AC167" i="2"/>
  <c r="AE167" i="2" s="1"/>
  <c r="AC168" i="2"/>
  <c r="AE168" i="2" s="1"/>
  <c r="AC169" i="2"/>
  <c r="AE169" i="2" s="1"/>
  <c r="AC170" i="2"/>
  <c r="AE170" i="2" s="1"/>
  <c r="AC171" i="2"/>
  <c r="AE171" i="2" s="1"/>
  <c r="AC172" i="2"/>
  <c r="AE172" i="2" s="1"/>
  <c r="AC173" i="2"/>
  <c r="AE173" i="2" s="1"/>
  <c r="AC174" i="2"/>
  <c r="AE174" i="2" s="1"/>
  <c r="AC175" i="2"/>
  <c r="AE175" i="2" s="1"/>
  <c r="AC176" i="2"/>
  <c r="AE176" i="2" s="1"/>
  <c r="AC177" i="2"/>
  <c r="AE177" i="2" s="1"/>
  <c r="AC178" i="2"/>
  <c r="AE178" i="2" s="1"/>
  <c r="AC179" i="2"/>
  <c r="AE179" i="2" s="1"/>
  <c r="AC180" i="2"/>
  <c r="AE180" i="2" s="1"/>
  <c r="AC181" i="2"/>
  <c r="AE181" i="2" s="1"/>
  <c r="AC182" i="2"/>
  <c r="AE182" i="2" s="1"/>
  <c r="AC183" i="2"/>
  <c r="AE183" i="2" s="1"/>
  <c r="AC184" i="2"/>
  <c r="AE184" i="2" s="1"/>
  <c r="AC185" i="2"/>
  <c r="AE185" i="2" s="1"/>
  <c r="AC186" i="2"/>
  <c r="AE186" i="2" s="1"/>
  <c r="AC187" i="2"/>
  <c r="AE187" i="2" s="1"/>
  <c r="AC188" i="2"/>
  <c r="AE188" i="2" s="1"/>
  <c r="AC189" i="2"/>
  <c r="AE189" i="2" s="1"/>
  <c r="AC190" i="2"/>
  <c r="AE190" i="2" s="1"/>
  <c r="AC191" i="2"/>
  <c r="AE191" i="2" s="1"/>
  <c r="AC192" i="2"/>
  <c r="AE192" i="2" s="1"/>
  <c r="AC193" i="2"/>
  <c r="AE193" i="2" s="1"/>
  <c r="AC194" i="2"/>
  <c r="AE194" i="2" s="1"/>
  <c r="AC195" i="2"/>
  <c r="AE195" i="2" s="1"/>
  <c r="AC196" i="2"/>
  <c r="AE196" i="2" s="1"/>
  <c r="AC197" i="2"/>
  <c r="AE197" i="2" s="1"/>
  <c r="AC198" i="2"/>
  <c r="AE198" i="2" s="1"/>
  <c r="AC199" i="2"/>
  <c r="AE199" i="2" s="1"/>
  <c r="AC200" i="2"/>
  <c r="AE200" i="2" s="1"/>
  <c r="AC201" i="2"/>
  <c r="AE201" i="2" s="1"/>
  <c r="AC202" i="2"/>
  <c r="AE202" i="2" s="1"/>
  <c r="AC203" i="2"/>
  <c r="AE203" i="2" s="1"/>
  <c r="AC204" i="2"/>
  <c r="AE204" i="2" s="1"/>
  <c r="AC205" i="2"/>
  <c r="AE205" i="2" s="1"/>
  <c r="AC206" i="2"/>
  <c r="AE206" i="2" s="1"/>
  <c r="AC207" i="2"/>
  <c r="AE207" i="2" s="1"/>
  <c r="AC208" i="2"/>
  <c r="AE208" i="2" s="1"/>
  <c r="AC209" i="2"/>
  <c r="AE209" i="2" s="1"/>
  <c r="AC210" i="2"/>
  <c r="AE210" i="2" s="1"/>
  <c r="AC211" i="2"/>
  <c r="AE211" i="2" s="1"/>
  <c r="AC212" i="2"/>
  <c r="AE212" i="2" s="1"/>
  <c r="AC213" i="2"/>
  <c r="AE213" i="2" s="1"/>
  <c r="AC214" i="2"/>
  <c r="AE214" i="2" s="1"/>
  <c r="AC215" i="2"/>
  <c r="AE215" i="2" s="1"/>
  <c r="AC216" i="2"/>
  <c r="AE216" i="2" s="1"/>
  <c r="AC217" i="2"/>
  <c r="AE217" i="2" s="1"/>
  <c r="AC218" i="2"/>
  <c r="AE218" i="2" s="1"/>
  <c r="AC219" i="2"/>
  <c r="AE219" i="2" s="1"/>
  <c r="AC220" i="2"/>
  <c r="AE220" i="2" s="1"/>
  <c r="AC221" i="2"/>
  <c r="AE221" i="2" s="1"/>
  <c r="AC222" i="2"/>
  <c r="AE222" i="2" s="1"/>
  <c r="AC223" i="2"/>
  <c r="AE223" i="2" s="1"/>
  <c r="AC224" i="2"/>
  <c r="AE224" i="2" s="1"/>
  <c r="AC225" i="2"/>
  <c r="AE225" i="2" s="1"/>
  <c r="AC226" i="2"/>
  <c r="AE226" i="2" s="1"/>
  <c r="AC227" i="2"/>
  <c r="AE227" i="2" s="1"/>
  <c r="AC228" i="2"/>
  <c r="AE228" i="2" s="1"/>
  <c r="AC229" i="2"/>
  <c r="AE229" i="2" s="1"/>
  <c r="AC230" i="2"/>
  <c r="AE230" i="2" s="1"/>
  <c r="AC231" i="2"/>
  <c r="AE231" i="2" s="1"/>
  <c r="AC232" i="2"/>
  <c r="AE232" i="2" s="1"/>
  <c r="AC233" i="2"/>
  <c r="AE233" i="2" s="1"/>
  <c r="AC234" i="2"/>
  <c r="AE234" i="2" s="1"/>
  <c r="AC235" i="2"/>
  <c r="AE235" i="2" s="1"/>
  <c r="AC236" i="2"/>
  <c r="AE236" i="2" s="1"/>
  <c r="AC237" i="2"/>
  <c r="AE237" i="2" s="1"/>
  <c r="AC238" i="2"/>
  <c r="AE238" i="2" s="1"/>
  <c r="AC239" i="2"/>
  <c r="AE239" i="2" s="1"/>
  <c r="AC240" i="2"/>
  <c r="AE240" i="2" s="1"/>
  <c r="AC241" i="2"/>
  <c r="AE241" i="2" s="1"/>
  <c r="AC242" i="2"/>
  <c r="AE242" i="2" s="1"/>
  <c r="AC243" i="2"/>
  <c r="AE243" i="2" s="1"/>
  <c r="AC244" i="2"/>
  <c r="AE244" i="2" s="1"/>
  <c r="AC245" i="2"/>
  <c r="AE245" i="2" s="1"/>
  <c r="AC246" i="2"/>
  <c r="AE246" i="2" s="1"/>
  <c r="AC247" i="2"/>
  <c r="AE247" i="2" s="1"/>
  <c r="AC248" i="2"/>
  <c r="AE248" i="2" s="1"/>
  <c r="AC249" i="2"/>
  <c r="AE249" i="2" s="1"/>
  <c r="AC250" i="2"/>
  <c r="AE250" i="2" s="1"/>
  <c r="AC251" i="2"/>
  <c r="AE251" i="2" s="1"/>
  <c r="AC2" i="2"/>
  <c r="AE2" i="2" s="1"/>
  <c r="AF2" i="2" s="1"/>
  <c r="AG2" i="2" s="1"/>
  <c r="C128" i="5"/>
  <c r="E128" i="5" s="1"/>
  <c r="C129" i="5"/>
  <c r="E129" i="5" s="1"/>
  <c r="C130" i="5"/>
  <c r="E130" i="5" s="1"/>
  <c r="C131" i="5"/>
  <c r="E131" i="5" s="1"/>
  <c r="C132" i="5"/>
  <c r="E132" i="5" s="1"/>
  <c r="C133" i="5"/>
  <c r="E133" i="5" s="1"/>
  <c r="C134" i="5"/>
  <c r="E134" i="5" s="1"/>
  <c r="C135" i="5"/>
  <c r="E135" i="5" s="1"/>
  <c r="C136" i="5"/>
  <c r="E136" i="5" s="1"/>
  <c r="C137" i="5"/>
  <c r="E137" i="5" s="1"/>
  <c r="C138" i="5"/>
  <c r="E138" i="5" s="1"/>
  <c r="C139" i="5"/>
  <c r="E139" i="5" s="1"/>
  <c r="C140" i="5"/>
  <c r="E140" i="5" s="1"/>
  <c r="C141" i="5"/>
  <c r="E141" i="5" s="1"/>
  <c r="C142" i="5"/>
  <c r="E142" i="5" s="1"/>
  <c r="C143" i="5"/>
  <c r="E143" i="5" s="1"/>
  <c r="C144" i="5"/>
  <c r="E144" i="5" s="1"/>
  <c r="C145" i="5"/>
  <c r="E145" i="5" s="1"/>
  <c r="C146" i="5"/>
  <c r="E146" i="5" s="1"/>
  <c r="C147" i="5"/>
  <c r="E147" i="5" s="1"/>
  <c r="C148" i="5"/>
  <c r="E148" i="5" s="1"/>
  <c r="C149" i="5"/>
  <c r="E149" i="5" s="1"/>
  <c r="C150" i="5"/>
  <c r="E150" i="5" s="1"/>
  <c r="C151" i="5"/>
  <c r="E151" i="5" s="1"/>
  <c r="C152" i="5"/>
  <c r="E152" i="5" s="1"/>
  <c r="C153" i="5"/>
  <c r="E153" i="5" s="1"/>
  <c r="C154" i="5"/>
  <c r="E154" i="5" s="1"/>
  <c r="C155" i="5"/>
  <c r="E155" i="5" s="1"/>
  <c r="C156" i="5"/>
  <c r="E156" i="5" s="1"/>
  <c r="C157" i="5"/>
  <c r="E157" i="5" s="1"/>
  <c r="C158" i="5"/>
  <c r="E158" i="5" s="1"/>
  <c r="C159" i="5"/>
  <c r="E159" i="5" s="1"/>
  <c r="C160" i="5"/>
  <c r="E160" i="5" s="1"/>
  <c r="C161" i="5"/>
  <c r="E161" i="5" s="1"/>
  <c r="C162" i="5"/>
  <c r="E162" i="5" s="1"/>
  <c r="C163" i="5"/>
  <c r="E163" i="5" s="1"/>
  <c r="C164" i="5"/>
  <c r="E164" i="5" s="1"/>
  <c r="C165" i="5"/>
  <c r="E165" i="5" s="1"/>
  <c r="C166" i="5"/>
  <c r="E166" i="5" s="1"/>
  <c r="C167" i="5"/>
  <c r="E167" i="5" s="1"/>
  <c r="C168" i="5"/>
  <c r="E168" i="5" s="1"/>
  <c r="C169" i="5"/>
  <c r="E169" i="5" s="1"/>
  <c r="C170" i="5"/>
  <c r="E170" i="5" s="1"/>
  <c r="C171" i="5"/>
  <c r="E171" i="5" s="1"/>
  <c r="C172" i="5"/>
  <c r="E172" i="5" s="1"/>
  <c r="C173" i="5"/>
  <c r="E173" i="5" s="1"/>
  <c r="C174" i="5"/>
  <c r="E174" i="5" s="1"/>
  <c r="C175" i="5"/>
  <c r="E175" i="5" s="1"/>
  <c r="C176" i="5"/>
  <c r="E176" i="5" s="1"/>
  <c r="C177" i="5"/>
  <c r="E177" i="5" s="1"/>
  <c r="C178" i="5"/>
  <c r="E178" i="5" s="1"/>
  <c r="C179" i="5"/>
  <c r="E179" i="5" s="1"/>
  <c r="C180" i="5"/>
  <c r="E180" i="5" s="1"/>
  <c r="C181" i="5"/>
  <c r="E181" i="5" s="1"/>
  <c r="C182" i="5"/>
  <c r="E182" i="5" s="1"/>
  <c r="C183" i="5"/>
  <c r="E183" i="5" s="1"/>
  <c r="C184" i="5"/>
  <c r="E184" i="5" s="1"/>
  <c r="C185" i="5"/>
  <c r="E185" i="5" s="1"/>
  <c r="C186" i="5"/>
  <c r="E186" i="5" s="1"/>
  <c r="C187" i="5"/>
  <c r="E187" i="5" s="1"/>
  <c r="C188" i="5"/>
  <c r="E188" i="5" s="1"/>
  <c r="C189" i="5"/>
  <c r="E189" i="5" s="1"/>
  <c r="C190" i="5"/>
  <c r="E190" i="5" s="1"/>
  <c r="C191" i="5"/>
  <c r="E191" i="5" s="1"/>
  <c r="C192" i="5"/>
  <c r="E192" i="5" s="1"/>
  <c r="C193" i="5"/>
  <c r="E193" i="5" s="1"/>
  <c r="C194" i="5"/>
  <c r="E194" i="5" s="1"/>
  <c r="C195" i="5"/>
  <c r="E195" i="5" s="1"/>
  <c r="C196" i="5"/>
  <c r="E196" i="5" s="1"/>
  <c r="C197" i="5"/>
  <c r="E197" i="5" s="1"/>
  <c r="C198" i="5"/>
  <c r="E198" i="5" s="1"/>
  <c r="C199" i="5"/>
  <c r="E199" i="5" s="1"/>
  <c r="C200" i="5"/>
  <c r="E200" i="5" s="1"/>
  <c r="C201" i="5"/>
  <c r="E201" i="5" s="1"/>
  <c r="C202" i="5"/>
  <c r="E202" i="5" s="1"/>
  <c r="C203" i="5"/>
  <c r="E203" i="5" s="1"/>
  <c r="C204" i="5"/>
  <c r="E204" i="5" s="1"/>
  <c r="C205" i="5"/>
  <c r="E205" i="5" s="1"/>
  <c r="C206" i="5"/>
  <c r="E206" i="5" s="1"/>
  <c r="C207" i="5"/>
  <c r="E207" i="5" s="1"/>
  <c r="C208" i="5"/>
  <c r="E208" i="5" s="1"/>
  <c r="C209" i="5"/>
  <c r="E209" i="5" s="1"/>
  <c r="C210" i="5"/>
  <c r="E210" i="5" s="1"/>
  <c r="C211" i="5"/>
  <c r="E211" i="5" s="1"/>
  <c r="C212" i="5"/>
  <c r="E212" i="5" s="1"/>
  <c r="C213" i="5"/>
  <c r="E213" i="5" s="1"/>
  <c r="C214" i="5"/>
  <c r="E214" i="5" s="1"/>
  <c r="C215" i="5"/>
  <c r="E215" i="5" s="1"/>
  <c r="C216" i="5"/>
  <c r="E216" i="5" s="1"/>
  <c r="C217" i="5"/>
  <c r="E217" i="5" s="1"/>
  <c r="C218" i="5"/>
  <c r="E218" i="5" s="1"/>
  <c r="C219" i="5"/>
  <c r="E219" i="5" s="1"/>
  <c r="C220" i="5"/>
  <c r="E220" i="5" s="1"/>
  <c r="C221" i="5"/>
  <c r="E221" i="5" s="1"/>
  <c r="C222" i="5"/>
  <c r="E222" i="5" s="1"/>
  <c r="C223" i="5"/>
  <c r="E223" i="5" s="1"/>
  <c r="C224" i="5"/>
  <c r="E224" i="5" s="1"/>
  <c r="C225" i="5"/>
  <c r="E225" i="5" s="1"/>
  <c r="C226" i="5"/>
  <c r="E226" i="5" s="1"/>
  <c r="C227" i="5"/>
  <c r="E227" i="5" s="1"/>
  <c r="C228" i="5"/>
  <c r="E228" i="5" s="1"/>
  <c r="C229" i="5"/>
  <c r="E229" i="5" s="1"/>
  <c r="C230" i="5"/>
  <c r="E230" i="5" s="1"/>
  <c r="C231" i="5"/>
  <c r="E231" i="5" s="1"/>
  <c r="C232" i="5"/>
  <c r="E232" i="5" s="1"/>
  <c r="C233" i="5"/>
  <c r="E233" i="5" s="1"/>
  <c r="C234" i="5"/>
  <c r="E234" i="5" s="1"/>
  <c r="C235" i="5"/>
  <c r="E235" i="5" s="1"/>
  <c r="C236" i="5"/>
  <c r="E236" i="5" s="1"/>
  <c r="C237" i="5"/>
  <c r="E237" i="5" s="1"/>
  <c r="C238" i="5"/>
  <c r="E238" i="5" s="1"/>
  <c r="C239" i="5"/>
  <c r="E239" i="5" s="1"/>
  <c r="C240" i="5"/>
  <c r="E240" i="5" s="1"/>
  <c r="C241" i="5"/>
  <c r="E241" i="5" s="1"/>
  <c r="C242" i="5"/>
  <c r="E242" i="5" s="1"/>
  <c r="C243" i="5"/>
  <c r="E243" i="5" s="1"/>
  <c r="C244" i="5"/>
  <c r="E244" i="5" s="1"/>
  <c r="C245" i="5"/>
  <c r="E245" i="5" s="1"/>
  <c r="C246" i="5"/>
  <c r="E246" i="5" s="1"/>
  <c r="C247" i="5"/>
  <c r="E247" i="5" s="1"/>
  <c r="C248" i="5"/>
  <c r="E248" i="5" s="1"/>
  <c r="C249" i="5"/>
  <c r="E249" i="5" s="1"/>
  <c r="C250" i="5"/>
  <c r="E250" i="5" s="1"/>
  <c r="C251" i="5"/>
  <c r="E251" i="5" s="1"/>
  <c r="C2" i="5"/>
  <c r="E2" i="5" s="1"/>
  <c r="B2" i="5"/>
  <c r="D2" i="5" s="1"/>
  <c r="B3" i="5"/>
  <c r="D3" i="5" s="1"/>
  <c r="B4" i="5"/>
  <c r="D4" i="5" s="1"/>
  <c r="B5" i="5"/>
  <c r="D5" i="5" s="1"/>
  <c r="B6" i="5"/>
  <c r="D6" i="5" s="1"/>
  <c r="B7" i="5"/>
  <c r="D7" i="5" s="1"/>
  <c r="B8" i="5"/>
  <c r="D8" i="5" s="1"/>
  <c r="B9" i="5"/>
  <c r="D9" i="5" s="1"/>
  <c r="B10" i="5"/>
  <c r="D10" i="5" s="1"/>
  <c r="B11" i="5"/>
  <c r="D11" i="5" s="1"/>
  <c r="B12" i="5"/>
  <c r="D12" i="5" s="1"/>
  <c r="B13" i="5"/>
  <c r="D13" i="5" s="1"/>
  <c r="B14" i="5"/>
  <c r="D14" i="5" s="1"/>
  <c r="B15" i="5"/>
  <c r="D15" i="5" s="1"/>
  <c r="B16" i="5"/>
  <c r="D16" i="5" s="1"/>
  <c r="B17" i="5"/>
  <c r="D17" i="5" s="1"/>
  <c r="B18" i="5"/>
  <c r="D18" i="5" s="1"/>
  <c r="B19" i="5"/>
  <c r="D19" i="5" s="1"/>
  <c r="B20" i="5"/>
  <c r="D20" i="5" s="1"/>
  <c r="B21" i="5"/>
  <c r="D21" i="5" s="1"/>
  <c r="B22" i="5"/>
  <c r="D22" i="5" s="1"/>
  <c r="B23" i="5"/>
  <c r="D23" i="5" s="1"/>
  <c r="B24" i="5"/>
  <c r="D24" i="5" s="1"/>
  <c r="B25" i="5"/>
  <c r="D25" i="5" s="1"/>
  <c r="B26" i="5"/>
  <c r="D26" i="5" s="1"/>
  <c r="B27" i="5"/>
  <c r="D27" i="5" s="1"/>
  <c r="B28" i="5"/>
  <c r="D28" i="5" s="1"/>
  <c r="B29" i="5"/>
  <c r="D29" i="5" s="1"/>
  <c r="B30" i="5"/>
  <c r="D30" i="5" s="1"/>
  <c r="B31" i="5"/>
  <c r="D31" i="5" s="1"/>
  <c r="B32" i="5"/>
  <c r="D32" i="5" s="1"/>
  <c r="B33" i="5"/>
  <c r="D33" i="5" s="1"/>
  <c r="B34" i="5"/>
  <c r="D34" i="5" s="1"/>
  <c r="B35" i="5"/>
  <c r="D35" i="5" s="1"/>
  <c r="B36" i="5"/>
  <c r="D36" i="5" s="1"/>
  <c r="B37" i="5"/>
  <c r="D37" i="5" s="1"/>
  <c r="B38" i="5"/>
  <c r="D38" i="5" s="1"/>
  <c r="B39" i="5"/>
  <c r="D39" i="5" s="1"/>
  <c r="B40" i="5"/>
  <c r="D40" i="5" s="1"/>
  <c r="B41" i="5"/>
  <c r="D41" i="5" s="1"/>
  <c r="B42" i="5"/>
  <c r="D42" i="5" s="1"/>
  <c r="B43" i="5"/>
  <c r="D43" i="5" s="1"/>
  <c r="B44" i="5"/>
  <c r="D44" i="5" s="1"/>
  <c r="B45" i="5"/>
  <c r="D45" i="5" s="1"/>
  <c r="B46" i="5"/>
  <c r="D46" i="5" s="1"/>
  <c r="B47" i="5"/>
  <c r="D47" i="5" s="1"/>
  <c r="B48" i="5"/>
  <c r="D48" i="5" s="1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D128" i="5" s="1"/>
  <c r="B129" i="5"/>
  <c r="D129" i="5" s="1"/>
  <c r="B130" i="5"/>
  <c r="D130" i="5" s="1"/>
  <c r="B131" i="5"/>
  <c r="D131" i="5" s="1"/>
  <c r="B132" i="5"/>
  <c r="D132" i="5" s="1"/>
  <c r="B133" i="5"/>
  <c r="D133" i="5" s="1"/>
  <c r="B134" i="5"/>
  <c r="D134" i="5" s="1"/>
  <c r="B135" i="5"/>
  <c r="D135" i="5" s="1"/>
  <c r="B136" i="5"/>
  <c r="D136" i="5" s="1"/>
  <c r="B137" i="5"/>
  <c r="D137" i="5" s="1"/>
  <c r="B138" i="5"/>
  <c r="D138" i="5" s="1"/>
  <c r="B139" i="5"/>
  <c r="D139" i="5" s="1"/>
  <c r="B140" i="5"/>
  <c r="D140" i="5" s="1"/>
  <c r="B141" i="5"/>
  <c r="D141" i="5" s="1"/>
  <c r="B142" i="5"/>
  <c r="D142" i="5" s="1"/>
  <c r="B143" i="5"/>
  <c r="D143" i="5" s="1"/>
  <c r="B144" i="5"/>
  <c r="D144" i="5" s="1"/>
  <c r="B145" i="5"/>
  <c r="D145" i="5" s="1"/>
  <c r="B146" i="5"/>
  <c r="D146" i="5" s="1"/>
  <c r="B147" i="5"/>
  <c r="D147" i="5" s="1"/>
  <c r="B148" i="5"/>
  <c r="D148" i="5" s="1"/>
  <c r="B149" i="5"/>
  <c r="D149" i="5" s="1"/>
  <c r="B150" i="5"/>
  <c r="D150" i="5" s="1"/>
  <c r="B151" i="5"/>
  <c r="D151" i="5" s="1"/>
  <c r="B152" i="5"/>
  <c r="D152" i="5" s="1"/>
  <c r="B153" i="5"/>
  <c r="D153" i="5" s="1"/>
  <c r="B154" i="5"/>
  <c r="D154" i="5" s="1"/>
  <c r="B155" i="5"/>
  <c r="D155" i="5" s="1"/>
  <c r="B156" i="5"/>
  <c r="D156" i="5" s="1"/>
  <c r="B157" i="5"/>
  <c r="D157" i="5" s="1"/>
  <c r="B158" i="5"/>
  <c r="D158" i="5" s="1"/>
  <c r="B159" i="5"/>
  <c r="D159" i="5" s="1"/>
  <c r="B160" i="5"/>
  <c r="D160" i="5" s="1"/>
  <c r="B161" i="5"/>
  <c r="D161" i="5" s="1"/>
  <c r="B162" i="5"/>
  <c r="D162" i="5" s="1"/>
  <c r="B163" i="5"/>
  <c r="D163" i="5" s="1"/>
  <c r="B164" i="5"/>
  <c r="D164" i="5" s="1"/>
  <c r="B165" i="5"/>
  <c r="D165" i="5" s="1"/>
  <c r="B166" i="5"/>
  <c r="D166" i="5" s="1"/>
  <c r="B167" i="5"/>
  <c r="D167" i="5" s="1"/>
  <c r="B168" i="5"/>
  <c r="D168" i="5" s="1"/>
  <c r="B169" i="5"/>
  <c r="D169" i="5" s="1"/>
  <c r="B170" i="5"/>
  <c r="D170" i="5" s="1"/>
  <c r="B171" i="5"/>
  <c r="D171" i="5" s="1"/>
  <c r="B172" i="5"/>
  <c r="D172" i="5" s="1"/>
  <c r="B173" i="5"/>
  <c r="D173" i="5" s="1"/>
  <c r="B174" i="5"/>
  <c r="D174" i="5" s="1"/>
  <c r="B175" i="5"/>
  <c r="D175" i="5" s="1"/>
  <c r="B176" i="5"/>
  <c r="D176" i="5" s="1"/>
  <c r="B177" i="5"/>
  <c r="D177" i="5" s="1"/>
  <c r="B178" i="5"/>
  <c r="D178" i="5" s="1"/>
  <c r="B179" i="5"/>
  <c r="D179" i="5" s="1"/>
  <c r="B180" i="5"/>
  <c r="D180" i="5" s="1"/>
  <c r="B181" i="5"/>
  <c r="D181" i="5" s="1"/>
  <c r="B182" i="5"/>
  <c r="D182" i="5" s="1"/>
  <c r="B183" i="5"/>
  <c r="D183" i="5" s="1"/>
  <c r="B184" i="5"/>
  <c r="D184" i="5" s="1"/>
  <c r="B185" i="5"/>
  <c r="D185" i="5" s="1"/>
  <c r="B186" i="5"/>
  <c r="D186" i="5" s="1"/>
  <c r="B187" i="5"/>
  <c r="D187" i="5" s="1"/>
  <c r="B188" i="5"/>
  <c r="D188" i="5" s="1"/>
  <c r="B189" i="5"/>
  <c r="D189" i="5" s="1"/>
  <c r="B190" i="5"/>
  <c r="D190" i="5" s="1"/>
  <c r="B191" i="5"/>
  <c r="D191" i="5" s="1"/>
  <c r="B192" i="5"/>
  <c r="D192" i="5" s="1"/>
  <c r="B193" i="5"/>
  <c r="D193" i="5" s="1"/>
  <c r="B194" i="5"/>
  <c r="D194" i="5" s="1"/>
  <c r="B195" i="5"/>
  <c r="D195" i="5" s="1"/>
  <c r="B196" i="5"/>
  <c r="D196" i="5" s="1"/>
  <c r="B197" i="5"/>
  <c r="D197" i="5" s="1"/>
  <c r="B198" i="5"/>
  <c r="D198" i="5" s="1"/>
  <c r="B199" i="5"/>
  <c r="D199" i="5" s="1"/>
  <c r="B200" i="5"/>
  <c r="D200" i="5" s="1"/>
  <c r="B201" i="5"/>
  <c r="D201" i="5" s="1"/>
  <c r="B202" i="5"/>
  <c r="D202" i="5" s="1"/>
  <c r="B203" i="5"/>
  <c r="D203" i="5" s="1"/>
  <c r="B204" i="5"/>
  <c r="D204" i="5" s="1"/>
  <c r="B205" i="5"/>
  <c r="D205" i="5" s="1"/>
  <c r="B206" i="5"/>
  <c r="D206" i="5" s="1"/>
  <c r="B207" i="5"/>
  <c r="D207" i="5" s="1"/>
  <c r="B208" i="5"/>
  <c r="D208" i="5" s="1"/>
  <c r="B209" i="5"/>
  <c r="D209" i="5" s="1"/>
  <c r="B210" i="5"/>
  <c r="D210" i="5" s="1"/>
  <c r="B211" i="5"/>
  <c r="D211" i="5" s="1"/>
  <c r="B212" i="5"/>
  <c r="D212" i="5" s="1"/>
  <c r="B213" i="5"/>
  <c r="D213" i="5" s="1"/>
  <c r="B214" i="5"/>
  <c r="D214" i="5" s="1"/>
  <c r="B215" i="5"/>
  <c r="D215" i="5" s="1"/>
  <c r="B216" i="5"/>
  <c r="D216" i="5" s="1"/>
  <c r="B217" i="5"/>
  <c r="D217" i="5" s="1"/>
  <c r="B218" i="5"/>
  <c r="D218" i="5" s="1"/>
  <c r="B219" i="5"/>
  <c r="D219" i="5" s="1"/>
  <c r="B220" i="5"/>
  <c r="D220" i="5" s="1"/>
  <c r="B221" i="5"/>
  <c r="D221" i="5" s="1"/>
  <c r="B222" i="5"/>
  <c r="D222" i="5" s="1"/>
  <c r="B223" i="5"/>
  <c r="D223" i="5" s="1"/>
  <c r="B224" i="5"/>
  <c r="D224" i="5" s="1"/>
  <c r="B225" i="5"/>
  <c r="D225" i="5" s="1"/>
  <c r="B226" i="5"/>
  <c r="D226" i="5" s="1"/>
  <c r="B227" i="5"/>
  <c r="D227" i="5" s="1"/>
  <c r="B228" i="5"/>
  <c r="D228" i="5" s="1"/>
  <c r="B229" i="5"/>
  <c r="D229" i="5" s="1"/>
  <c r="B230" i="5"/>
  <c r="D230" i="5" s="1"/>
  <c r="B231" i="5"/>
  <c r="D231" i="5" s="1"/>
  <c r="B232" i="5"/>
  <c r="D232" i="5" s="1"/>
  <c r="B233" i="5"/>
  <c r="D233" i="5" s="1"/>
  <c r="B234" i="5"/>
  <c r="D234" i="5" s="1"/>
  <c r="B235" i="5"/>
  <c r="D235" i="5" s="1"/>
  <c r="B236" i="5"/>
  <c r="D236" i="5" s="1"/>
  <c r="B237" i="5"/>
  <c r="D237" i="5" s="1"/>
  <c r="B238" i="5"/>
  <c r="D238" i="5" s="1"/>
  <c r="B239" i="5"/>
  <c r="D239" i="5" s="1"/>
  <c r="B240" i="5"/>
  <c r="D240" i="5" s="1"/>
  <c r="B241" i="5"/>
  <c r="D241" i="5" s="1"/>
  <c r="B242" i="5"/>
  <c r="D242" i="5" s="1"/>
  <c r="B243" i="5"/>
  <c r="D243" i="5" s="1"/>
  <c r="B244" i="5"/>
  <c r="D244" i="5" s="1"/>
  <c r="B245" i="5"/>
  <c r="D245" i="5" s="1"/>
  <c r="B246" i="5"/>
  <c r="D246" i="5" s="1"/>
  <c r="B247" i="5"/>
  <c r="D247" i="5" s="1"/>
  <c r="B248" i="5"/>
  <c r="D248" i="5" s="1"/>
  <c r="B249" i="5"/>
  <c r="D249" i="5" s="1"/>
  <c r="B250" i="5"/>
  <c r="D250" i="5" s="1"/>
  <c r="B251" i="5"/>
  <c r="D251" i="5" s="1"/>
  <c r="B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" i="4"/>
  <c r="G101" i="4"/>
  <c r="G102" i="4"/>
  <c r="G122" i="4"/>
  <c r="G132" i="4"/>
  <c r="G141" i="4"/>
  <c r="G142" i="4"/>
  <c r="G151" i="4"/>
  <c r="G152" i="4"/>
  <c r="G16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G22" i="4" s="1"/>
  <c r="E23" i="4"/>
  <c r="E24" i="4"/>
  <c r="E25" i="4"/>
  <c r="E26" i="4"/>
  <c r="E27" i="4"/>
  <c r="E28" i="4"/>
  <c r="E29" i="4"/>
  <c r="E30" i="4"/>
  <c r="E31" i="4"/>
  <c r="E32" i="4"/>
  <c r="G32" i="4" s="1"/>
  <c r="E33" i="4"/>
  <c r="E34" i="4"/>
  <c r="E35" i="4"/>
  <c r="E36" i="4"/>
  <c r="E37" i="4"/>
  <c r="E38" i="4"/>
  <c r="E39" i="4"/>
  <c r="E40" i="4"/>
  <c r="E41" i="4"/>
  <c r="G41" i="4" s="1"/>
  <c r="E42" i="4"/>
  <c r="G42" i="4" s="1"/>
  <c r="E43" i="4"/>
  <c r="E44" i="4"/>
  <c r="E45" i="4"/>
  <c r="E46" i="4"/>
  <c r="E47" i="4"/>
  <c r="E48" i="4"/>
  <c r="E49" i="4"/>
  <c r="E50" i="4"/>
  <c r="E51" i="4"/>
  <c r="G51" i="4" s="1"/>
  <c r="E52" i="4"/>
  <c r="G52" i="4" s="1"/>
  <c r="E53" i="4"/>
  <c r="E54" i="4"/>
  <c r="E55" i="4"/>
  <c r="E56" i="4"/>
  <c r="E57" i="4"/>
  <c r="E58" i="4"/>
  <c r="E59" i="4"/>
  <c r="E60" i="4"/>
  <c r="E61" i="4"/>
  <c r="E62" i="4"/>
  <c r="G62" i="4" s="1"/>
  <c r="E63" i="4"/>
  <c r="E64" i="4"/>
  <c r="E65" i="4"/>
  <c r="E66" i="4"/>
  <c r="E67" i="4"/>
  <c r="E68" i="4"/>
  <c r="E69" i="4"/>
  <c r="E70" i="4"/>
  <c r="E71" i="4"/>
  <c r="E72" i="4"/>
  <c r="G72" i="4" s="1"/>
  <c r="E73" i="4"/>
  <c r="E74" i="4"/>
  <c r="E75" i="4"/>
  <c r="E76" i="4"/>
  <c r="E77" i="4"/>
  <c r="E78" i="4"/>
  <c r="E79" i="4"/>
  <c r="E80" i="4"/>
  <c r="E81" i="4"/>
  <c r="E82" i="4"/>
  <c r="G82" i="4" s="1"/>
  <c r="E83" i="4"/>
  <c r="E84" i="4"/>
  <c r="E85" i="4"/>
  <c r="E86" i="4"/>
  <c r="E87" i="4"/>
  <c r="E88" i="4"/>
  <c r="E89" i="4"/>
  <c r="E90" i="4"/>
  <c r="E91" i="4"/>
  <c r="G91" i="4" s="1"/>
  <c r="E92" i="4"/>
  <c r="G92" i="4" s="1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" i="4"/>
  <c r="D2" i="4"/>
  <c r="G2" i="4" s="1"/>
  <c r="D3" i="4"/>
  <c r="G3" i="4" s="1"/>
  <c r="D4" i="4"/>
  <c r="G4" i="4" s="1"/>
  <c r="D5" i="4"/>
  <c r="G5" i="4" s="1"/>
  <c r="D6" i="4"/>
  <c r="G6" i="4" s="1"/>
  <c r="D7" i="4"/>
  <c r="G7" i="4" s="1"/>
  <c r="D8" i="4"/>
  <c r="G8" i="4" s="1"/>
  <c r="D9" i="4"/>
  <c r="G9" i="4" s="1"/>
  <c r="D10" i="4"/>
  <c r="G10" i="4" s="1"/>
  <c r="D11" i="4"/>
  <c r="G11" i="4" s="1"/>
  <c r="D12" i="4"/>
  <c r="G12" i="4" s="1"/>
  <c r="D13" i="4"/>
  <c r="G13" i="4" s="1"/>
  <c r="D14" i="4"/>
  <c r="G14" i="4" s="1"/>
  <c r="D15" i="4"/>
  <c r="G15" i="4" s="1"/>
  <c r="D16" i="4"/>
  <c r="G16" i="4" s="1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G94" i="4" s="1"/>
  <c r="D95" i="4"/>
  <c r="G95" i="4" s="1"/>
  <c r="D96" i="4"/>
  <c r="G96" i="4" s="1"/>
  <c r="D97" i="4"/>
  <c r="G97" i="4" s="1"/>
  <c r="D98" i="4"/>
  <c r="G98" i="4" s="1"/>
  <c r="D99" i="4"/>
  <c r="G99" i="4" s="1"/>
  <c r="D100" i="4"/>
  <c r="G100" i="4" s="1"/>
  <c r="D101" i="4"/>
  <c r="D102" i="4"/>
  <c r="D103" i="4"/>
  <c r="G103" i="4" s="1"/>
  <c r="D104" i="4"/>
  <c r="G104" i="4" s="1"/>
  <c r="D105" i="4"/>
  <c r="G105" i="4" s="1"/>
  <c r="D106" i="4"/>
  <c r="G106" i="4" s="1"/>
  <c r="D107" i="4"/>
  <c r="G107" i="4" s="1"/>
  <c r="D108" i="4"/>
  <c r="G108" i="4" s="1"/>
  <c r="D109" i="4"/>
  <c r="G109" i="4" s="1"/>
  <c r="D110" i="4"/>
  <c r="G110" i="4" s="1"/>
  <c r="D111" i="4"/>
  <c r="G111" i="4" s="1"/>
  <c r="D112" i="4"/>
  <c r="G112" i="4" s="1"/>
  <c r="D113" i="4"/>
  <c r="G113" i="4" s="1"/>
  <c r="D114" i="4"/>
  <c r="G114" i="4" s="1"/>
  <c r="D115" i="4"/>
  <c r="G115" i="4" s="1"/>
  <c r="D116" i="4"/>
  <c r="G116" i="4" s="1"/>
  <c r="D117" i="4"/>
  <c r="G117" i="4" s="1"/>
  <c r="D118" i="4"/>
  <c r="G118" i="4" s="1"/>
  <c r="D119" i="4"/>
  <c r="G119" i="4" s="1"/>
  <c r="D120" i="4"/>
  <c r="G120" i="4" s="1"/>
  <c r="D121" i="4"/>
  <c r="G121" i="4" s="1"/>
  <c r="D122" i="4"/>
  <c r="D123" i="4"/>
  <c r="G123" i="4" s="1"/>
  <c r="D124" i="4"/>
  <c r="G124" i="4" s="1"/>
  <c r="D125" i="4"/>
  <c r="G125" i="4" s="1"/>
  <c r="D126" i="4"/>
  <c r="G126" i="4" s="1"/>
  <c r="D127" i="4"/>
  <c r="G127" i="4" s="1"/>
  <c r="D128" i="4"/>
  <c r="G128" i="4" s="1"/>
  <c r="D129" i="4"/>
  <c r="G129" i="4" s="1"/>
  <c r="D130" i="4"/>
  <c r="G130" i="4" s="1"/>
  <c r="D131" i="4"/>
  <c r="G131" i="4" s="1"/>
  <c r="D132" i="4"/>
  <c r="D133" i="4"/>
  <c r="G133" i="4" s="1"/>
  <c r="D134" i="4"/>
  <c r="G134" i="4" s="1"/>
  <c r="D135" i="4"/>
  <c r="G135" i="4" s="1"/>
  <c r="D136" i="4"/>
  <c r="G136" i="4" s="1"/>
  <c r="D137" i="4"/>
  <c r="G137" i="4" s="1"/>
  <c r="D138" i="4"/>
  <c r="G138" i="4" s="1"/>
  <c r="D139" i="4"/>
  <c r="G139" i="4" s="1"/>
  <c r="D140" i="4"/>
  <c r="G140" i="4" s="1"/>
  <c r="D141" i="4"/>
  <c r="D142" i="4"/>
  <c r="D143" i="4"/>
  <c r="G143" i="4" s="1"/>
  <c r="D144" i="4"/>
  <c r="G144" i="4" s="1"/>
  <c r="D145" i="4"/>
  <c r="G145" i="4" s="1"/>
  <c r="D146" i="4"/>
  <c r="G146" i="4" s="1"/>
  <c r="D147" i="4"/>
  <c r="G147" i="4" s="1"/>
  <c r="D148" i="4"/>
  <c r="G148" i="4" s="1"/>
  <c r="D149" i="4"/>
  <c r="G149" i="4" s="1"/>
  <c r="D150" i="4"/>
  <c r="G150" i="4" s="1"/>
  <c r="D151" i="4"/>
  <c r="D152" i="4"/>
  <c r="D153" i="4"/>
  <c r="G153" i="4" s="1"/>
  <c r="D154" i="4"/>
  <c r="G154" i="4" s="1"/>
  <c r="D155" i="4"/>
  <c r="G155" i="4" s="1"/>
  <c r="D156" i="4"/>
  <c r="G156" i="4" s="1"/>
  <c r="D157" i="4"/>
  <c r="G157" i="4" s="1"/>
  <c r="D158" i="4"/>
  <c r="G158" i="4" s="1"/>
  <c r="D159" i="4"/>
  <c r="G159" i="4" s="1"/>
  <c r="D160" i="4"/>
  <c r="G160" i="4" s="1"/>
  <c r="D161" i="4"/>
  <c r="G161" i="4" s="1"/>
  <c r="D162" i="4"/>
  <c r="D163" i="4"/>
  <c r="G163" i="4" s="1"/>
  <c r="D164" i="4"/>
  <c r="G164" i="4" s="1"/>
  <c r="D165" i="4"/>
  <c r="G165" i="4" s="1"/>
  <c r="D166" i="4"/>
  <c r="G166" i="4" s="1"/>
  <c r="D167" i="4"/>
  <c r="G167" i="4" s="1"/>
  <c r="D168" i="4"/>
  <c r="G168" i="4" s="1"/>
  <c r="D169" i="4"/>
  <c r="G169" i="4" s="1"/>
  <c r="D170" i="4"/>
  <c r="G170" i="4" s="1"/>
  <c r="D171" i="4"/>
  <c r="G171" i="4" s="1"/>
  <c r="D172" i="4"/>
  <c r="G172" i="4" s="1"/>
  <c r="D173" i="4"/>
  <c r="G173" i="4" s="1"/>
  <c r="D174" i="4"/>
  <c r="G174" i="4" s="1"/>
  <c r="D175" i="4"/>
  <c r="G175" i="4" s="1"/>
  <c r="D176" i="4"/>
  <c r="G176" i="4" s="1"/>
  <c r="D177" i="4"/>
  <c r="G177" i="4" s="1"/>
  <c r="D178" i="4"/>
  <c r="G178" i="4" s="1"/>
  <c r="D179" i="4"/>
  <c r="G179" i="4" s="1"/>
  <c r="D180" i="4"/>
  <c r="G180" i="4" s="1"/>
  <c r="D181" i="4"/>
  <c r="G181" i="4" s="1"/>
  <c r="D182" i="4"/>
  <c r="G182" i="4" s="1"/>
  <c r="D183" i="4"/>
  <c r="G183" i="4" s="1"/>
  <c r="D184" i="4"/>
  <c r="G184" i="4" s="1"/>
  <c r="D185" i="4"/>
  <c r="G185" i="4" s="1"/>
  <c r="D186" i="4"/>
  <c r="G186" i="4" s="1"/>
  <c r="D187" i="4"/>
  <c r="G187" i="4" s="1"/>
  <c r="D188" i="4"/>
  <c r="G188" i="4" s="1"/>
  <c r="D189" i="4"/>
  <c r="G189" i="4" s="1"/>
  <c r="D190" i="4"/>
  <c r="G190" i="4" s="1"/>
  <c r="D191" i="4"/>
  <c r="G191" i="4" s="1"/>
  <c r="D192" i="4"/>
  <c r="G192" i="4" s="1"/>
  <c r="D193" i="4"/>
  <c r="G193" i="4" s="1"/>
  <c r="D194" i="4"/>
  <c r="G194" i="4" s="1"/>
  <c r="D195" i="4"/>
  <c r="G195" i="4" s="1"/>
  <c r="D196" i="4"/>
  <c r="G196" i="4" s="1"/>
  <c r="D197" i="4"/>
  <c r="G197" i="4" s="1"/>
  <c r="D198" i="4"/>
  <c r="G198" i="4" s="1"/>
  <c r="D199" i="4"/>
  <c r="G199" i="4" s="1"/>
  <c r="D200" i="4"/>
  <c r="G200" i="4" s="1"/>
  <c r="D201" i="4"/>
  <c r="G201" i="4" s="1"/>
  <c r="D202" i="4"/>
  <c r="G202" i="4" s="1"/>
  <c r="D203" i="4"/>
  <c r="G203" i="4" s="1"/>
  <c r="D204" i="4"/>
  <c r="G204" i="4" s="1"/>
  <c r="D205" i="4"/>
  <c r="G205" i="4" s="1"/>
  <c r="D206" i="4"/>
  <c r="G206" i="4" s="1"/>
  <c r="D207" i="4"/>
  <c r="G207" i="4" s="1"/>
  <c r="D208" i="4"/>
  <c r="G208" i="4" s="1"/>
  <c r="D209" i="4"/>
  <c r="G209" i="4" s="1"/>
  <c r="D210" i="4"/>
  <c r="G210" i="4" s="1"/>
  <c r="D211" i="4"/>
  <c r="G211" i="4" s="1"/>
  <c r="D212" i="4"/>
  <c r="G212" i="4" s="1"/>
  <c r="D213" i="4"/>
  <c r="G213" i="4" s="1"/>
  <c r="D214" i="4"/>
  <c r="G214" i="4" s="1"/>
  <c r="D215" i="4"/>
  <c r="G215" i="4" s="1"/>
  <c r="D216" i="4"/>
  <c r="G216" i="4" s="1"/>
  <c r="D217" i="4"/>
  <c r="G217" i="4" s="1"/>
  <c r="D218" i="4"/>
  <c r="G218" i="4" s="1"/>
  <c r="D219" i="4"/>
  <c r="G219" i="4" s="1"/>
  <c r="D220" i="4"/>
  <c r="G220" i="4" s="1"/>
  <c r="D221" i="4"/>
  <c r="G221" i="4" s="1"/>
  <c r="D222" i="4"/>
  <c r="G222" i="4" s="1"/>
  <c r="D223" i="4"/>
  <c r="G223" i="4" s="1"/>
  <c r="D224" i="4"/>
  <c r="G224" i="4" s="1"/>
  <c r="D225" i="4"/>
  <c r="G225" i="4" s="1"/>
  <c r="D226" i="4"/>
  <c r="G226" i="4" s="1"/>
  <c r="D227" i="4"/>
  <c r="G227" i="4" s="1"/>
  <c r="D228" i="4"/>
  <c r="G228" i="4" s="1"/>
  <c r="D229" i="4"/>
  <c r="G229" i="4" s="1"/>
  <c r="D230" i="4"/>
  <c r="G230" i="4" s="1"/>
  <c r="D231" i="4"/>
  <c r="G231" i="4" s="1"/>
  <c r="D232" i="4"/>
  <c r="G232" i="4" s="1"/>
  <c r="D233" i="4"/>
  <c r="G233" i="4" s="1"/>
  <c r="D234" i="4"/>
  <c r="G234" i="4" s="1"/>
  <c r="D235" i="4"/>
  <c r="G235" i="4" s="1"/>
  <c r="D236" i="4"/>
  <c r="G236" i="4" s="1"/>
  <c r="D237" i="4"/>
  <c r="G237" i="4" s="1"/>
  <c r="D238" i="4"/>
  <c r="G238" i="4" s="1"/>
  <c r="D239" i="4"/>
  <c r="G239" i="4" s="1"/>
  <c r="D240" i="4"/>
  <c r="G240" i="4" s="1"/>
  <c r="D241" i="4"/>
  <c r="G241" i="4" s="1"/>
  <c r="D242" i="4"/>
  <c r="G242" i="4" s="1"/>
  <c r="D243" i="4"/>
  <c r="G243" i="4" s="1"/>
  <c r="D244" i="4"/>
  <c r="G244" i="4" s="1"/>
  <c r="D245" i="4"/>
  <c r="G245" i="4" s="1"/>
  <c r="D246" i="4"/>
  <c r="G246" i="4" s="1"/>
  <c r="D247" i="4"/>
  <c r="G247" i="4" s="1"/>
  <c r="D248" i="4"/>
  <c r="G248" i="4" s="1"/>
  <c r="D249" i="4"/>
  <c r="G249" i="4" s="1"/>
  <c r="D250" i="4"/>
  <c r="G250" i="4" s="1"/>
  <c r="D251" i="4"/>
  <c r="G251" i="4" s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" i="4"/>
  <c r="B3" i="4"/>
  <c r="F3" i="4" s="1"/>
  <c r="J3" i="4" s="1"/>
  <c r="B4" i="4"/>
  <c r="F4" i="4" s="1"/>
  <c r="J4" i="4" s="1"/>
  <c r="B5" i="4"/>
  <c r="F5" i="4" s="1"/>
  <c r="J5" i="4" s="1"/>
  <c r="B6" i="4"/>
  <c r="F6" i="4" s="1"/>
  <c r="J6" i="4" s="1"/>
  <c r="B7" i="4"/>
  <c r="F7" i="4" s="1"/>
  <c r="J7" i="4" s="1"/>
  <c r="B8" i="4"/>
  <c r="F8" i="4" s="1"/>
  <c r="J8" i="4" s="1"/>
  <c r="B9" i="4"/>
  <c r="F9" i="4" s="1"/>
  <c r="J9" i="4" s="1"/>
  <c r="B10" i="4"/>
  <c r="F10" i="4" s="1"/>
  <c r="J10" i="4" s="1"/>
  <c r="B11" i="4"/>
  <c r="F11" i="4" s="1"/>
  <c r="J11" i="4" s="1"/>
  <c r="B12" i="4"/>
  <c r="F12" i="4" s="1"/>
  <c r="J12" i="4" s="1"/>
  <c r="B13" i="4"/>
  <c r="F13" i="4" s="1"/>
  <c r="J13" i="4" s="1"/>
  <c r="B14" i="4"/>
  <c r="F14" i="4" s="1"/>
  <c r="J14" i="4" s="1"/>
  <c r="B15" i="4"/>
  <c r="F15" i="4" s="1"/>
  <c r="J15" i="4" s="1"/>
  <c r="B16" i="4"/>
  <c r="F16" i="4" s="1"/>
  <c r="J16" i="4" s="1"/>
  <c r="B17" i="4"/>
  <c r="F17" i="4" s="1"/>
  <c r="B18" i="4"/>
  <c r="F18" i="4" s="1"/>
  <c r="B19" i="4"/>
  <c r="F19" i="4" s="1"/>
  <c r="B20" i="4"/>
  <c r="F20" i="4" s="1"/>
  <c r="B21" i="4"/>
  <c r="F21" i="4" s="1"/>
  <c r="B22" i="4"/>
  <c r="F22" i="4" s="1"/>
  <c r="B23" i="4"/>
  <c r="F23" i="4" s="1"/>
  <c r="B24" i="4"/>
  <c r="F24" i="4" s="1"/>
  <c r="B25" i="4"/>
  <c r="F25" i="4" s="1"/>
  <c r="B26" i="4"/>
  <c r="F26" i="4" s="1"/>
  <c r="B27" i="4"/>
  <c r="F27" i="4" s="1"/>
  <c r="B28" i="4"/>
  <c r="F28" i="4" s="1"/>
  <c r="B29" i="4"/>
  <c r="F29" i="4" s="1"/>
  <c r="B30" i="4"/>
  <c r="F30" i="4" s="1"/>
  <c r="B31" i="4"/>
  <c r="F31" i="4" s="1"/>
  <c r="B32" i="4"/>
  <c r="F32" i="4" s="1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F119" i="4" s="1"/>
  <c r="J119" i="4" s="1"/>
  <c r="B120" i="4"/>
  <c r="F120" i="4" s="1"/>
  <c r="J120" i="4" s="1"/>
  <c r="B121" i="4"/>
  <c r="F121" i="4" s="1"/>
  <c r="J121" i="4" s="1"/>
  <c r="B122" i="4"/>
  <c r="F122" i="4" s="1"/>
  <c r="J122" i="4" s="1"/>
  <c r="B123" i="4"/>
  <c r="F123" i="4" s="1"/>
  <c r="J123" i="4" s="1"/>
  <c r="B124" i="4"/>
  <c r="F124" i="4" s="1"/>
  <c r="J124" i="4" s="1"/>
  <c r="B125" i="4"/>
  <c r="F125" i="4" s="1"/>
  <c r="J125" i="4" s="1"/>
  <c r="B126" i="4"/>
  <c r="F126" i="4" s="1"/>
  <c r="J126" i="4" s="1"/>
  <c r="B127" i="4"/>
  <c r="F127" i="4" s="1"/>
  <c r="J127" i="4" s="1"/>
  <c r="B128" i="4"/>
  <c r="F128" i="4" s="1"/>
  <c r="J128" i="4" s="1"/>
  <c r="B129" i="4"/>
  <c r="F129" i="4" s="1"/>
  <c r="J129" i="4" s="1"/>
  <c r="B130" i="4"/>
  <c r="F130" i="4" s="1"/>
  <c r="J130" i="4" s="1"/>
  <c r="B131" i="4"/>
  <c r="F131" i="4" s="1"/>
  <c r="J131" i="4" s="1"/>
  <c r="B132" i="4"/>
  <c r="F132" i="4" s="1"/>
  <c r="J132" i="4" s="1"/>
  <c r="B133" i="4"/>
  <c r="F133" i="4" s="1"/>
  <c r="J133" i="4" s="1"/>
  <c r="B134" i="4"/>
  <c r="F134" i="4" s="1"/>
  <c r="J134" i="4" s="1"/>
  <c r="B135" i="4"/>
  <c r="F135" i="4" s="1"/>
  <c r="J135" i="4" s="1"/>
  <c r="B136" i="4"/>
  <c r="F136" i="4" s="1"/>
  <c r="J136" i="4" s="1"/>
  <c r="B137" i="4"/>
  <c r="F137" i="4" s="1"/>
  <c r="J137" i="4" s="1"/>
  <c r="B138" i="4"/>
  <c r="F138" i="4" s="1"/>
  <c r="J138" i="4" s="1"/>
  <c r="B139" i="4"/>
  <c r="F139" i="4" s="1"/>
  <c r="J139" i="4" s="1"/>
  <c r="B140" i="4"/>
  <c r="F140" i="4" s="1"/>
  <c r="J140" i="4" s="1"/>
  <c r="B141" i="4"/>
  <c r="F141" i="4" s="1"/>
  <c r="J141" i="4" s="1"/>
  <c r="B142" i="4"/>
  <c r="F142" i="4" s="1"/>
  <c r="J142" i="4" s="1"/>
  <c r="B143" i="4"/>
  <c r="F143" i="4" s="1"/>
  <c r="J143" i="4" s="1"/>
  <c r="B144" i="4"/>
  <c r="F144" i="4" s="1"/>
  <c r="J144" i="4" s="1"/>
  <c r="B145" i="4"/>
  <c r="F145" i="4" s="1"/>
  <c r="J145" i="4" s="1"/>
  <c r="B146" i="4"/>
  <c r="F146" i="4" s="1"/>
  <c r="J146" i="4" s="1"/>
  <c r="B147" i="4"/>
  <c r="F147" i="4" s="1"/>
  <c r="J147" i="4" s="1"/>
  <c r="B148" i="4"/>
  <c r="F148" i="4" s="1"/>
  <c r="J148" i="4" s="1"/>
  <c r="B149" i="4"/>
  <c r="F149" i="4" s="1"/>
  <c r="J149" i="4" s="1"/>
  <c r="B150" i="4"/>
  <c r="F150" i="4" s="1"/>
  <c r="J150" i="4" s="1"/>
  <c r="B151" i="4"/>
  <c r="F151" i="4" s="1"/>
  <c r="J151" i="4" s="1"/>
  <c r="B152" i="4"/>
  <c r="F152" i="4" s="1"/>
  <c r="J152" i="4" s="1"/>
  <c r="B153" i="4"/>
  <c r="F153" i="4" s="1"/>
  <c r="J153" i="4" s="1"/>
  <c r="B154" i="4"/>
  <c r="F154" i="4" s="1"/>
  <c r="J154" i="4" s="1"/>
  <c r="B155" i="4"/>
  <c r="F155" i="4" s="1"/>
  <c r="J155" i="4" s="1"/>
  <c r="B156" i="4"/>
  <c r="F156" i="4" s="1"/>
  <c r="J156" i="4" s="1"/>
  <c r="B157" i="4"/>
  <c r="F157" i="4" s="1"/>
  <c r="J157" i="4" s="1"/>
  <c r="B158" i="4"/>
  <c r="F158" i="4" s="1"/>
  <c r="J158" i="4" s="1"/>
  <c r="B159" i="4"/>
  <c r="F159" i="4" s="1"/>
  <c r="J159" i="4" s="1"/>
  <c r="B160" i="4"/>
  <c r="F160" i="4" s="1"/>
  <c r="J160" i="4" s="1"/>
  <c r="B161" i="4"/>
  <c r="F161" i="4" s="1"/>
  <c r="J161" i="4" s="1"/>
  <c r="B162" i="4"/>
  <c r="F162" i="4" s="1"/>
  <c r="J162" i="4" s="1"/>
  <c r="B163" i="4"/>
  <c r="F163" i="4" s="1"/>
  <c r="J163" i="4" s="1"/>
  <c r="B164" i="4"/>
  <c r="F164" i="4" s="1"/>
  <c r="J164" i="4" s="1"/>
  <c r="B165" i="4"/>
  <c r="F165" i="4" s="1"/>
  <c r="J165" i="4" s="1"/>
  <c r="B166" i="4"/>
  <c r="F166" i="4" s="1"/>
  <c r="J166" i="4" s="1"/>
  <c r="B167" i="4"/>
  <c r="F167" i="4" s="1"/>
  <c r="J167" i="4" s="1"/>
  <c r="B168" i="4"/>
  <c r="F168" i="4" s="1"/>
  <c r="J168" i="4" s="1"/>
  <c r="B169" i="4"/>
  <c r="F169" i="4" s="1"/>
  <c r="J169" i="4" s="1"/>
  <c r="B170" i="4"/>
  <c r="F170" i="4" s="1"/>
  <c r="J170" i="4" s="1"/>
  <c r="B171" i="4"/>
  <c r="F171" i="4" s="1"/>
  <c r="J171" i="4" s="1"/>
  <c r="B172" i="4"/>
  <c r="F172" i="4" s="1"/>
  <c r="J172" i="4" s="1"/>
  <c r="B173" i="4"/>
  <c r="F173" i="4" s="1"/>
  <c r="J173" i="4" s="1"/>
  <c r="B174" i="4"/>
  <c r="F174" i="4" s="1"/>
  <c r="J174" i="4" s="1"/>
  <c r="B175" i="4"/>
  <c r="F175" i="4" s="1"/>
  <c r="J175" i="4" s="1"/>
  <c r="B176" i="4"/>
  <c r="F176" i="4" s="1"/>
  <c r="J176" i="4" s="1"/>
  <c r="B177" i="4"/>
  <c r="F177" i="4" s="1"/>
  <c r="J177" i="4" s="1"/>
  <c r="B178" i="4"/>
  <c r="F178" i="4" s="1"/>
  <c r="J178" i="4" s="1"/>
  <c r="B179" i="4"/>
  <c r="F179" i="4" s="1"/>
  <c r="J179" i="4" s="1"/>
  <c r="B180" i="4"/>
  <c r="F180" i="4" s="1"/>
  <c r="J180" i="4" s="1"/>
  <c r="B181" i="4"/>
  <c r="F181" i="4" s="1"/>
  <c r="J181" i="4" s="1"/>
  <c r="B182" i="4"/>
  <c r="F182" i="4" s="1"/>
  <c r="J182" i="4" s="1"/>
  <c r="B183" i="4"/>
  <c r="F183" i="4" s="1"/>
  <c r="J183" i="4" s="1"/>
  <c r="B184" i="4"/>
  <c r="F184" i="4" s="1"/>
  <c r="J184" i="4" s="1"/>
  <c r="B185" i="4"/>
  <c r="F185" i="4" s="1"/>
  <c r="J185" i="4" s="1"/>
  <c r="B186" i="4"/>
  <c r="F186" i="4" s="1"/>
  <c r="J186" i="4" s="1"/>
  <c r="B187" i="4"/>
  <c r="F187" i="4" s="1"/>
  <c r="J187" i="4" s="1"/>
  <c r="B188" i="4"/>
  <c r="F188" i="4" s="1"/>
  <c r="J188" i="4" s="1"/>
  <c r="B189" i="4"/>
  <c r="F189" i="4" s="1"/>
  <c r="J189" i="4" s="1"/>
  <c r="B190" i="4"/>
  <c r="F190" i="4" s="1"/>
  <c r="J190" i="4" s="1"/>
  <c r="B191" i="4"/>
  <c r="F191" i="4" s="1"/>
  <c r="J191" i="4" s="1"/>
  <c r="B192" i="4"/>
  <c r="F192" i="4" s="1"/>
  <c r="J192" i="4" s="1"/>
  <c r="B193" i="4"/>
  <c r="F193" i="4" s="1"/>
  <c r="J193" i="4" s="1"/>
  <c r="B194" i="4"/>
  <c r="F194" i="4" s="1"/>
  <c r="J194" i="4" s="1"/>
  <c r="B195" i="4"/>
  <c r="F195" i="4" s="1"/>
  <c r="J195" i="4" s="1"/>
  <c r="B196" i="4"/>
  <c r="F196" i="4" s="1"/>
  <c r="J196" i="4" s="1"/>
  <c r="B197" i="4"/>
  <c r="F197" i="4" s="1"/>
  <c r="J197" i="4" s="1"/>
  <c r="B198" i="4"/>
  <c r="F198" i="4" s="1"/>
  <c r="J198" i="4" s="1"/>
  <c r="B199" i="4"/>
  <c r="F199" i="4" s="1"/>
  <c r="J199" i="4" s="1"/>
  <c r="B200" i="4"/>
  <c r="F200" i="4" s="1"/>
  <c r="J200" i="4" s="1"/>
  <c r="B201" i="4"/>
  <c r="F201" i="4" s="1"/>
  <c r="J201" i="4" s="1"/>
  <c r="B202" i="4"/>
  <c r="F202" i="4" s="1"/>
  <c r="J202" i="4" s="1"/>
  <c r="B203" i="4"/>
  <c r="F203" i="4" s="1"/>
  <c r="J203" i="4" s="1"/>
  <c r="B204" i="4"/>
  <c r="F204" i="4" s="1"/>
  <c r="J204" i="4" s="1"/>
  <c r="B205" i="4"/>
  <c r="F205" i="4" s="1"/>
  <c r="J205" i="4" s="1"/>
  <c r="B206" i="4"/>
  <c r="F206" i="4" s="1"/>
  <c r="J206" i="4" s="1"/>
  <c r="B207" i="4"/>
  <c r="F207" i="4" s="1"/>
  <c r="J207" i="4" s="1"/>
  <c r="B208" i="4"/>
  <c r="F208" i="4" s="1"/>
  <c r="J208" i="4" s="1"/>
  <c r="B209" i="4"/>
  <c r="F209" i="4" s="1"/>
  <c r="J209" i="4" s="1"/>
  <c r="B210" i="4"/>
  <c r="F210" i="4" s="1"/>
  <c r="J210" i="4" s="1"/>
  <c r="B211" i="4"/>
  <c r="F211" i="4" s="1"/>
  <c r="J211" i="4" s="1"/>
  <c r="B212" i="4"/>
  <c r="F212" i="4" s="1"/>
  <c r="J212" i="4" s="1"/>
  <c r="B213" i="4"/>
  <c r="F213" i="4" s="1"/>
  <c r="J213" i="4" s="1"/>
  <c r="B214" i="4"/>
  <c r="F214" i="4" s="1"/>
  <c r="J214" i="4" s="1"/>
  <c r="B215" i="4"/>
  <c r="F215" i="4" s="1"/>
  <c r="J215" i="4" s="1"/>
  <c r="B216" i="4"/>
  <c r="F216" i="4" s="1"/>
  <c r="J216" i="4" s="1"/>
  <c r="B217" i="4"/>
  <c r="F217" i="4" s="1"/>
  <c r="J217" i="4" s="1"/>
  <c r="B218" i="4"/>
  <c r="F218" i="4" s="1"/>
  <c r="J218" i="4" s="1"/>
  <c r="B219" i="4"/>
  <c r="F219" i="4" s="1"/>
  <c r="J219" i="4" s="1"/>
  <c r="B220" i="4"/>
  <c r="F220" i="4" s="1"/>
  <c r="J220" i="4" s="1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Z3" i="3"/>
  <c r="C3" i="5" s="1"/>
  <c r="E3" i="5" s="1"/>
  <c r="Z4" i="3"/>
  <c r="C4" i="5" s="1"/>
  <c r="E4" i="5" s="1"/>
  <c r="Z5" i="3"/>
  <c r="C5" i="5" s="1"/>
  <c r="E5" i="5" s="1"/>
  <c r="Z6" i="3"/>
  <c r="C6" i="5" s="1"/>
  <c r="E6" i="5" s="1"/>
  <c r="Z7" i="3"/>
  <c r="C7" i="5" s="1"/>
  <c r="E7" i="5" s="1"/>
  <c r="Z8" i="3"/>
  <c r="C8" i="5" s="1"/>
  <c r="E8" i="5" s="1"/>
  <c r="Z9" i="3"/>
  <c r="C9" i="5" s="1"/>
  <c r="E9" i="5" s="1"/>
  <c r="Z10" i="3"/>
  <c r="C10" i="5" s="1"/>
  <c r="E10" i="5" s="1"/>
  <c r="Z11" i="3"/>
  <c r="C11" i="5" s="1"/>
  <c r="E11" i="5" s="1"/>
  <c r="Z12" i="3"/>
  <c r="C12" i="5" s="1"/>
  <c r="E12" i="5" s="1"/>
  <c r="Z13" i="3"/>
  <c r="C13" i="5" s="1"/>
  <c r="E13" i="5" s="1"/>
  <c r="Z14" i="3"/>
  <c r="C14" i="5" s="1"/>
  <c r="E14" i="5" s="1"/>
  <c r="Z15" i="3"/>
  <c r="C15" i="5" s="1"/>
  <c r="E15" i="5" s="1"/>
  <c r="Z16" i="3"/>
  <c r="C16" i="5" s="1"/>
  <c r="E16" i="5" s="1"/>
  <c r="Z17" i="3"/>
  <c r="C17" i="5" s="1"/>
  <c r="E17" i="5" s="1"/>
  <c r="Z18" i="3"/>
  <c r="C18" i="5" s="1"/>
  <c r="E18" i="5" s="1"/>
  <c r="Z19" i="3"/>
  <c r="C19" i="5" s="1"/>
  <c r="E19" i="5" s="1"/>
  <c r="Z20" i="3"/>
  <c r="C20" i="5" s="1"/>
  <c r="E20" i="5" s="1"/>
  <c r="Z21" i="3"/>
  <c r="C21" i="5" s="1"/>
  <c r="E21" i="5" s="1"/>
  <c r="Z22" i="3"/>
  <c r="C22" i="5" s="1"/>
  <c r="E22" i="5" s="1"/>
  <c r="Z23" i="3"/>
  <c r="C23" i="5" s="1"/>
  <c r="E23" i="5" s="1"/>
  <c r="Z24" i="3"/>
  <c r="C24" i="5" s="1"/>
  <c r="E24" i="5" s="1"/>
  <c r="Z25" i="3"/>
  <c r="C25" i="5" s="1"/>
  <c r="E25" i="5" s="1"/>
  <c r="Z26" i="3"/>
  <c r="C26" i="5" s="1"/>
  <c r="E26" i="5" s="1"/>
  <c r="Z27" i="3"/>
  <c r="C27" i="5" s="1"/>
  <c r="E27" i="5" s="1"/>
  <c r="Z28" i="3"/>
  <c r="C28" i="5" s="1"/>
  <c r="E28" i="5" s="1"/>
  <c r="Z29" i="3"/>
  <c r="C29" i="5" s="1"/>
  <c r="E29" i="5" s="1"/>
  <c r="Z30" i="3"/>
  <c r="C30" i="5" s="1"/>
  <c r="E30" i="5" s="1"/>
  <c r="Z31" i="3"/>
  <c r="C31" i="5" s="1"/>
  <c r="E31" i="5" s="1"/>
  <c r="Z32" i="3"/>
  <c r="C32" i="5" s="1"/>
  <c r="E32" i="5" s="1"/>
  <c r="Z33" i="3"/>
  <c r="C33" i="5" s="1"/>
  <c r="E33" i="5" s="1"/>
  <c r="Z34" i="3"/>
  <c r="C34" i="5" s="1"/>
  <c r="E34" i="5" s="1"/>
  <c r="Z35" i="3"/>
  <c r="C35" i="5" s="1"/>
  <c r="E35" i="5" s="1"/>
  <c r="Z36" i="3"/>
  <c r="C36" i="5" s="1"/>
  <c r="E36" i="5" s="1"/>
  <c r="Z37" i="3"/>
  <c r="C37" i="5" s="1"/>
  <c r="E37" i="5" s="1"/>
  <c r="Z38" i="3"/>
  <c r="C38" i="5" s="1"/>
  <c r="E38" i="5" s="1"/>
  <c r="Z39" i="3"/>
  <c r="C39" i="5" s="1"/>
  <c r="E39" i="5" s="1"/>
  <c r="Z40" i="3"/>
  <c r="C40" i="5" s="1"/>
  <c r="E40" i="5" s="1"/>
  <c r="Z41" i="3"/>
  <c r="C41" i="5" s="1"/>
  <c r="E41" i="5" s="1"/>
  <c r="Z42" i="3"/>
  <c r="C42" i="5" s="1"/>
  <c r="E42" i="5" s="1"/>
  <c r="Z43" i="3"/>
  <c r="C43" i="5" s="1"/>
  <c r="E43" i="5" s="1"/>
  <c r="Z44" i="3"/>
  <c r="C44" i="5" s="1"/>
  <c r="E44" i="5" s="1"/>
  <c r="Z45" i="3"/>
  <c r="C45" i="5" s="1"/>
  <c r="E45" i="5" s="1"/>
  <c r="Z46" i="3"/>
  <c r="C46" i="5" s="1"/>
  <c r="E46" i="5" s="1"/>
  <c r="Z47" i="3"/>
  <c r="C47" i="5" s="1"/>
  <c r="E47" i="5" s="1"/>
  <c r="Z48" i="3"/>
  <c r="C48" i="5" s="1"/>
  <c r="E48" i="5" s="1"/>
  <c r="Z49" i="3"/>
  <c r="C49" i="5" s="1"/>
  <c r="E49" i="5" s="1"/>
  <c r="Z50" i="3"/>
  <c r="C50" i="5" s="1"/>
  <c r="E50" i="5" s="1"/>
  <c r="Z51" i="3"/>
  <c r="C51" i="5" s="1"/>
  <c r="E51" i="5" s="1"/>
  <c r="Z52" i="3"/>
  <c r="C52" i="5" s="1"/>
  <c r="E52" i="5" s="1"/>
  <c r="Z53" i="3"/>
  <c r="C53" i="5" s="1"/>
  <c r="E53" i="5" s="1"/>
  <c r="Z54" i="3"/>
  <c r="C54" i="5" s="1"/>
  <c r="E54" i="5" s="1"/>
  <c r="Z55" i="3"/>
  <c r="C55" i="5" s="1"/>
  <c r="E55" i="5" s="1"/>
  <c r="Z56" i="3"/>
  <c r="C56" i="5" s="1"/>
  <c r="E56" i="5" s="1"/>
  <c r="Z57" i="3"/>
  <c r="C57" i="5" s="1"/>
  <c r="E57" i="5" s="1"/>
  <c r="Z58" i="3"/>
  <c r="C58" i="5" s="1"/>
  <c r="E58" i="5" s="1"/>
  <c r="Z59" i="3"/>
  <c r="C59" i="5" s="1"/>
  <c r="E59" i="5" s="1"/>
  <c r="Z60" i="3"/>
  <c r="C60" i="5" s="1"/>
  <c r="E60" i="5" s="1"/>
  <c r="Z61" i="3"/>
  <c r="C61" i="5" s="1"/>
  <c r="E61" i="5" s="1"/>
  <c r="Z62" i="3"/>
  <c r="C62" i="5" s="1"/>
  <c r="E62" i="5" s="1"/>
  <c r="Z63" i="3"/>
  <c r="C63" i="5" s="1"/>
  <c r="E63" i="5" s="1"/>
  <c r="Z64" i="3"/>
  <c r="C64" i="5" s="1"/>
  <c r="E64" i="5" s="1"/>
  <c r="Z65" i="3"/>
  <c r="C65" i="5" s="1"/>
  <c r="E65" i="5" s="1"/>
  <c r="Z66" i="3"/>
  <c r="C66" i="5" s="1"/>
  <c r="E66" i="5" s="1"/>
  <c r="Z67" i="3"/>
  <c r="C67" i="5" s="1"/>
  <c r="E67" i="5" s="1"/>
  <c r="Z68" i="3"/>
  <c r="C68" i="5" s="1"/>
  <c r="E68" i="5" s="1"/>
  <c r="Z69" i="3"/>
  <c r="C69" i="5" s="1"/>
  <c r="E69" i="5" s="1"/>
  <c r="Z70" i="3"/>
  <c r="C70" i="5" s="1"/>
  <c r="E70" i="5" s="1"/>
  <c r="Z71" i="3"/>
  <c r="C71" i="5" s="1"/>
  <c r="E71" i="5" s="1"/>
  <c r="Z72" i="3"/>
  <c r="C72" i="5" s="1"/>
  <c r="E72" i="5" s="1"/>
  <c r="Z73" i="3"/>
  <c r="C73" i="5" s="1"/>
  <c r="E73" i="5" s="1"/>
  <c r="Z74" i="3"/>
  <c r="C74" i="5" s="1"/>
  <c r="E74" i="5" s="1"/>
  <c r="Z75" i="3"/>
  <c r="C75" i="5" s="1"/>
  <c r="E75" i="5" s="1"/>
  <c r="Z76" i="3"/>
  <c r="C76" i="5" s="1"/>
  <c r="E76" i="5" s="1"/>
  <c r="Z77" i="3"/>
  <c r="C77" i="5" s="1"/>
  <c r="E77" i="5" s="1"/>
  <c r="Z78" i="3"/>
  <c r="C78" i="5" s="1"/>
  <c r="E78" i="5" s="1"/>
  <c r="Z79" i="3"/>
  <c r="C79" i="5" s="1"/>
  <c r="E79" i="5" s="1"/>
  <c r="Z80" i="3"/>
  <c r="C80" i="5" s="1"/>
  <c r="E80" i="5" s="1"/>
  <c r="Z81" i="3"/>
  <c r="C81" i="5" s="1"/>
  <c r="E81" i="5" s="1"/>
  <c r="Z82" i="3"/>
  <c r="C82" i="5" s="1"/>
  <c r="E82" i="5" s="1"/>
  <c r="Z83" i="3"/>
  <c r="C83" i="5" s="1"/>
  <c r="E83" i="5" s="1"/>
  <c r="Z84" i="3"/>
  <c r="C84" i="5" s="1"/>
  <c r="E84" i="5" s="1"/>
  <c r="Z85" i="3"/>
  <c r="C85" i="5" s="1"/>
  <c r="E85" i="5" s="1"/>
  <c r="Z86" i="3"/>
  <c r="C86" i="5" s="1"/>
  <c r="E86" i="5" s="1"/>
  <c r="Z87" i="3"/>
  <c r="C87" i="5" s="1"/>
  <c r="E87" i="5" s="1"/>
  <c r="Z88" i="3"/>
  <c r="C88" i="5" s="1"/>
  <c r="E88" i="5" s="1"/>
  <c r="Z89" i="3"/>
  <c r="C89" i="5" s="1"/>
  <c r="E89" i="5" s="1"/>
  <c r="Z90" i="3"/>
  <c r="C90" i="5" s="1"/>
  <c r="E90" i="5" s="1"/>
  <c r="Z91" i="3"/>
  <c r="C91" i="5" s="1"/>
  <c r="E91" i="5" s="1"/>
  <c r="Z92" i="3"/>
  <c r="C92" i="5" s="1"/>
  <c r="E92" i="5" s="1"/>
  <c r="Z93" i="3"/>
  <c r="C93" i="5" s="1"/>
  <c r="E93" i="5" s="1"/>
  <c r="Z94" i="3"/>
  <c r="C94" i="5" s="1"/>
  <c r="E94" i="5" s="1"/>
  <c r="Z95" i="3"/>
  <c r="C95" i="5" s="1"/>
  <c r="E95" i="5" s="1"/>
  <c r="Z96" i="3"/>
  <c r="C96" i="5" s="1"/>
  <c r="E96" i="5" s="1"/>
  <c r="Z97" i="3"/>
  <c r="C97" i="5" s="1"/>
  <c r="E97" i="5" s="1"/>
  <c r="Z98" i="3"/>
  <c r="C98" i="5" s="1"/>
  <c r="E98" i="5" s="1"/>
  <c r="Z99" i="3"/>
  <c r="C99" i="5" s="1"/>
  <c r="E99" i="5" s="1"/>
  <c r="Z100" i="3"/>
  <c r="C100" i="5" s="1"/>
  <c r="E100" i="5" s="1"/>
  <c r="Z101" i="3"/>
  <c r="C101" i="5" s="1"/>
  <c r="E101" i="5" s="1"/>
  <c r="Z102" i="3"/>
  <c r="C102" i="5" s="1"/>
  <c r="E102" i="5" s="1"/>
  <c r="Z103" i="3"/>
  <c r="C103" i="5" s="1"/>
  <c r="E103" i="5" s="1"/>
  <c r="Z104" i="3"/>
  <c r="C104" i="5" s="1"/>
  <c r="E104" i="5" s="1"/>
  <c r="Z105" i="3"/>
  <c r="C105" i="5" s="1"/>
  <c r="E105" i="5" s="1"/>
  <c r="Z106" i="3"/>
  <c r="C106" i="5" s="1"/>
  <c r="E106" i="5" s="1"/>
  <c r="Z107" i="3"/>
  <c r="C107" i="5" s="1"/>
  <c r="E107" i="5" s="1"/>
  <c r="Z108" i="3"/>
  <c r="C108" i="5" s="1"/>
  <c r="E108" i="5" s="1"/>
  <c r="Z109" i="3"/>
  <c r="C109" i="5" s="1"/>
  <c r="E109" i="5" s="1"/>
  <c r="Z110" i="3"/>
  <c r="C110" i="5" s="1"/>
  <c r="E110" i="5" s="1"/>
  <c r="Z111" i="3"/>
  <c r="C111" i="5" s="1"/>
  <c r="E111" i="5" s="1"/>
  <c r="Z112" i="3"/>
  <c r="C112" i="5" s="1"/>
  <c r="E112" i="5" s="1"/>
  <c r="Z113" i="3"/>
  <c r="C113" i="5" s="1"/>
  <c r="E113" i="5" s="1"/>
  <c r="Z114" i="3"/>
  <c r="C114" i="5" s="1"/>
  <c r="E114" i="5" s="1"/>
  <c r="Z115" i="3"/>
  <c r="C115" i="5" s="1"/>
  <c r="E115" i="5" s="1"/>
  <c r="Z116" i="3"/>
  <c r="C116" i="5" s="1"/>
  <c r="E116" i="5" s="1"/>
  <c r="Z117" i="3"/>
  <c r="C117" i="5" s="1"/>
  <c r="E117" i="5" s="1"/>
  <c r="Z118" i="3"/>
  <c r="C118" i="5" s="1"/>
  <c r="E118" i="5" s="1"/>
  <c r="Z119" i="3"/>
  <c r="C119" i="5" s="1"/>
  <c r="E119" i="5" s="1"/>
  <c r="Z120" i="3"/>
  <c r="C120" i="5" s="1"/>
  <c r="E120" i="5" s="1"/>
  <c r="Z121" i="3"/>
  <c r="C121" i="5" s="1"/>
  <c r="E121" i="5" s="1"/>
  <c r="Z122" i="3"/>
  <c r="C122" i="5" s="1"/>
  <c r="E122" i="5" s="1"/>
  <c r="Z123" i="3"/>
  <c r="C123" i="5" s="1"/>
  <c r="E123" i="5" s="1"/>
  <c r="Z124" i="3"/>
  <c r="C124" i="5" s="1"/>
  <c r="E124" i="5" s="1"/>
  <c r="Z125" i="3"/>
  <c r="C125" i="5" s="1"/>
  <c r="E125" i="5" s="1"/>
  <c r="Z126" i="3"/>
  <c r="C126" i="5" s="1"/>
  <c r="E126" i="5" s="1"/>
  <c r="Z127" i="3"/>
  <c r="C127" i="5" s="1"/>
  <c r="E127" i="5" s="1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" i="3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AF3" i="2" l="1"/>
  <c r="AG3" i="2"/>
  <c r="AF4" i="2"/>
  <c r="AG4" i="2"/>
  <c r="AF5" i="2"/>
  <c r="AG5" i="2" s="1"/>
  <c r="AF6" i="2"/>
  <c r="AG6" i="2" s="1"/>
  <c r="AF7" i="2"/>
  <c r="AG7" i="2" s="1"/>
  <c r="AF8" i="2"/>
  <c r="AG8" i="2" s="1"/>
  <c r="AF9" i="2"/>
  <c r="AG9" i="2"/>
  <c r="AF10" i="2"/>
  <c r="AG10" i="2" s="1"/>
  <c r="AF11" i="2"/>
  <c r="AG11" i="2"/>
  <c r="AF12" i="2"/>
  <c r="AG12" i="2"/>
  <c r="AF13" i="2"/>
  <c r="AG13" i="2"/>
  <c r="AF14" i="2"/>
  <c r="AG14" i="2"/>
  <c r="AF15" i="2"/>
  <c r="AG15" i="2" s="1"/>
  <c r="AF16" i="2"/>
  <c r="AG16" i="2" s="1"/>
  <c r="AF17" i="2"/>
  <c r="AG17" i="2" s="1"/>
  <c r="AF18" i="2"/>
  <c r="AG18" i="2" s="1"/>
  <c r="AF19" i="2"/>
  <c r="AG19" i="2"/>
  <c r="AF20" i="2"/>
  <c r="AG20" i="2" s="1"/>
  <c r="AF21" i="2"/>
  <c r="AG21" i="2" s="1"/>
  <c r="AF22" i="2"/>
  <c r="AG22" i="2"/>
  <c r="AF23" i="2"/>
  <c r="AG23" i="2"/>
  <c r="AF24" i="2"/>
  <c r="AG24" i="2"/>
  <c r="AF25" i="2"/>
  <c r="AG25" i="2"/>
  <c r="AF26" i="2"/>
  <c r="AG26" i="2"/>
  <c r="AF27" i="2"/>
  <c r="AG27" i="2"/>
  <c r="AF28" i="2"/>
  <c r="AG28" i="2"/>
  <c r="AF29" i="2"/>
  <c r="AG29" i="2"/>
  <c r="AF30" i="2"/>
  <c r="AG30" i="2" s="1"/>
  <c r="AF31" i="2"/>
  <c r="AG31" i="2"/>
  <c r="AF32" i="2"/>
  <c r="AG32" i="2" s="1"/>
  <c r="AF33" i="2"/>
  <c r="AG33" i="2" s="1"/>
  <c r="AF34" i="2"/>
  <c r="AG34" i="2" s="1"/>
  <c r="AF35" i="2"/>
  <c r="AG35" i="2"/>
  <c r="AF36" i="2"/>
  <c r="AG36" i="2" s="1"/>
  <c r="AF37" i="2"/>
  <c r="AG37" i="2"/>
  <c r="AF38" i="2"/>
  <c r="AG38" i="2"/>
  <c r="AF39" i="2"/>
  <c r="AG39" i="2" s="1"/>
  <c r="AF40" i="2"/>
  <c r="AG40" i="2" s="1"/>
  <c r="AF41" i="2"/>
  <c r="AG41" i="2"/>
  <c r="AF42" i="2"/>
  <c r="AG42" i="2"/>
  <c r="AF43" i="2"/>
  <c r="AG43" i="2"/>
  <c r="AF44" i="2"/>
  <c r="AG44" i="2"/>
  <c r="AF45" i="2"/>
  <c r="AG45" i="2"/>
  <c r="AF46" i="2"/>
  <c r="AG46" i="2"/>
  <c r="AF47" i="2"/>
  <c r="AG47" i="2"/>
  <c r="AF48" i="2"/>
  <c r="AG48" i="2" s="1"/>
  <c r="AF49" i="2"/>
  <c r="AG49" i="2"/>
  <c r="AF50" i="2"/>
  <c r="AG50" i="2"/>
  <c r="AF51" i="2"/>
  <c r="AG51" i="2" s="1"/>
  <c r="AF52" i="2"/>
  <c r="AG52" i="2"/>
  <c r="AF53" i="2"/>
  <c r="AG53" i="2"/>
  <c r="AF54" i="2"/>
  <c r="AG54" i="2"/>
  <c r="AF55" i="2"/>
  <c r="AG55" i="2"/>
  <c r="AG56" i="2"/>
  <c r="AF56" i="2"/>
  <c r="AF57" i="2"/>
  <c r="AG57" i="2" s="1"/>
  <c r="AF58" i="2"/>
  <c r="AG58" i="2"/>
  <c r="AF59" i="2"/>
  <c r="AG59" i="2"/>
  <c r="AF60" i="2"/>
  <c r="AG60" i="2" s="1"/>
  <c r="AF61" i="2"/>
  <c r="AG61" i="2" s="1"/>
  <c r="AF62" i="2"/>
  <c r="AG62" i="2" s="1"/>
  <c r="AF63" i="2"/>
  <c r="AG63" i="2"/>
  <c r="AF64" i="2"/>
  <c r="AG64" i="2"/>
  <c r="AF65" i="2"/>
  <c r="AG65" i="2"/>
  <c r="AF66" i="2"/>
  <c r="AG66" i="2"/>
  <c r="AF67" i="2"/>
  <c r="AG67" i="2"/>
  <c r="AG68" i="2"/>
  <c r="AF68" i="2"/>
  <c r="AF69" i="2"/>
  <c r="AG69" i="2"/>
  <c r="AF70" i="2"/>
  <c r="AG70" i="2"/>
  <c r="AF71" i="2"/>
  <c r="AG71" i="2" s="1"/>
  <c r="AF72" i="2"/>
  <c r="AG72" i="2" s="1"/>
  <c r="AF73" i="2"/>
  <c r="AG73" i="2"/>
  <c r="AF74" i="2"/>
  <c r="AG74" i="2" s="1"/>
  <c r="AF75" i="2"/>
  <c r="AG75" i="2"/>
  <c r="AF76" i="2"/>
  <c r="AG76" i="2"/>
  <c r="AF77" i="2"/>
  <c r="AG77" i="2" s="1"/>
  <c r="AF78" i="2"/>
  <c r="AG78" i="2"/>
  <c r="AF79" i="2"/>
  <c r="AG79" i="2" s="1"/>
  <c r="AF80" i="2"/>
  <c r="AG80" i="2"/>
  <c r="AF81" i="2"/>
  <c r="AG81" i="2"/>
  <c r="AF82" i="2"/>
  <c r="AG82" i="2"/>
  <c r="AF83" i="2"/>
  <c r="AG83" i="2"/>
  <c r="AF84" i="2"/>
  <c r="AG84" i="2" s="1"/>
  <c r="AF85" i="2"/>
  <c r="AG85" i="2"/>
  <c r="AF86" i="2"/>
  <c r="AG86" i="2" s="1"/>
  <c r="AF87" i="2"/>
  <c r="AG87" i="2" s="1"/>
  <c r="AF88" i="2"/>
  <c r="AG88" i="2"/>
  <c r="AF89" i="2"/>
  <c r="AG89" i="2" s="1"/>
  <c r="AG90" i="2"/>
  <c r="AF90" i="2"/>
  <c r="AF91" i="2"/>
  <c r="AG91" i="2" s="1"/>
  <c r="AF92" i="2"/>
  <c r="AG92" i="2"/>
  <c r="AF93" i="2"/>
  <c r="AG93" i="2" s="1"/>
  <c r="AF94" i="2"/>
  <c r="AG94" i="2"/>
  <c r="AF95" i="2"/>
  <c r="AG95" i="2" s="1"/>
  <c r="AF96" i="2"/>
  <c r="AG96" i="2"/>
  <c r="AF97" i="2"/>
  <c r="AG97" i="2"/>
  <c r="AF98" i="2"/>
  <c r="AG98" i="2" s="1"/>
  <c r="AG99" i="2"/>
  <c r="AF99" i="2"/>
  <c r="AF100" i="2"/>
  <c r="AG100" i="2" s="1"/>
  <c r="AF101" i="2"/>
  <c r="AG101" i="2"/>
  <c r="AF102" i="2"/>
  <c r="AG102" i="2" s="1"/>
  <c r="AF103" i="2"/>
  <c r="AG103" i="2" s="1"/>
  <c r="AF104" i="2"/>
  <c r="AG104" i="2"/>
  <c r="AF105" i="2"/>
  <c r="AG105" i="2" s="1"/>
  <c r="AF106" i="2"/>
  <c r="AG106" i="2"/>
  <c r="AF107" i="2"/>
  <c r="AG107" i="2"/>
  <c r="AF108" i="2"/>
  <c r="AG108" i="2"/>
  <c r="AG109" i="2"/>
  <c r="AF109" i="2"/>
  <c r="AG110" i="2"/>
  <c r="AF110" i="2"/>
  <c r="AF111" i="2"/>
  <c r="AG111" i="2"/>
  <c r="AF112" i="2"/>
  <c r="AG112" i="2" s="1"/>
  <c r="AF113" i="2"/>
  <c r="AG113" i="2"/>
  <c r="AF114" i="2"/>
  <c r="AG114" i="2"/>
  <c r="AF115" i="2"/>
  <c r="AG115" i="2" s="1"/>
  <c r="AF116" i="2"/>
  <c r="AG116" i="2"/>
  <c r="AF117" i="2"/>
  <c r="AG117" i="2"/>
  <c r="AF118" i="2"/>
  <c r="AG118" i="2" s="1"/>
  <c r="AF119" i="2"/>
  <c r="AG119" i="2"/>
  <c r="AF120" i="2"/>
  <c r="AG120" i="2"/>
  <c r="AF121" i="2"/>
  <c r="AG121" i="2"/>
  <c r="AG122" i="2"/>
  <c r="AF122" i="2"/>
  <c r="AF123" i="2"/>
  <c r="AG123" i="2" s="1"/>
  <c r="AG124" i="2"/>
  <c r="AF124" i="2"/>
  <c r="AF125" i="2"/>
  <c r="AG125" i="2" s="1"/>
  <c r="AF126" i="2"/>
  <c r="AG126" i="2"/>
  <c r="AF127" i="2"/>
  <c r="AG127" i="2" s="1"/>
  <c r="AF128" i="2"/>
  <c r="AG128" i="2" s="1"/>
  <c r="AF129" i="2"/>
  <c r="AG129" i="2" s="1"/>
  <c r="AG130" i="2"/>
  <c r="AF130" i="2"/>
  <c r="AF131" i="2"/>
  <c r="AG131" i="2" s="1"/>
  <c r="AF132" i="2"/>
  <c r="AG132" i="2"/>
  <c r="AF133" i="2"/>
  <c r="AG133" i="2" s="1"/>
  <c r="AF134" i="2"/>
  <c r="AG134" i="2"/>
  <c r="AF135" i="2"/>
  <c r="AG135" i="2"/>
  <c r="AF136" i="2"/>
  <c r="AG136" i="2"/>
  <c r="AF137" i="2"/>
  <c r="AG137" i="2" s="1"/>
  <c r="AF138" i="2"/>
  <c r="AG138" i="2"/>
  <c r="AF139" i="2"/>
  <c r="AG139" i="2"/>
  <c r="AF140" i="2"/>
  <c r="AG140" i="2"/>
  <c r="AF141" i="2"/>
  <c r="AG141" i="2" s="1"/>
  <c r="AF142" i="2"/>
  <c r="AG142" i="2" s="1"/>
  <c r="AF143" i="2"/>
  <c r="AG143" i="2" s="1"/>
  <c r="AF144" i="2"/>
  <c r="AG144" i="2" s="1"/>
  <c r="AF145" i="2"/>
  <c r="AG145" i="2"/>
  <c r="AG146" i="2"/>
  <c r="AF146" i="2"/>
  <c r="AF147" i="2"/>
  <c r="AG147" i="2" s="1"/>
  <c r="AF148" i="2"/>
  <c r="AG148" i="2" s="1"/>
  <c r="AF149" i="2"/>
  <c r="AG149" i="2" s="1"/>
  <c r="AG150" i="2"/>
  <c r="AF150" i="2"/>
  <c r="AF151" i="2"/>
  <c r="AG151" i="2"/>
  <c r="AG152" i="2"/>
  <c r="AF152" i="2"/>
  <c r="AF153" i="2"/>
  <c r="AG153" i="2"/>
  <c r="AF154" i="2"/>
  <c r="AG154" i="2"/>
  <c r="AF155" i="2"/>
  <c r="AG155" i="2"/>
  <c r="AF156" i="2"/>
  <c r="AG156" i="2" s="1"/>
  <c r="AF157" i="2"/>
  <c r="AG157" i="2"/>
  <c r="AF158" i="2"/>
  <c r="AG158" i="2" s="1"/>
  <c r="AF159" i="2"/>
  <c r="AG159" i="2" s="1"/>
  <c r="AG160" i="2"/>
  <c r="AF160" i="2"/>
  <c r="AF161" i="2"/>
  <c r="AG161" i="2" s="1"/>
  <c r="AF162" i="2"/>
  <c r="AG162" i="2"/>
  <c r="AF163" i="2"/>
  <c r="AG163" i="2"/>
  <c r="AF164" i="2"/>
  <c r="AG164" i="2" s="1"/>
  <c r="AG165" i="2"/>
  <c r="AF165" i="2"/>
  <c r="AF166" i="2"/>
  <c r="AG166" i="2"/>
  <c r="AF167" i="2"/>
  <c r="AG167" i="2" s="1"/>
  <c r="AF168" i="2"/>
  <c r="AG168" i="2" s="1"/>
  <c r="AF169" i="2"/>
  <c r="AG169" i="2"/>
  <c r="AF170" i="2"/>
  <c r="AG170" i="2" s="1"/>
  <c r="AF171" i="2"/>
  <c r="AG171" i="2"/>
  <c r="AF172" i="2"/>
  <c r="AG172" i="2" s="1"/>
  <c r="AF173" i="2"/>
  <c r="AG173" i="2" s="1"/>
  <c r="AF174" i="2"/>
  <c r="AG174" i="2" s="1"/>
  <c r="AG175" i="2"/>
  <c r="AF175" i="2"/>
  <c r="AF176" i="2"/>
  <c r="AG176" i="2" s="1"/>
  <c r="AF177" i="2"/>
  <c r="AG177" i="2" s="1"/>
  <c r="AF178" i="2"/>
  <c r="AG178" i="2" s="1"/>
  <c r="AF179" i="2"/>
  <c r="AG179" i="2"/>
  <c r="AF180" i="2"/>
  <c r="AG180" i="2"/>
  <c r="AF181" i="2"/>
  <c r="AG181" i="2"/>
  <c r="AF182" i="2"/>
  <c r="AG182" i="2" s="1"/>
  <c r="AF183" i="2"/>
  <c r="AG183" i="2"/>
  <c r="AG184" i="2"/>
  <c r="AF184" i="2"/>
  <c r="AF185" i="2"/>
  <c r="AG185" i="2"/>
  <c r="AF186" i="2"/>
  <c r="AG186" i="2" s="1"/>
  <c r="AG187" i="2"/>
  <c r="AF187" i="2"/>
  <c r="AF188" i="2"/>
  <c r="AG188" i="2" s="1"/>
  <c r="AF189" i="2"/>
  <c r="AG189" i="2" s="1"/>
  <c r="AF190" i="2"/>
  <c r="AG190" i="2" s="1"/>
  <c r="AG191" i="2"/>
  <c r="AF191" i="2"/>
  <c r="AF192" i="2"/>
  <c r="AG192" i="2" s="1"/>
  <c r="AF193" i="2"/>
  <c r="AG193" i="2"/>
  <c r="AF194" i="2"/>
  <c r="AG194" i="2" s="1"/>
  <c r="AF195" i="2"/>
  <c r="AG195" i="2" s="1"/>
  <c r="AF196" i="2"/>
  <c r="AG196" i="2" s="1"/>
  <c r="AF197" i="2"/>
  <c r="AG197" i="2" s="1"/>
  <c r="AF198" i="2"/>
  <c r="AG198" i="2"/>
  <c r="AF199" i="2"/>
  <c r="AG199" i="2" s="1"/>
  <c r="AF200" i="2"/>
  <c r="AG200" i="2"/>
  <c r="AF201" i="2"/>
  <c r="AG201" i="2" s="1"/>
  <c r="AF202" i="2"/>
  <c r="AG202" i="2"/>
  <c r="AF203" i="2"/>
  <c r="AG203" i="2" s="1"/>
  <c r="AF204" i="2"/>
  <c r="AG204" i="2" s="1"/>
  <c r="AF205" i="2"/>
  <c r="AG205" i="2" s="1"/>
  <c r="AF206" i="2"/>
  <c r="AG206" i="2"/>
  <c r="AF207" i="2"/>
  <c r="AG207" i="2"/>
  <c r="AF208" i="2"/>
  <c r="AG208" i="2" s="1"/>
  <c r="AF209" i="2"/>
  <c r="AG209" i="2"/>
  <c r="AF210" i="2"/>
  <c r="AG210" i="2" s="1"/>
  <c r="AF211" i="2"/>
  <c r="AG211" i="2"/>
  <c r="AF212" i="2"/>
  <c r="AG212" i="2"/>
  <c r="AF213" i="2"/>
  <c r="AG213" i="2"/>
  <c r="AF214" i="2"/>
  <c r="AG214" i="2"/>
  <c r="AF215" i="2"/>
  <c r="AG215" i="2"/>
  <c r="AF216" i="2"/>
  <c r="AG216" i="2"/>
  <c r="AF217" i="2"/>
  <c r="AG217" i="2" s="1"/>
  <c r="AF218" i="2"/>
  <c r="AG218" i="2"/>
  <c r="AF219" i="2"/>
  <c r="AG219" i="2"/>
  <c r="AF220" i="2"/>
  <c r="AG220" i="2"/>
  <c r="AF221" i="2"/>
  <c r="AG221" i="2"/>
  <c r="AF222" i="2"/>
  <c r="AG222" i="2"/>
  <c r="AF223" i="2"/>
  <c r="AG223" i="2"/>
  <c r="AF224" i="2"/>
  <c r="AG224" i="2"/>
  <c r="AF225" i="2"/>
  <c r="AG225" i="2"/>
  <c r="AF226" i="2"/>
  <c r="AG226" i="2"/>
  <c r="AF227" i="2"/>
  <c r="AG227" i="2" s="1"/>
  <c r="AF228" i="2"/>
  <c r="AG228" i="2"/>
  <c r="AF229" i="2"/>
  <c r="AG229" i="2"/>
  <c r="AF230" i="2"/>
  <c r="AG230" i="2" s="1"/>
  <c r="AF231" i="2"/>
  <c r="AG231" i="2" s="1"/>
  <c r="AF232" i="2"/>
  <c r="AG232" i="2"/>
  <c r="AF233" i="2"/>
  <c r="AG233" i="2"/>
  <c r="AF234" i="2"/>
  <c r="AG234" i="2" s="1"/>
  <c r="AF235" i="2"/>
  <c r="AG235" i="2" s="1"/>
  <c r="AF236" i="2"/>
  <c r="AG236" i="2" s="1"/>
  <c r="AF237" i="2"/>
  <c r="AG237" i="2" s="1"/>
  <c r="AF238" i="2"/>
  <c r="AG238" i="2" s="1"/>
  <c r="AF239" i="2"/>
  <c r="AG239" i="2"/>
  <c r="AF240" i="2"/>
  <c r="AG240" i="2" s="1"/>
  <c r="AF241" i="2"/>
  <c r="AG241" i="2" s="1"/>
  <c r="AF242" i="2"/>
  <c r="AG242" i="2"/>
  <c r="AF243" i="2"/>
  <c r="AG243" i="2"/>
  <c r="AF244" i="2"/>
  <c r="AG244" i="2"/>
  <c r="AF245" i="2"/>
  <c r="AG245" i="2" s="1"/>
  <c r="AF246" i="2"/>
  <c r="AG246" i="2" s="1"/>
  <c r="AG247" i="2"/>
  <c r="AF247" i="2"/>
  <c r="AF248" i="2"/>
  <c r="AG248" i="2"/>
  <c r="AF249" i="2"/>
  <c r="AG249" i="2" s="1"/>
  <c r="AF250" i="2"/>
  <c r="AG250" i="2"/>
  <c r="AF251" i="2"/>
  <c r="AG251" i="2"/>
  <c r="H3" i="6"/>
  <c r="I3" i="6"/>
  <c r="J3" i="6" s="1"/>
  <c r="H4" i="6"/>
  <c r="I4" i="6" s="1"/>
  <c r="J4" i="6" s="1"/>
  <c r="H5" i="6"/>
  <c r="I5" i="6" s="1"/>
  <c r="J5" i="6" s="1"/>
  <c r="H6" i="6"/>
  <c r="I6" i="6" s="1"/>
  <c r="J6" i="6" s="1"/>
  <c r="H7" i="6"/>
  <c r="I7" i="6" s="1"/>
  <c r="J7" i="6" s="1"/>
  <c r="H8" i="6"/>
  <c r="I8" i="6" s="1"/>
  <c r="J8" i="6" s="1"/>
  <c r="H9" i="6"/>
  <c r="I9" i="6" s="1"/>
  <c r="J9" i="6" s="1"/>
  <c r="H10" i="6"/>
  <c r="I10" i="6"/>
  <c r="J10" i="6" s="1"/>
  <c r="H11" i="6"/>
  <c r="I11" i="6" s="1"/>
  <c r="J11" i="6" s="1"/>
  <c r="H12" i="6"/>
  <c r="I12" i="6" s="1"/>
  <c r="J12" i="6" s="1"/>
  <c r="H13" i="6"/>
  <c r="I13" i="6" s="1"/>
  <c r="J13" i="6" s="1"/>
  <c r="H14" i="6"/>
  <c r="I14" i="6"/>
  <c r="J14" i="6" s="1"/>
  <c r="H15" i="6"/>
  <c r="I15" i="6"/>
  <c r="J15" i="6" s="1"/>
  <c r="H16" i="6"/>
  <c r="I16" i="6" s="1"/>
  <c r="J16" i="6" s="1"/>
  <c r="H17" i="6"/>
  <c r="I17" i="6" s="1"/>
  <c r="J17" i="6" s="1"/>
  <c r="H18" i="6"/>
  <c r="I18" i="6"/>
  <c r="J18" i="6" s="1"/>
  <c r="H19" i="6"/>
  <c r="I19" i="6" s="1"/>
  <c r="J19" i="6" s="1"/>
  <c r="H20" i="6"/>
  <c r="I20" i="6" s="1"/>
  <c r="J20" i="6" s="1"/>
  <c r="H21" i="6"/>
  <c r="I21" i="6" s="1"/>
  <c r="J21" i="6" s="1"/>
  <c r="H22" i="6"/>
  <c r="I22" i="6" s="1"/>
  <c r="J22" i="6" s="1"/>
  <c r="H23" i="6"/>
  <c r="I23" i="6" s="1"/>
  <c r="J23" i="6" s="1"/>
  <c r="H24" i="6"/>
  <c r="I24" i="6" s="1"/>
  <c r="J24" i="6" s="1"/>
  <c r="H25" i="6"/>
  <c r="I25" i="6" s="1"/>
  <c r="J25" i="6" s="1"/>
  <c r="H26" i="6"/>
  <c r="I26" i="6" s="1"/>
  <c r="J26" i="6" s="1"/>
  <c r="H27" i="6"/>
  <c r="I27" i="6" s="1"/>
  <c r="J27" i="6" s="1"/>
  <c r="H28" i="6"/>
  <c r="I28" i="6" s="1"/>
  <c r="J28" i="6" s="1"/>
  <c r="H29" i="6"/>
  <c r="I29" i="6" s="1"/>
  <c r="J29" i="6" s="1"/>
  <c r="H30" i="6"/>
  <c r="I30" i="6"/>
  <c r="J30" i="6" s="1"/>
  <c r="H31" i="6"/>
  <c r="I31" i="6"/>
  <c r="J31" i="6" s="1"/>
  <c r="H32" i="6"/>
  <c r="I32" i="6" s="1"/>
  <c r="J32" i="6" s="1"/>
  <c r="H33" i="6"/>
  <c r="I33" i="6" s="1"/>
  <c r="J33" i="6" s="1"/>
  <c r="H34" i="6"/>
  <c r="I34" i="6"/>
  <c r="J34" i="6" s="1"/>
  <c r="H35" i="6"/>
  <c r="I35" i="6"/>
  <c r="J35" i="6" s="1"/>
  <c r="H36" i="6"/>
  <c r="I36" i="6"/>
  <c r="J36" i="6" s="1"/>
  <c r="H37" i="6"/>
  <c r="I37" i="6"/>
  <c r="J37" i="6" s="1"/>
  <c r="H38" i="6"/>
  <c r="I38" i="6"/>
  <c r="J38" i="6" s="1"/>
  <c r="H39" i="6"/>
  <c r="I39" i="6"/>
  <c r="J39" i="6" s="1"/>
  <c r="H40" i="6"/>
  <c r="I40" i="6"/>
  <c r="J40" i="6" s="1"/>
  <c r="H41" i="6"/>
  <c r="I41" i="6" s="1"/>
  <c r="J41" i="6" s="1"/>
  <c r="H42" i="6"/>
  <c r="I42" i="6"/>
  <c r="J42" i="6" s="1"/>
  <c r="H43" i="6"/>
  <c r="I43" i="6" s="1"/>
  <c r="J43" i="6" s="1"/>
  <c r="I44" i="6"/>
  <c r="J44" i="6" s="1"/>
  <c r="H44" i="6"/>
  <c r="H45" i="6"/>
  <c r="I45" i="6"/>
  <c r="J45" i="6" s="1"/>
  <c r="H46" i="6"/>
  <c r="I46" i="6"/>
  <c r="J46" i="6" s="1"/>
  <c r="H47" i="6"/>
  <c r="I47" i="6" s="1"/>
  <c r="J47" i="6" s="1"/>
  <c r="H48" i="6"/>
  <c r="I48" i="6"/>
  <c r="J48" i="6" s="1"/>
  <c r="H49" i="6"/>
  <c r="I49" i="6"/>
  <c r="J49" i="6" s="1"/>
  <c r="H50" i="6"/>
  <c r="I50" i="6"/>
  <c r="J50" i="6" s="1"/>
  <c r="H51" i="6"/>
  <c r="I51" i="6"/>
  <c r="J51" i="6" s="1"/>
  <c r="H52" i="6"/>
  <c r="I52" i="6"/>
  <c r="J52" i="6" s="1"/>
  <c r="H53" i="6"/>
  <c r="I53" i="6" s="1"/>
  <c r="J53" i="6" s="1"/>
  <c r="H54" i="6"/>
  <c r="I54" i="6" s="1"/>
  <c r="J54" i="6" s="1"/>
  <c r="H55" i="6"/>
  <c r="I55" i="6" s="1"/>
  <c r="J55" i="6" s="1"/>
  <c r="H56" i="6"/>
  <c r="I56" i="6" s="1"/>
  <c r="J56" i="6" s="1"/>
  <c r="I57" i="6"/>
  <c r="J57" i="6" s="1"/>
  <c r="H57" i="6"/>
  <c r="H58" i="6"/>
  <c r="I58" i="6" s="1"/>
  <c r="J58" i="6" s="1"/>
  <c r="H59" i="6"/>
  <c r="I59" i="6" s="1"/>
  <c r="J59" i="6" s="1"/>
  <c r="H60" i="6"/>
  <c r="I60" i="6" s="1"/>
  <c r="J60" i="6" s="1"/>
  <c r="H61" i="6"/>
  <c r="I61" i="6" s="1"/>
  <c r="J61" i="6" s="1"/>
  <c r="H62" i="6"/>
  <c r="I62" i="6" s="1"/>
  <c r="J62" i="6" s="1"/>
  <c r="H63" i="6"/>
  <c r="I63" i="6" s="1"/>
  <c r="J63" i="6" s="1"/>
  <c r="H64" i="6"/>
  <c r="I64" i="6"/>
  <c r="J64" i="6" s="1"/>
  <c r="H65" i="6"/>
  <c r="I65" i="6"/>
  <c r="J65" i="6" s="1"/>
  <c r="H66" i="6"/>
  <c r="I66" i="6"/>
  <c r="J66" i="6" s="1"/>
  <c r="H67" i="6"/>
  <c r="I67" i="6" s="1"/>
  <c r="J67" i="6" s="1"/>
  <c r="H68" i="6"/>
  <c r="I68" i="6" s="1"/>
  <c r="J68" i="6" s="1"/>
  <c r="H69" i="6"/>
  <c r="I69" i="6" s="1"/>
  <c r="J69" i="6" s="1"/>
  <c r="H70" i="6"/>
  <c r="I70" i="6" s="1"/>
  <c r="J70" i="6" s="1"/>
  <c r="H71" i="6"/>
  <c r="I71" i="6"/>
  <c r="J71" i="6" s="1"/>
  <c r="H72" i="6"/>
  <c r="I72" i="6"/>
  <c r="J72" i="6" s="1"/>
  <c r="H73" i="6"/>
  <c r="I73" i="6" s="1"/>
  <c r="J73" i="6" s="1"/>
  <c r="H74" i="6"/>
  <c r="I74" i="6" s="1"/>
  <c r="J74" i="6" s="1"/>
  <c r="H75" i="6"/>
  <c r="I75" i="6" s="1"/>
  <c r="J75" i="6" s="1"/>
  <c r="H76" i="6"/>
  <c r="I76" i="6"/>
  <c r="J76" i="6" s="1"/>
  <c r="H77" i="6"/>
  <c r="I77" i="6" s="1"/>
  <c r="J77" i="6" s="1"/>
  <c r="H78" i="6"/>
  <c r="I78" i="6" s="1"/>
  <c r="J78" i="6" s="1"/>
  <c r="H79" i="6"/>
  <c r="I79" i="6" s="1"/>
  <c r="J79" i="6" s="1"/>
  <c r="H80" i="6"/>
  <c r="I80" i="6" s="1"/>
  <c r="J80" i="6" s="1"/>
  <c r="H81" i="6"/>
  <c r="I81" i="6" s="1"/>
  <c r="J81" i="6" s="1"/>
  <c r="H82" i="6"/>
  <c r="I82" i="6" s="1"/>
  <c r="J82" i="6" s="1"/>
  <c r="H83" i="6"/>
  <c r="I83" i="6" s="1"/>
  <c r="J83" i="6" s="1"/>
  <c r="H84" i="6"/>
  <c r="I84" i="6" s="1"/>
  <c r="J84" i="6" s="1"/>
  <c r="H85" i="6"/>
  <c r="I85" i="6"/>
  <c r="J85" i="6" s="1"/>
  <c r="H86" i="6"/>
  <c r="I86" i="6"/>
  <c r="J86" i="6" s="1"/>
  <c r="H87" i="6"/>
  <c r="I87" i="6"/>
  <c r="J87" i="6" s="1"/>
  <c r="H88" i="6"/>
  <c r="I88" i="6"/>
  <c r="J88" i="6" s="1"/>
  <c r="H89" i="6"/>
  <c r="I89" i="6"/>
  <c r="J89" i="6" s="1"/>
  <c r="H90" i="6"/>
  <c r="I90" i="6"/>
  <c r="J90" i="6" s="1"/>
  <c r="H91" i="6"/>
  <c r="I91" i="6"/>
  <c r="J91" i="6" s="1"/>
  <c r="H92" i="6"/>
  <c r="I92" i="6" s="1"/>
  <c r="J92" i="6" s="1"/>
  <c r="H93" i="6"/>
  <c r="I93" i="6"/>
  <c r="J93" i="6" s="1"/>
  <c r="H94" i="6"/>
  <c r="I94" i="6" s="1"/>
  <c r="J94" i="6" s="1"/>
  <c r="I95" i="6"/>
  <c r="J95" i="6" s="1"/>
  <c r="H95" i="6"/>
  <c r="H96" i="6"/>
  <c r="I96" i="6" s="1"/>
  <c r="J96" i="6" s="1"/>
  <c r="H97" i="6"/>
  <c r="I97" i="6"/>
  <c r="J97" i="6" s="1"/>
  <c r="H98" i="6"/>
  <c r="I98" i="6"/>
  <c r="J98" i="6" s="1"/>
  <c r="H99" i="6"/>
  <c r="I99" i="6"/>
  <c r="J99" i="6" s="1"/>
  <c r="H100" i="6"/>
  <c r="I100" i="6" s="1"/>
  <c r="J100" i="6" s="1"/>
  <c r="H101" i="6"/>
  <c r="I101" i="6"/>
  <c r="J101" i="6" s="1"/>
  <c r="H102" i="6"/>
  <c r="I102" i="6" s="1"/>
  <c r="J102" i="6" s="1"/>
  <c r="H103" i="6"/>
  <c r="I103" i="6"/>
  <c r="J103" i="6" s="1"/>
  <c r="H104" i="6"/>
  <c r="I104" i="6"/>
  <c r="J104" i="6" s="1"/>
  <c r="H105" i="6"/>
  <c r="I105" i="6"/>
  <c r="J105" i="6" s="1"/>
  <c r="H106" i="6"/>
  <c r="I106" i="6"/>
  <c r="J106" i="6" s="1"/>
  <c r="H107" i="6"/>
  <c r="I107" i="6"/>
  <c r="J107" i="6" s="1"/>
  <c r="H109" i="6"/>
  <c r="I109" i="6" s="1"/>
  <c r="J109" i="6" s="1"/>
  <c r="H110" i="6"/>
  <c r="I110" i="6"/>
  <c r="J110" i="6" s="1"/>
  <c r="H111" i="6"/>
  <c r="I111" i="6"/>
  <c r="J111" i="6" s="1"/>
  <c r="H112" i="6"/>
  <c r="I112" i="6"/>
  <c r="J112" i="6" s="1"/>
  <c r="H113" i="6"/>
  <c r="I113" i="6"/>
  <c r="J113" i="6" s="1"/>
  <c r="H114" i="6"/>
  <c r="I114" i="6" s="1"/>
  <c r="J114" i="6" s="1"/>
  <c r="H115" i="6"/>
  <c r="I115" i="6"/>
  <c r="J115" i="6" s="1"/>
  <c r="H116" i="6"/>
  <c r="I116" i="6" s="1"/>
  <c r="J116" i="6" s="1"/>
  <c r="H117" i="6"/>
  <c r="I117" i="6"/>
  <c r="J117" i="6" s="1"/>
  <c r="H118" i="6"/>
  <c r="I118" i="6"/>
  <c r="J118" i="6" s="1"/>
  <c r="H119" i="6"/>
  <c r="I119" i="6"/>
  <c r="J119" i="6" s="1"/>
  <c r="H120" i="6"/>
  <c r="I120" i="6" s="1"/>
  <c r="J120" i="6" s="1"/>
  <c r="H121" i="6"/>
  <c r="I121" i="6"/>
  <c r="J121" i="6" s="1"/>
  <c r="H122" i="6"/>
  <c r="I122" i="6" s="1"/>
  <c r="J122" i="6" s="1"/>
  <c r="H123" i="6"/>
  <c r="I123" i="6" s="1"/>
  <c r="J123" i="6" s="1"/>
  <c r="H124" i="6"/>
  <c r="I124" i="6" s="1"/>
  <c r="J124" i="6" s="1"/>
  <c r="H125" i="6"/>
  <c r="I125" i="6"/>
  <c r="J125" i="6" s="1"/>
  <c r="H126" i="6"/>
  <c r="I126" i="6"/>
  <c r="J126" i="6" s="1"/>
  <c r="H127" i="6"/>
  <c r="I127" i="6" s="1"/>
  <c r="J127" i="6" s="1"/>
  <c r="H128" i="6"/>
  <c r="I128" i="6" s="1"/>
  <c r="J128" i="6" s="1"/>
  <c r="H129" i="6"/>
  <c r="I129" i="6"/>
  <c r="J129" i="6" s="1"/>
  <c r="H130" i="6"/>
  <c r="I130" i="6" s="1"/>
  <c r="J130" i="6" s="1"/>
  <c r="H131" i="6"/>
  <c r="I131" i="6" s="1"/>
  <c r="J131" i="6" s="1"/>
  <c r="H132" i="6"/>
  <c r="I132" i="6" s="1"/>
  <c r="J132" i="6" s="1"/>
  <c r="H133" i="6"/>
  <c r="I133" i="6" s="1"/>
  <c r="J133" i="6" s="1"/>
  <c r="H134" i="6"/>
  <c r="I134" i="6" s="1"/>
  <c r="J134" i="6" s="1"/>
  <c r="H135" i="6"/>
  <c r="I135" i="6"/>
  <c r="J135" i="6" s="1"/>
  <c r="H136" i="6"/>
  <c r="I136" i="6" s="1"/>
  <c r="J136" i="6" s="1"/>
  <c r="H137" i="6"/>
  <c r="I137" i="6"/>
  <c r="J137" i="6" s="1"/>
  <c r="H138" i="6"/>
  <c r="I138" i="6" s="1"/>
  <c r="J138" i="6" s="1"/>
  <c r="H139" i="6"/>
  <c r="I139" i="6" s="1"/>
  <c r="J139" i="6" s="1"/>
  <c r="H140" i="6"/>
  <c r="I140" i="6" s="1"/>
  <c r="J140" i="6" s="1"/>
  <c r="H141" i="6"/>
  <c r="I141" i="6"/>
  <c r="J141" i="6" s="1"/>
  <c r="H142" i="6"/>
  <c r="I142" i="6" s="1"/>
  <c r="J142" i="6" s="1"/>
  <c r="H143" i="6"/>
  <c r="I143" i="6" s="1"/>
  <c r="J143" i="6" s="1"/>
  <c r="H144" i="6"/>
  <c r="I144" i="6" s="1"/>
  <c r="J144" i="6" s="1"/>
  <c r="H145" i="6"/>
  <c r="I145" i="6" s="1"/>
  <c r="J145" i="6" s="1"/>
  <c r="H146" i="6"/>
  <c r="I146" i="6" s="1"/>
  <c r="J146" i="6" s="1"/>
  <c r="H147" i="6"/>
  <c r="I147" i="6" s="1"/>
  <c r="J147" i="6" s="1"/>
  <c r="H148" i="6"/>
  <c r="I148" i="6" s="1"/>
  <c r="J148" i="6" s="1"/>
  <c r="H149" i="6"/>
  <c r="I149" i="6" s="1"/>
  <c r="J149" i="6" s="1"/>
  <c r="H150" i="6"/>
  <c r="I150" i="6" s="1"/>
  <c r="J150" i="6" s="1"/>
  <c r="I151" i="6"/>
  <c r="J151" i="6" s="1"/>
  <c r="H151" i="6"/>
  <c r="H152" i="6"/>
  <c r="I152" i="6" s="1"/>
  <c r="J152" i="6" s="1"/>
  <c r="H153" i="6"/>
  <c r="I153" i="6" s="1"/>
  <c r="J153" i="6" s="1"/>
  <c r="H154" i="6"/>
  <c r="I154" i="6" s="1"/>
  <c r="J154" i="6" s="1"/>
  <c r="H155" i="6"/>
  <c r="I155" i="6" s="1"/>
  <c r="J155" i="6" s="1"/>
  <c r="H156" i="6"/>
  <c r="I156" i="6" s="1"/>
  <c r="J156" i="6" s="1"/>
  <c r="H157" i="6"/>
  <c r="I157" i="6"/>
  <c r="J157" i="6" s="1"/>
  <c r="H158" i="6"/>
  <c r="I158" i="6" s="1"/>
  <c r="J158" i="6" s="1"/>
  <c r="H159" i="6"/>
  <c r="I159" i="6"/>
  <c r="J159" i="6" s="1"/>
  <c r="H160" i="6"/>
  <c r="I160" i="6"/>
  <c r="J160" i="6" s="1"/>
  <c r="H161" i="6"/>
  <c r="I161" i="6" s="1"/>
  <c r="J161" i="6" s="1"/>
  <c r="H162" i="6"/>
  <c r="I162" i="6" s="1"/>
  <c r="J162" i="6" s="1"/>
  <c r="H163" i="6"/>
  <c r="I163" i="6" s="1"/>
  <c r="J163" i="6" s="1"/>
  <c r="H164" i="6"/>
  <c r="I164" i="6" s="1"/>
  <c r="J164" i="6" s="1"/>
  <c r="H165" i="6"/>
  <c r="I165" i="6" s="1"/>
  <c r="J165" i="6" s="1"/>
  <c r="H166" i="6"/>
  <c r="I166" i="6" s="1"/>
  <c r="J166" i="6" s="1"/>
  <c r="H167" i="6"/>
  <c r="I167" i="6" s="1"/>
  <c r="J167" i="6" s="1"/>
  <c r="H168" i="6"/>
  <c r="I168" i="6"/>
  <c r="J168" i="6" s="1"/>
  <c r="H169" i="6"/>
  <c r="I169" i="6"/>
  <c r="J169" i="6" s="1"/>
  <c r="H170" i="6"/>
  <c r="I170" i="6"/>
  <c r="J170" i="6" s="1"/>
  <c r="H171" i="6"/>
  <c r="I171" i="6"/>
  <c r="J171" i="6" s="1"/>
  <c r="H172" i="6"/>
  <c r="I172" i="6"/>
  <c r="J172" i="6" s="1"/>
  <c r="H173" i="6"/>
  <c r="I173" i="6"/>
  <c r="J173" i="6" s="1"/>
  <c r="H174" i="6"/>
  <c r="I174" i="6" s="1"/>
  <c r="J174" i="6" s="1"/>
  <c r="H175" i="6"/>
  <c r="I175" i="6" s="1"/>
  <c r="J175" i="6" s="1"/>
  <c r="H176" i="6"/>
  <c r="I176" i="6" s="1"/>
  <c r="J176" i="6" s="1"/>
  <c r="H177" i="6"/>
  <c r="I177" i="6"/>
  <c r="J177" i="6" s="1"/>
  <c r="H178" i="6"/>
  <c r="I178" i="6" s="1"/>
  <c r="J178" i="6" s="1"/>
  <c r="H179" i="6"/>
  <c r="I179" i="6"/>
  <c r="J179" i="6" s="1"/>
  <c r="H180" i="6"/>
  <c r="I180" i="6"/>
  <c r="J180" i="6" s="1"/>
  <c r="H181" i="6"/>
  <c r="I181" i="6" s="1"/>
  <c r="J181" i="6" s="1"/>
  <c r="H182" i="6"/>
  <c r="I182" i="6" s="1"/>
  <c r="J182" i="6" s="1"/>
  <c r="H183" i="6"/>
  <c r="I183" i="6" s="1"/>
  <c r="J183" i="6" s="1"/>
  <c r="H184" i="6"/>
  <c r="I184" i="6" s="1"/>
  <c r="J184" i="6" s="1"/>
  <c r="H185" i="6"/>
  <c r="I185" i="6" s="1"/>
  <c r="J185" i="6" s="1"/>
  <c r="I186" i="6"/>
  <c r="J186" i="6" s="1"/>
  <c r="H186" i="6"/>
  <c r="H187" i="6"/>
  <c r="I187" i="6" s="1"/>
  <c r="J187" i="6" s="1"/>
  <c r="H188" i="6"/>
  <c r="I188" i="6" s="1"/>
  <c r="J188" i="6" s="1"/>
  <c r="H189" i="6"/>
  <c r="I189" i="6" s="1"/>
  <c r="J189" i="6" s="1"/>
  <c r="H190" i="6"/>
  <c r="I190" i="6" s="1"/>
  <c r="J190" i="6" s="1"/>
  <c r="H191" i="6"/>
  <c r="I191" i="6" s="1"/>
  <c r="J191" i="6" s="1"/>
  <c r="H192" i="6"/>
  <c r="I192" i="6"/>
  <c r="J192" i="6" s="1"/>
  <c r="H193" i="6"/>
  <c r="I193" i="6" s="1"/>
  <c r="J193" i="6" s="1"/>
  <c r="H194" i="6"/>
  <c r="I194" i="6"/>
  <c r="J194" i="6" s="1"/>
  <c r="H195" i="6"/>
  <c r="I195" i="6"/>
  <c r="J195" i="6" s="1"/>
  <c r="H196" i="6"/>
  <c r="I196" i="6" s="1"/>
  <c r="J196" i="6" s="1"/>
  <c r="H197" i="6"/>
  <c r="I197" i="6" s="1"/>
  <c r="J197" i="6" s="1"/>
  <c r="H198" i="6"/>
  <c r="I198" i="6" s="1"/>
  <c r="J198" i="6" s="1"/>
  <c r="H199" i="6"/>
  <c r="I199" i="6"/>
  <c r="J199" i="6" s="1"/>
  <c r="H200" i="6"/>
  <c r="I200" i="6"/>
  <c r="J200" i="6" s="1"/>
  <c r="H201" i="6"/>
  <c r="I201" i="6" s="1"/>
  <c r="J201" i="6" s="1"/>
  <c r="H202" i="6"/>
  <c r="I202" i="6"/>
  <c r="J202" i="6" s="1"/>
  <c r="H203" i="6"/>
  <c r="I203" i="6"/>
  <c r="J203" i="6" s="1"/>
  <c r="H204" i="6"/>
  <c r="I204" i="6"/>
  <c r="J204" i="6" s="1"/>
  <c r="H205" i="6"/>
  <c r="I205" i="6" s="1"/>
  <c r="J205" i="6" s="1"/>
  <c r="H206" i="6"/>
  <c r="I206" i="6"/>
  <c r="J206" i="6" s="1"/>
  <c r="H207" i="6"/>
  <c r="I207" i="6" s="1"/>
  <c r="J207" i="6" s="1"/>
  <c r="H208" i="6"/>
  <c r="I208" i="6" s="1"/>
  <c r="J208" i="6" s="1"/>
  <c r="H209" i="6"/>
  <c r="I209" i="6" s="1"/>
  <c r="J209" i="6" s="1"/>
  <c r="I210" i="6"/>
  <c r="J210" i="6" s="1"/>
  <c r="H210" i="6"/>
  <c r="H211" i="6"/>
  <c r="I211" i="6" s="1"/>
  <c r="J211" i="6" s="1"/>
  <c r="H212" i="6"/>
  <c r="I212" i="6" s="1"/>
  <c r="J212" i="6" s="1"/>
  <c r="H213" i="6"/>
  <c r="I213" i="6"/>
  <c r="J213" i="6" s="1"/>
  <c r="H214" i="6"/>
  <c r="I214" i="6" s="1"/>
  <c r="J214" i="6" s="1"/>
  <c r="H215" i="6"/>
  <c r="I215" i="6" s="1"/>
  <c r="J215" i="6" s="1"/>
  <c r="H216" i="6"/>
  <c r="I216" i="6" s="1"/>
  <c r="J216" i="6" s="1"/>
  <c r="H217" i="6"/>
  <c r="I217" i="6" s="1"/>
  <c r="J217" i="6" s="1"/>
  <c r="H218" i="6"/>
  <c r="I218" i="6"/>
  <c r="J218" i="6" s="1"/>
  <c r="H219" i="6"/>
  <c r="I219" i="6" s="1"/>
  <c r="J219" i="6" s="1"/>
  <c r="H220" i="6"/>
  <c r="I220" i="6"/>
  <c r="J220" i="6" s="1"/>
  <c r="H221" i="6"/>
  <c r="I221" i="6"/>
  <c r="J221" i="6" s="1"/>
  <c r="H222" i="6"/>
  <c r="I222" i="6" s="1"/>
  <c r="J222" i="6" s="1"/>
  <c r="H223" i="6"/>
  <c r="I223" i="6" s="1"/>
  <c r="J223" i="6" s="1"/>
  <c r="H224" i="6"/>
  <c r="I224" i="6" s="1"/>
  <c r="J224" i="6" s="1"/>
  <c r="I225" i="6"/>
  <c r="J225" i="6" s="1"/>
  <c r="H225" i="6"/>
  <c r="H226" i="6"/>
  <c r="I226" i="6"/>
  <c r="J226" i="6" s="1"/>
  <c r="H227" i="6"/>
  <c r="I227" i="6" s="1"/>
  <c r="J227" i="6" s="1"/>
  <c r="H228" i="6"/>
  <c r="I228" i="6" s="1"/>
  <c r="J228" i="6" s="1"/>
  <c r="H229" i="6"/>
  <c r="I229" i="6"/>
  <c r="J229" i="6" s="1"/>
  <c r="I230" i="6"/>
  <c r="J230" i="6" s="1"/>
  <c r="H230" i="6"/>
  <c r="H231" i="6"/>
  <c r="I231" i="6" s="1"/>
  <c r="J231" i="6" s="1"/>
  <c r="H232" i="6"/>
  <c r="I232" i="6" s="1"/>
  <c r="J232" i="6" s="1"/>
  <c r="H233" i="6"/>
  <c r="I233" i="6"/>
  <c r="J233" i="6" s="1"/>
  <c r="H234" i="6"/>
  <c r="I234" i="6" s="1"/>
  <c r="J234" i="6" s="1"/>
  <c r="H235" i="6"/>
  <c r="I235" i="6"/>
  <c r="J235" i="6" s="1"/>
  <c r="H236" i="6"/>
  <c r="I236" i="6" s="1"/>
  <c r="J236" i="6" s="1"/>
  <c r="H237" i="6"/>
  <c r="I237" i="6" s="1"/>
  <c r="J237" i="6" s="1"/>
  <c r="H238" i="6"/>
  <c r="I238" i="6" s="1"/>
  <c r="J238" i="6" s="1"/>
  <c r="H239" i="6"/>
  <c r="I239" i="6"/>
  <c r="J239" i="6" s="1"/>
  <c r="H240" i="6"/>
  <c r="I240" i="6"/>
  <c r="J240" i="6" s="1"/>
  <c r="H241" i="6"/>
  <c r="I241" i="6" s="1"/>
  <c r="J241" i="6" s="1"/>
  <c r="H242" i="6"/>
  <c r="I242" i="6" s="1"/>
  <c r="J242" i="6" s="1"/>
  <c r="H243" i="6"/>
  <c r="I243" i="6"/>
  <c r="J243" i="6" s="1"/>
  <c r="H244" i="6"/>
  <c r="I244" i="6" s="1"/>
  <c r="J244" i="6" s="1"/>
  <c r="H245" i="6"/>
  <c r="I245" i="6" s="1"/>
  <c r="J245" i="6" s="1"/>
  <c r="H246" i="6"/>
  <c r="I246" i="6"/>
  <c r="J246" i="6" s="1"/>
  <c r="H247" i="6"/>
  <c r="I247" i="6"/>
  <c r="J247" i="6" s="1"/>
  <c r="H248" i="6"/>
  <c r="I248" i="6"/>
  <c r="J248" i="6" s="1"/>
  <c r="H249" i="6"/>
  <c r="I249" i="6"/>
  <c r="J249" i="6" s="1"/>
  <c r="H250" i="6"/>
  <c r="I250" i="6" s="1"/>
  <c r="J250" i="6" s="1"/>
  <c r="H251" i="6"/>
  <c r="I251" i="6"/>
  <c r="J251" i="6" s="1"/>
  <c r="H2" i="6"/>
  <c r="I2" i="6"/>
  <c r="J2" i="6" s="1"/>
  <c r="F2" i="4"/>
  <c r="J2" i="4" s="1"/>
  <c r="G17" i="4"/>
  <c r="J17" i="4" s="1"/>
  <c r="G18" i="4"/>
  <c r="J18" i="4" s="1"/>
  <c r="G19" i="4"/>
  <c r="J19" i="4" s="1"/>
  <c r="G20" i="4"/>
  <c r="J20" i="4" s="1"/>
  <c r="G21" i="4"/>
  <c r="J21" i="4" s="1"/>
  <c r="G23" i="4"/>
  <c r="J23" i="4" s="1"/>
  <c r="G24" i="4"/>
  <c r="J24" i="4" s="1"/>
  <c r="G25" i="4"/>
  <c r="J25" i="4" s="1"/>
  <c r="G26" i="4"/>
  <c r="J26" i="4" s="1"/>
  <c r="G27" i="4"/>
  <c r="J27" i="4" s="1"/>
  <c r="G28" i="4"/>
  <c r="J28" i="4" s="1"/>
  <c r="G29" i="4"/>
  <c r="J29" i="4" s="1"/>
  <c r="G30" i="4"/>
  <c r="J30" i="4" s="1"/>
  <c r="G31" i="4"/>
  <c r="J31" i="4" s="1"/>
  <c r="G33" i="4"/>
  <c r="G34" i="4"/>
  <c r="G35" i="4"/>
  <c r="G36" i="4"/>
  <c r="G37" i="4"/>
  <c r="G38" i="4"/>
  <c r="G39" i="4"/>
  <c r="G40" i="4"/>
  <c r="G43" i="4"/>
  <c r="G44" i="4"/>
  <c r="G45" i="4"/>
  <c r="G46" i="4"/>
  <c r="G47" i="4"/>
  <c r="G48" i="4"/>
  <c r="G49" i="4"/>
  <c r="G50" i="4"/>
  <c r="G53" i="4"/>
  <c r="G54" i="4"/>
  <c r="G55" i="4"/>
  <c r="G56" i="4"/>
  <c r="G57" i="4"/>
  <c r="G58" i="4"/>
  <c r="G59" i="4"/>
  <c r="G60" i="4"/>
  <c r="G61" i="4"/>
  <c r="G63" i="4"/>
  <c r="G64" i="4"/>
  <c r="G65" i="4"/>
  <c r="G66" i="4"/>
  <c r="G67" i="4"/>
  <c r="G68" i="4"/>
  <c r="G69" i="4"/>
  <c r="G70" i="4"/>
  <c r="G71" i="4"/>
  <c r="G73" i="4"/>
  <c r="G74" i="4"/>
  <c r="G75" i="4"/>
  <c r="G76" i="4"/>
  <c r="G77" i="4"/>
  <c r="G78" i="4"/>
  <c r="G79" i="4"/>
  <c r="G80" i="4"/>
  <c r="G81" i="4"/>
  <c r="G83" i="4"/>
  <c r="G84" i="4"/>
  <c r="G85" i="4"/>
  <c r="G86" i="4"/>
  <c r="G87" i="4"/>
  <c r="G88" i="4"/>
  <c r="G89" i="4"/>
  <c r="G90" i="4"/>
  <c r="G93" i="4"/>
  <c r="F33" i="4"/>
  <c r="J33" i="4" s="1"/>
  <c r="F34" i="4"/>
  <c r="J34" i="4" s="1"/>
  <c r="F35" i="4"/>
  <c r="J35" i="4" s="1"/>
  <c r="F36" i="4"/>
  <c r="J36" i="4" s="1"/>
  <c r="F37" i="4"/>
  <c r="J37" i="4" s="1"/>
  <c r="F38" i="4"/>
  <c r="J38" i="4" s="1"/>
  <c r="F39" i="4"/>
  <c r="J39" i="4" s="1"/>
  <c r="F40" i="4"/>
  <c r="J40" i="4" s="1"/>
  <c r="F41" i="4"/>
  <c r="J41" i="4" s="1"/>
  <c r="F42" i="4"/>
  <c r="J42" i="4" s="1"/>
  <c r="F43" i="4"/>
  <c r="J43" i="4" s="1"/>
  <c r="F44" i="4"/>
  <c r="J44" i="4" s="1"/>
  <c r="F45" i="4"/>
  <c r="J45" i="4" s="1"/>
  <c r="F46" i="4"/>
  <c r="J46" i="4" s="1"/>
  <c r="F47" i="4"/>
  <c r="J47" i="4" s="1"/>
  <c r="F48" i="4"/>
  <c r="J48" i="4" s="1"/>
  <c r="F49" i="4"/>
  <c r="J49" i="4" s="1"/>
  <c r="F50" i="4"/>
  <c r="J50" i="4" s="1"/>
  <c r="F51" i="4"/>
  <c r="J51" i="4" s="1"/>
  <c r="F52" i="4"/>
  <c r="J52" i="4" s="1"/>
  <c r="F53" i="4"/>
  <c r="F54" i="4"/>
  <c r="F55" i="4"/>
  <c r="F56" i="4"/>
  <c r="F57" i="4"/>
  <c r="F58" i="4"/>
  <c r="F59" i="4"/>
  <c r="F60" i="4"/>
  <c r="F61" i="4"/>
  <c r="F62" i="4"/>
  <c r="J62" i="4" s="1"/>
  <c r="F63" i="4"/>
  <c r="F64" i="4"/>
  <c r="F65" i="4"/>
  <c r="F66" i="4"/>
  <c r="F67" i="4"/>
  <c r="F68" i="4"/>
  <c r="F69" i="4"/>
  <c r="F70" i="4"/>
  <c r="F71" i="4"/>
  <c r="F72" i="4"/>
  <c r="J72" i="4" s="1"/>
  <c r="F73" i="4"/>
  <c r="F74" i="4"/>
  <c r="F75" i="4"/>
  <c r="F76" i="4"/>
  <c r="F77" i="4"/>
  <c r="F78" i="4"/>
  <c r="F79" i="4"/>
  <c r="F80" i="4"/>
  <c r="F81" i="4"/>
  <c r="F82" i="4"/>
  <c r="J82" i="4" s="1"/>
  <c r="F83" i="4"/>
  <c r="F84" i="4"/>
  <c r="F85" i="4"/>
  <c r="F86" i="4"/>
  <c r="F87" i="4"/>
  <c r="F88" i="4"/>
  <c r="F89" i="4"/>
  <c r="F90" i="4"/>
  <c r="F91" i="4"/>
  <c r="J91" i="4" s="1"/>
  <c r="F92" i="4"/>
  <c r="J92" i="4" s="1"/>
  <c r="F93" i="4"/>
  <c r="F94" i="4"/>
  <c r="J94" i="4" s="1"/>
  <c r="F95" i="4"/>
  <c r="J95" i="4" s="1"/>
  <c r="F96" i="4"/>
  <c r="J96" i="4" s="1"/>
  <c r="F97" i="4"/>
  <c r="J97" i="4" s="1"/>
  <c r="F98" i="4"/>
  <c r="J98" i="4" s="1"/>
  <c r="F99" i="4"/>
  <c r="J99" i="4" s="1"/>
  <c r="F100" i="4"/>
  <c r="J100" i="4" s="1"/>
  <c r="F101" i="4"/>
  <c r="J101" i="4" s="1"/>
  <c r="F102" i="4"/>
  <c r="J102" i="4" s="1"/>
  <c r="F103" i="4"/>
  <c r="J103" i="4" s="1"/>
  <c r="F104" i="4"/>
  <c r="J104" i="4" s="1"/>
  <c r="F105" i="4"/>
  <c r="J105" i="4" s="1"/>
  <c r="F106" i="4"/>
  <c r="J106" i="4" s="1"/>
  <c r="F107" i="4"/>
  <c r="J107" i="4" s="1"/>
  <c r="F108" i="4"/>
  <c r="J108" i="4" s="1"/>
  <c r="F109" i="4"/>
  <c r="J109" i="4" s="1"/>
  <c r="F110" i="4"/>
  <c r="J110" i="4" s="1"/>
  <c r="F111" i="4"/>
  <c r="J111" i="4" s="1"/>
  <c r="F112" i="4"/>
  <c r="J112" i="4" s="1"/>
  <c r="F113" i="4"/>
  <c r="J113" i="4" s="1"/>
  <c r="F114" i="4"/>
  <c r="J114" i="4" s="1"/>
  <c r="F115" i="4"/>
  <c r="J115" i="4" s="1"/>
  <c r="F116" i="4"/>
  <c r="J116" i="4" s="1"/>
  <c r="F117" i="4"/>
  <c r="J117" i="4" s="1"/>
  <c r="F118" i="4"/>
  <c r="J118" i="4" s="1"/>
  <c r="F221" i="4"/>
  <c r="J221" i="4" s="1"/>
  <c r="F222" i="4"/>
  <c r="J222" i="4" s="1"/>
  <c r="F223" i="4"/>
  <c r="J223" i="4" s="1"/>
  <c r="F224" i="4"/>
  <c r="J224" i="4" s="1"/>
  <c r="F225" i="4"/>
  <c r="J225" i="4" s="1"/>
  <c r="F226" i="4"/>
  <c r="J226" i="4" s="1"/>
  <c r="F227" i="4"/>
  <c r="J227" i="4" s="1"/>
  <c r="F228" i="4"/>
  <c r="J228" i="4" s="1"/>
  <c r="F229" i="4"/>
  <c r="J229" i="4" s="1"/>
  <c r="F230" i="4"/>
  <c r="J230" i="4" s="1"/>
  <c r="F231" i="4"/>
  <c r="J231" i="4" s="1"/>
  <c r="F232" i="4"/>
  <c r="J232" i="4" s="1"/>
  <c r="F233" i="4"/>
  <c r="J233" i="4" s="1"/>
  <c r="F234" i="4"/>
  <c r="J234" i="4" s="1"/>
  <c r="F235" i="4"/>
  <c r="J235" i="4" s="1"/>
  <c r="F236" i="4"/>
  <c r="J236" i="4" s="1"/>
  <c r="F237" i="4"/>
  <c r="J237" i="4" s="1"/>
  <c r="F238" i="4"/>
  <c r="J238" i="4" s="1"/>
  <c r="F239" i="4"/>
  <c r="J239" i="4" s="1"/>
  <c r="F240" i="4"/>
  <c r="J240" i="4" s="1"/>
  <c r="F241" i="4"/>
  <c r="J241" i="4" s="1"/>
  <c r="F242" i="4"/>
  <c r="J242" i="4" s="1"/>
  <c r="F243" i="4"/>
  <c r="J243" i="4" s="1"/>
  <c r="F244" i="4"/>
  <c r="J244" i="4" s="1"/>
  <c r="F245" i="4"/>
  <c r="J245" i="4" s="1"/>
  <c r="F246" i="4"/>
  <c r="J246" i="4" s="1"/>
  <c r="F247" i="4"/>
  <c r="J247" i="4" s="1"/>
  <c r="F248" i="4"/>
  <c r="J248" i="4" s="1"/>
  <c r="F249" i="4"/>
  <c r="J249" i="4" s="1"/>
  <c r="F250" i="4"/>
  <c r="J250" i="4" s="1"/>
  <c r="F251" i="4"/>
  <c r="J251" i="4" s="1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J32" i="4"/>
  <c r="J22" i="4"/>
  <c r="J53" i="4" l="1"/>
  <c r="J54" i="4"/>
  <c r="J55" i="4"/>
  <c r="J56" i="4"/>
  <c r="J57" i="4"/>
  <c r="J58" i="4"/>
  <c r="J59" i="4"/>
  <c r="J60" i="4"/>
  <c r="J61" i="4"/>
  <c r="J63" i="4"/>
  <c r="J64" i="4"/>
  <c r="J65" i="4"/>
  <c r="J66" i="4"/>
  <c r="J67" i="4"/>
  <c r="J68" i="4"/>
  <c r="J69" i="4"/>
  <c r="J70" i="4"/>
  <c r="J71" i="4"/>
  <c r="J73" i="4"/>
  <c r="J74" i="4"/>
  <c r="J75" i="4"/>
  <c r="J76" i="4"/>
  <c r="J77" i="4"/>
  <c r="J78" i="4"/>
  <c r="J79" i="4"/>
  <c r="J80" i="4"/>
  <c r="J81" i="4"/>
  <c r="J83" i="4"/>
  <c r="J84" i="4"/>
  <c r="J85" i="4"/>
  <c r="J86" i="4"/>
  <c r="J87" i="4"/>
  <c r="J88" i="4"/>
  <c r="J89" i="4"/>
  <c r="J90" i="4"/>
  <c r="J93" i="4"/>
</calcChain>
</file>

<file path=xl/sharedStrings.xml><?xml version="1.0" encoding="utf-8"?>
<sst xmlns="http://schemas.openxmlformats.org/spreadsheetml/2006/main" count="2657" uniqueCount="850">
  <si>
    <t>Date</t>
  </si>
  <si>
    <t>Underlying (SPX Spot)</t>
  </si>
  <si>
    <t>ATM Strike</t>
  </si>
  <si>
    <t>FrontExp</t>
  </si>
  <si>
    <t>NextExp</t>
  </si>
  <si>
    <t>TargetDTE</t>
  </si>
  <si>
    <t>DTE_F = FrontExp - Date</t>
  </si>
  <si>
    <t>DTE_N = NextExp - Date</t>
  </si>
  <si>
    <t>Weighted_Front</t>
  </si>
  <si>
    <t>Weighted_N</t>
  </si>
  <si>
    <t>Check</t>
  </si>
  <si>
    <t>Front Call Ticker</t>
  </si>
  <si>
    <t>Last</t>
  </si>
  <si>
    <t>Bid</t>
  </si>
  <si>
    <t>Ask</t>
  </si>
  <si>
    <t>Mid=(Bid+Ask)/2</t>
  </si>
  <si>
    <t>Delta</t>
  </si>
  <si>
    <t>IV</t>
  </si>
  <si>
    <t>Next Call Ticker</t>
  </si>
  <si>
    <t>OK</t>
  </si>
  <si>
    <t>SPX 1/17/25 P5870 Index</t>
  </si>
  <si>
    <t>#N/A N/A</t>
  </si>
  <si>
    <t>SPX 2/21/25 P5870 Index</t>
  </si>
  <si>
    <t>SPX 1/17/25 P5940 Index</t>
  </si>
  <si>
    <t>SPX 2/21/25 P5940 Index</t>
  </si>
  <si>
    <t>SPX 1/17/25 P5975 Index</t>
  </si>
  <si>
    <t>SPX 2/21/25 P5975 Index</t>
  </si>
  <si>
    <t>SPX 1/17/25 P5910 Index</t>
  </si>
  <si>
    <t>SPX 2/21/25 P5910 Index</t>
  </si>
  <si>
    <t>SPX 1/17/25 P5920 Index</t>
  </si>
  <si>
    <t>SPX 2/21/25 P5920 Index</t>
  </si>
  <si>
    <t>SPX 1/17/25 P5825 Index</t>
  </si>
  <si>
    <t>SPX 2/21/25 P5825 Index</t>
  </si>
  <si>
    <t>SPX 1/17/25 P5835 Index</t>
  </si>
  <si>
    <t>SPX 2/21/25 P5835 Index</t>
  </si>
  <si>
    <t>SPX 1/17/25 P5845 Index</t>
  </si>
  <si>
    <t>SPX 2/21/25 P5845 Index</t>
  </si>
  <si>
    <t>SPX 1/17/25 P5950 Index</t>
  </si>
  <si>
    <t>SPX 2/21/25 P5950 Index</t>
  </si>
  <si>
    <t>SPX 1/17/25 P5935 Index</t>
  </si>
  <si>
    <t>SPX 2/21/25 P5935 Index</t>
  </si>
  <si>
    <t>SPX 2/21/25 P5995 Index</t>
  </si>
  <si>
    <t>SPX 3/21/25 P5995 Index</t>
  </si>
  <si>
    <t>SPX 2/21/25 P6050 Index</t>
  </si>
  <si>
    <t>SPX 3/21/25 P6050 Index</t>
  </si>
  <si>
    <t>SPX 2/21/25 P6085 Index</t>
  </si>
  <si>
    <t>SPX 3/21/25 P6085 Index</t>
  </si>
  <si>
    <t>SPX 2/21/25 P6120 Index</t>
  </si>
  <si>
    <t>SPX 3/21/25 P6120 Index</t>
  </si>
  <si>
    <t>SPX 2/21/25 P6100 Index</t>
  </si>
  <si>
    <t>SPX 3/21/25 P6100 Index</t>
  </si>
  <si>
    <t>SPX 2/21/25 P6010 Index</t>
  </si>
  <si>
    <t>SPX 3/21/25 P6010 Index</t>
  </si>
  <si>
    <t>SPX 2/21/25 P6070 Index</t>
  </si>
  <si>
    <t>SPX 3/21/25 P6070 Index</t>
  </si>
  <si>
    <t>SPX 2/21/25 P6040 Index</t>
  </si>
  <si>
    <t>SPX 3/21/25 P6040 Index</t>
  </si>
  <si>
    <t>SPX 2/21/25 P6060 Index</t>
  </si>
  <si>
    <t>SPX 3/21/25 P6060 Index</t>
  </si>
  <si>
    <t>SPX 2/21/25 P6025 Index</t>
  </si>
  <si>
    <t>SPX 3/21/25 P6025 Index</t>
  </si>
  <si>
    <t>SPX 2/21/25 P6065 Index</t>
  </si>
  <si>
    <t>SPX 3/21/25 P6065 Index</t>
  </si>
  <si>
    <t>SPX 2/21/25 P6115 Index</t>
  </si>
  <si>
    <t>SPX 3/21/25 P6115 Index</t>
  </si>
  <si>
    <t>SPX 2/21/25 P6130 Index</t>
  </si>
  <si>
    <t>SPX 3/21/25 P6130 Index</t>
  </si>
  <si>
    <t>SPX 2/21/25 P6145 Index</t>
  </si>
  <si>
    <t>SPX 3/21/25 P6145 Index</t>
  </si>
  <si>
    <t>SPX 3/21/25 P6015 Index</t>
  </si>
  <si>
    <t>SPX 4/17/25 P6015 Index</t>
  </si>
  <si>
    <t>SPX 3/21/25 P5985 Index</t>
  </si>
  <si>
    <t>SPX 4/17/25 P5985 Index</t>
  </si>
  <si>
    <t>SPX 3/21/25 P5955 Index</t>
  </si>
  <si>
    <t>SPX 4/17/25 P5955 Index</t>
  </si>
  <si>
    <t>SPX 3/21/25 P5860 Index</t>
  </si>
  <si>
    <t>SPX 4/17/25 P5860 Index</t>
  </si>
  <si>
    <t>SPX 3/21/25 P5850 Index</t>
  </si>
  <si>
    <t>SPX 4/17/25 P5850 Index</t>
  </si>
  <si>
    <t>SPX 3/21/25 P5780 Index</t>
  </si>
  <si>
    <t>SPX 4/17/25 P5780 Index</t>
  </si>
  <si>
    <t>SPX 3/21/25 P5845 Index</t>
  </si>
  <si>
    <t>SPX 4/17/25 P5845 Index</t>
  </si>
  <si>
    <t>SPX 3/21/25 P5740 Index</t>
  </si>
  <si>
    <t>SPX 4/17/25 P5740 Index</t>
  </si>
  <si>
    <t>SPX 3/21/25 P5770 Index</t>
  </si>
  <si>
    <t>SPX 4/17/25 P5770 Index</t>
  </si>
  <si>
    <t>SPX 3/21/25 P5615 Index</t>
  </si>
  <si>
    <t>SPX 4/17/25 P5615 Index</t>
  </si>
  <si>
    <t>SPX 3/21/25 P5570 Index</t>
  </si>
  <si>
    <t>SPX 4/17/25 P5570 Index</t>
  </si>
  <si>
    <t>SPX 3/21/25 P5600 Index</t>
  </si>
  <si>
    <t>SPX 4/17/25 P5600 Index</t>
  </si>
  <si>
    <t>SPX 3/21/25 P5520 Index</t>
  </si>
  <si>
    <t>SPX 4/17/25 P5520 Index</t>
  </si>
  <si>
    <t>SPX 3/21/25 P5640 Index</t>
  </si>
  <si>
    <t>SPX 4/17/25 P5640 Index</t>
  </si>
  <si>
    <t>SPX 3/21/25 P5675 Index</t>
  </si>
  <si>
    <t>SPX 4/17/25 P5675 Index</t>
  </si>
  <si>
    <t>SPX 3/21/25 P5665 Index</t>
  </si>
  <si>
    <t>SPX 4/17/25 P5665 Index</t>
  </si>
  <si>
    <t>SPX 4/17/25 P5670 Index</t>
  </si>
  <si>
    <t>SPX 5/16/25 P5670 Index</t>
  </si>
  <si>
    <t>SPX 5/16/25 P5770 Index</t>
  </si>
  <si>
    <t>SPX 4/17/25 P5775 Index</t>
  </si>
  <si>
    <t>SPX 5/16/25 P5775 Index</t>
  </si>
  <si>
    <t>SPX 4/17/25 P5710 Index</t>
  </si>
  <si>
    <t>SPX 5/16/25 P5710 Index</t>
  </si>
  <si>
    <t>SPX 4/17/25 P5695 Index</t>
  </si>
  <si>
    <t>SPX 5/16/25 P5695 Index</t>
  </si>
  <si>
    <t>SPX 4/17/25 P5580 Index</t>
  </si>
  <si>
    <t>SPX 5/16/25 P5580 Index</t>
  </si>
  <si>
    <t>SPX 4/17/25 P5610 Index</t>
  </si>
  <si>
    <t>SPX 5/16/25 P5610 Index</t>
  </si>
  <si>
    <t>SPX 4/17/25 P5635 Index</t>
  </si>
  <si>
    <t>SPX 5/16/25 P5635 Index</t>
  </si>
  <si>
    <t>SPX 4/17/25 P5395 Index</t>
  </si>
  <si>
    <t>SPX 5/16/25 P5395 Index</t>
  </si>
  <si>
    <t>SPX 4/17/25 P5075 Index</t>
  </si>
  <si>
    <t>SPX 5/16/25 P5075 Index</t>
  </si>
  <si>
    <t>SPX 4/17/25 P5060 Index</t>
  </si>
  <si>
    <t>SPX 5/16/25 P5060 Index</t>
  </si>
  <si>
    <t>SPX 4/17/25 P4985 Index</t>
  </si>
  <si>
    <t>SPX 5/16/25 P4985 Index</t>
  </si>
  <si>
    <t>SPX 4/17/25 P5455 Index</t>
  </si>
  <si>
    <t>SPX 5/16/25 P5455 Index</t>
  </si>
  <si>
    <t>SPX 4/17/25 P5270 Index</t>
  </si>
  <si>
    <t>SPX 5/16/25 P5270 Index</t>
  </si>
  <si>
    <t>SPX 4/17/25 P5365 Index</t>
  </si>
  <si>
    <t>SPX 5/16/25 P5365 Index</t>
  </si>
  <si>
    <t>SPX 4/17/25 P5405 Index</t>
  </si>
  <si>
    <t>SPX 5/16/25 P5405 Index</t>
  </si>
  <si>
    <t>SPX 4/17/25 P5275 Index</t>
  </si>
  <si>
    <t>SPX 5/16/25 P5275 Index</t>
  </si>
  <si>
    <t>SPX 5/16/25 P5285 Index</t>
  </si>
  <si>
    <t>SPX 6/20/25 P5285 Index</t>
  </si>
  <si>
    <t>SPX 5/16/25 P5160 Index</t>
  </si>
  <si>
    <t>SPX 6/20/25 P5160 Index</t>
  </si>
  <si>
    <t>SPX 5/16/25 P5290 Index</t>
  </si>
  <si>
    <t>SPX 6/20/25 P5290 Index</t>
  </si>
  <si>
    <t>SPX 5/16/25 P5375 Index</t>
  </si>
  <si>
    <t>SPX 6/20/25 P5375 Index</t>
  </si>
  <si>
    <t>SPX 5/16/25 P5485 Index</t>
  </si>
  <si>
    <t>SPX 6/20/25 P5485 Index</t>
  </si>
  <si>
    <t>SPX 5/16/25 P5525 Index</t>
  </si>
  <si>
    <t>SPX 6/20/25 P5525 Index</t>
  </si>
  <si>
    <t>SPX 5/16/25 P5530 Index</t>
  </si>
  <si>
    <t>SPX 6/20/25 P5530 Index</t>
  </si>
  <si>
    <t>SPX 5/16/25 P5560 Index</t>
  </si>
  <si>
    <t>SPX 6/20/25 P5560 Index</t>
  </si>
  <si>
    <t>SPX 5/16/25 P5570 Index</t>
  </si>
  <si>
    <t>SPX 6/20/25 P5570 Index</t>
  </si>
  <si>
    <t>SPX 5/16/25 P5605 Index</t>
  </si>
  <si>
    <t>SPX 6/20/25 P5605 Index</t>
  </si>
  <si>
    <t>SPX 5/16/25 P5685 Index</t>
  </si>
  <si>
    <t>SPX 6/20/25 P5685 Index</t>
  </si>
  <si>
    <t>SPX 5/16/25 P5650 Index</t>
  </si>
  <si>
    <t>SPX 6/20/25 P5650 Index</t>
  </si>
  <si>
    <t>SPX 5/16/25 P5630 Index</t>
  </si>
  <si>
    <t>SPX 6/20/25 P5630 Index</t>
  </si>
  <si>
    <t>SPX 5/16/25 P5665 Index</t>
  </si>
  <si>
    <t>SPX 6/20/25 P5665 Index</t>
  </si>
  <si>
    <t>SPX 5/16/25 P5660 Index</t>
  </si>
  <si>
    <t>SPX 6/20/25 P5660 Index</t>
  </si>
  <si>
    <t>SPX 5/16/25 P5845 Index</t>
  </si>
  <si>
    <t>SPX 6/20/25 P5845 Index</t>
  </si>
  <si>
    <t>SPX 5/16/25 P5885 Index</t>
  </si>
  <si>
    <t>SPX 6/20/25 P5885 Index</t>
  </si>
  <si>
    <t>SPX 5/16/25 P5895 Index</t>
  </si>
  <si>
    <t>SPX 6/20/25 P5895 Index</t>
  </si>
  <si>
    <t>SPX 5/16/25 P5915 Index</t>
  </si>
  <si>
    <t>SPX 6/20/25 P5915 Index</t>
  </si>
  <si>
    <t>SPX 6/20/25 P5960 Index</t>
  </si>
  <si>
    <t>SPX 7/18/25 P5960 Index</t>
  </si>
  <si>
    <t>SPX 6/20/25 P5965 Index</t>
  </si>
  <si>
    <t>SPX 7/18/25 P5965 Index</t>
  </si>
  <si>
    <t>SPX 6/20/25 P5940 Index</t>
  </si>
  <si>
    <t>SPX 7/18/25 P5940 Index</t>
  </si>
  <si>
    <t>SPX 7/18/25 P5845 Index</t>
  </si>
  <si>
    <t>SPX 6/20/25 P5840 Index</t>
  </si>
  <si>
    <t>SPX 7/18/25 P5840 Index</t>
  </si>
  <si>
    <t>SPX 6/20/25 P5805 Index</t>
  </si>
  <si>
    <t>SPX 7/18/25 P5805 Index</t>
  </si>
  <si>
    <t>SPX 6/20/25 P5920 Index</t>
  </si>
  <si>
    <t>SPX 7/18/25 P5920 Index</t>
  </si>
  <si>
    <t>SPX 6/20/25 P5890 Index</t>
  </si>
  <si>
    <t>SPX 7/18/25 P5890 Index</t>
  </si>
  <si>
    <t>SPX 6/20/25 P5910 Index</t>
  </si>
  <si>
    <t>SPX 7/18/25 P5910 Index</t>
  </si>
  <si>
    <t>SPX 6/20/25 P5935 Index</t>
  </si>
  <si>
    <t>SPX 7/18/25 P5935 Index</t>
  </si>
  <si>
    <t>SPX 6/20/25 P5970 Index</t>
  </si>
  <si>
    <t>SPX 7/18/25 P5970 Index</t>
  </si>
  <si>
    <t>SPX 6/20/25 P6000 Index</t>
  </si>
  <si>
    <t>SPX 7/18/25 P6000 Index</t>
  </si>
  <si>
    <t>SPX 6/20/25 P6005 Index</t>
  </si>
  <si>
    <t>SPX 7/18/25 P6005 Index</t>
  </si>
  <si>
    <t>SPX 6/20/25 P6040 Index</t>
  </si>
  <si>
    <t>SPX 7/18/25 P6040 Index</t>
  </si>
  <si>
    <t>SPX 6/20/25 P6020 Index</t>
  </si>
  <si>
    <t>SPX 7/18/25 P6020 Index</t>
  </si>
  <si>
    <t>SPX 6/20/25 P6045 Index</t>
  </si>
  <si>
    <t>SPX 7/18/25 P6045 Index</t>
  </si>
  <si>
    <t>SPX 6/20/25 P5975 Index</t>
  </si>
  <si>
    <t>SPX 7/18/25 P5975 Index</t>
  </si>
  <si>
    <t>SPX 6/20/25 P6035 Index</t>
  </si>
  <si>
    <t>SPX 7/18/25 P6035 Index</t>
  </si>
  <si>
    <t>SPX 6/20/25 P5985 Index</t>
  </si>
  <si>
    <t>SPX 7/18/25 P5985 Index</t>
  </si>
  <si>
    <t>SPX 6/20/25 P5980 Index</t>
  </si>
  <si>
    <t>SPX 7/18/25 P5980 Index</t>
  </si>
  <si>
    <t>SPX 8/15/25 P5970 Index</t>
  </si>
  <si>
    <t>SPX 7/18/25 P6025 Index</t>
  </si>
  <si>
    <t>SPX 8/15/25 P6025 Index</t>
  </si>
  <si>
    <t>SPX 7/18/25 P6090 Index</t>
  </si>
  <si>
    <t>SPX 8/15/25 P6090 Index</t>
  </si>
  <si>
    <t>SPX 7/18/25 P6140 Index</t>
  </si>
  <si>
    <t>SPX 8/15/25 P6140 Index</t>
  </si>
  <si>
    <t>SPX 7/18/25 P6175 Index</t>
  </si>
  <si>
    <t>SPX 8/15/25 P6175 Index</t>
  </si>
  <si>
    <t>SPX 7/18/25 P6205 Index</t>
  </si>
  <si>
    <t>SPX 8/15/25 P6205 Index</t>
  </si>
  <si>
    <t>SPX 7/18/25 P6200 Index</t>
  </si>
  <si>
    <t>SPX 8/15/25 P6200 Index</t>
  </si>
  <si>
    <t>SPX 7/18/25 P6225 Index</t>
  </si>
  <si>
    <t>SPX 8/15/25 P6225 Index</t>
  </si>
  <si>
    <t>SPX 7/18/25 P6280 Index</t>
  </si>
  <si>
    <t>SPX 8/15/25 P6280 Index</t>
  </si>
  <si>
    <t>SPX 7/18/25 P6230 Index</t>
  </si>
  <si>
    <t>SPX 8/15/25 P6230 Index</t>
  </si>
  <si>
    <t>SPX 7/18/25 P6265 Index</t>
  </si>
  <si>
    <t>SPX 8/15/25 P6265 Index</t>
  </si>
  <si>
    <t>SPX 7/18/25 P6260 Index</t>
  </si>
  <si>
    <t>SPX 8/15/25 P6260 Index</t>
  </si>
  <si>
    <t>SPX 7/18/25 P6270 Index</t>
  </si>
  <si>
    <t>SPX 8/15/25 P6270 Index</t>
  </si>
  <si>
    <t>SPX 7/18/25 P6245 Index</t>
  </si>
  <si>
    <t>SPX 8/15/25 P6245 Index</t>
  </si>
  <si>
    <t>SPX 7/18/25 P6295 Index</t>
  </si>
  <si>
    <t>SPX 8/15/25 P6295 Index</t>
  </si>
  <si>
    <t>SPX 9/19/25 P6295 Index</t>
  </si>
  <si>
    <t>SPX 8/15/25 P6305 Index</t>
  </si>
  <si>
    <t>SPX 9/19/25 P6305 Index</t>
  </si>
  <si>
    <t>SPX 8/15/25 P6310 Index</t>
  </si>
  <si>
    <t>SPX 9/19/25 P6310 Index</t>
  </si>
  <si>
    <t>SPX 8/15/25 P6360 Index</t>
  </si>
  <si>
    <t>SPX 9/19/25 P6360 Index</t>
  </si>
  <si>
    <t>SPX 8/15/25 P6365 Index</t>
  </si>
  <si>
    <t>SPX 9/19/25 P6365 Index</t>
  </si>
  <si>
    <t>SPX 8/15/25 P6390 Index</t>
  </si>
  <si>
    <t>SPX 9/19/25 P6390 Index</t>
  </si>
  <si>
    <t>SPX 8/15/25 P6370 Index</t>
  </si>
  <si>
    <t>SPX 9/19/25 P6370 Index</t>
  </si>
  <si>
    <t>SPX 8/15/25 P6340 Index</t>
  </si>
  <si>
    <t>SPX 9/19/25 P6340 Index</t>
  </si>
  <si>
    <t>SPX 8/15/25 P6240 Index</t>
  </si>
  <si>
    <t>SPX 9/19/25 P6240 Index</t>
  </si>
  <si>
    <t>SPX 8/15/25 P6330 Index</t>
  </si>
  <si>
    <t>SPX 9/19/25 P6330 Index</t>
  </si>
  <si>
    <t>SPX 8/15/25 P6300 Index</t>
  </si>
  <si>
    <t>SPX 9/19/25 P6300 Index</t>
  </si>
  <si>
    <t>SPX 8/15/25 P6345 Index</t>
  </si>
  <si>
    <t>SPX 9/19/25 P6345 Index</t>
  </si>
  <si>
    <t>SPX 8/15/25 P6375 Index</t>
  </si>
  <si>
    <t>SPX 9/19/25 P6375 Index</t>
  </si>
  <si>
    <t>SPX 8/15/25 P6445 Index</t>
  </si>
  <si>
    <t>SPX 9/19/25 P6445 Index</t>
  </si>
  <si>
    <t>SPX 8/15/25 P6465 Index</t>
  </si>
  <si>
    <t>SPX 9/19/25 P6465 Index</t>
  </si>
  <si>
    <t>SPX 8/15/25 P6470 Index</t>
  </si>
  <si>
    <t>SPX 9/19/25 P6470 Index</t>
  </si>
  <si>
    <t>SPX 9/19/25 P6450 Index</t>
  </si>
  <si>
    <t>SPX 10/17/25 P6450 Index</t>
  </si>
  <si>
    <t>SPX 9/19/25 P6410 Index</t>
  </si>
  <si>
    <t>SPX 10/17/25 P6410 Index</t>
  </si>
  <si>
    <t>SPX 9/19/25 P6395 Index</t>
  </si>
  <si>
    <t>SPX 10/17/25 P6395 Index</t>
  </si>
  <si>
    <t>SPX 10/17/25 P6370 Index</t>
  </si>
  <si>
    <t>SPX 10/17/25 P6465 Index</t>
  </si>
  <si>
    <t>SPX 9/19/25 P6440 Index</t>
  </si>
  <si>
    <t>SPX 10/17/25 P6440 Index</t>
  </si>
  <si>
    <t>SPX 9/19/25 P6480 Index</t>
  </si>
  <si>
    <t>SPX 10/17/25 P6480 Index</t>
  </si>
  <si>
    <t>SPX 9/19/25 P6500 Index</t>
  </si>
  <si>
    <t>SPX 10/17/25 P6500 Index</t>
  </si>
  <si>
    <t>SPX 9/19/25 P6460 Index</t>
  </si>
  <si>
    <t>SPX 10/17/25 P6460 Index</t>
  </si>
  <si>
    <t>SPX 9/19/25 P6415 Index</t>
  </si>
  <si>
    <t>SPX 10/17/25 P6415 Index</t>
  </si>
  <si>
    <t>SPX 9/19/25 P6495 Index</t>
  </si>
  <si>
    <t>SPX 10/17/25 P6495 Index</t>
  </si>
  <si>
    <t>SPX 9/19/25 P6515 Index</t>
  </si>
  <si>
    <t>SPX 10/17/25 P6515 Index</t>
  </si>
  <si>
    <t>SPX 9/19/25 P6530 Index</t>
  </si>
  <si>
    <t>SPX 10/17/25 P6530 Index</t>
  </si>
  <si>
    <t>SPX 9/19/25 P6585 Index</t>
  </si>
  <si>
    <t>SPX 10/17/25 P6585 Index</t>
  </si>
  <si>
    <t>SPX 9/19/25 P6615 Index</t>
  </si>
  <si>
    <t>SPX 10/17/25 P6615 Index</t>
  </si>
  <si>
    <t>SPX 9/19/25 P6605 Index</t>
  </si>
  <si>
    <t>SPX 10/17/25 P6605 Index</t>
  </si>
  <si>
    <t>SPX 9/19/25 P6600 Index</t>
  </si>
  <si>
    <t>SPX 10/17/25 P6600 Index</t>
  </si>
  <si>
    <t>SPX 9/19/25 P6630 Index</t>
  </si>
  <si>
    <t>SPX 10/17/25 P6630 Index</t>
  </si>
  <si>
    <t>SPX 10/17/25 P6665 Index</t>
  </si>
  <si>
    <t>SPX 11/21/25 P6665 Index</t>
  </si>
  <si>
    <t>SPX 10/17/25 P6695 Index</t>
  </si>
  <si>
    <t>SPX 11/21/25 P6695 Index</t>
  </si>
  <si>
    <t>SPX 10/17/25 P6655 Index</t>
  </si>
  <si>
    <t>SPX 11/21/25 P6655 Index</t>
  </si>
  <si>
    <t>SPX 10/17/25 P6640 Index</t>
  </si>
  <si>
    <t>SPX 11/21/25 P6640 Index</t>
  </si>
  <si>
    <t>SPX 11/21/25 P6605 Index</t>
  </si>
  <si>
    <t>SPX 10/17/25 P6645 Index</t>
  </si>
  <si>
    <t>SPX 11/21/25 P6645 Index</t>
  </si>
  <si>
    <t>SPX 10/17/25 P6660 Index</t>
  </si>
  <si>
    <t>SPX 11/21/25 P6660 Index</t>
  </si>
  <si>
    <t>SPX 10/17/25 P6690 Index</t>
  </si>
  <si>
    <t>SPX 11/21/25 P6690 Index</t>
  </si>
  <si>
    <t>SPX 10/17/25 P6710 Index</t>
  </si>
  <si>
    <t>SPX 11/21/25 P6710 Index</t>
  </si>
  <si>
    <t>SPX 10/17/25 P6715 Index</t>
  </si>
  <si>
    <t>SPX 11/21/25 P6715 Index</t>
  </si>
  <si>
    <t>SPX 10/17/25 P6740 Index</t>
  </si>
  <si>
    <t>SPX 11/21/25 P6740 Index</t>
  </si>
  <si>
    <t>SPX 10/17/25 P6755 Index</t>
  </si>
  <si>
    <t>SPX 11/21/25 P6755 Index</t>
  </si>
  <si>
    <t>SPX 10/17/25 P6735 Index</t>
  </si>
  <si>
    <t>SPX 11/21/25 P6735 Index</t>
  </si>
  <si>
    <t>SPX 10/17/25 P6555 Index</t>
  </si>
  <si>
    <t>SPX 11/21/25 P6555 Index</t>
  </si>
  <si>
    <t>SPX 10/17/25 P6670 Index</t>
  </si>
  <si>
    <t>SPX 11/21/25 P6670 Index</t>
  </si>
  <si>
    <t>SPX 11/21/25 P6630 Index</t>
  </si>
  <si>
    <t>SPX 12/19/25 P6665 Index</t>
  </si>
  <si>
    <t>SPX 12/19/25 P6735 Index</t>
  </si>
  <si>
    <t>SPX 11/21/25 P6700 Index</t>
  </si>
  <si>
    <t>SPX 12/19/25 P6700 Index</t>
  </si>
  <si>
    <t>SPX 12/19/25 P6740 Index</t>
  </si>
  <si>
    <t>SPX 11/21/25 P6790 Index</t>
  </si>
  <si>
    <t>SPX 12/19/25 P6790 Index</t>
  </si>
  <si>
    <t>SPX 11/21/25 P6875 Index</t>
  </si>
  <si>
    <t>SPX 12/19/25 P6875 Index</t>
  </si>
  <si>
    <t>SPX 11/21/25 P6890 Index</t>
  </si>
  <si>
    <t>SPX 12/19/25 P6890 Index</t>
  </si>
  <si>
    <t>SPX 11/21/25 P6820 Index</t>
  </si>
  <si>
    <t>SPX 12/19/25 P6820 Index</t>
  </si>
  <si>
    <t>SPX 11/21/25 P6840 Index</t>
  </si>
  <si>
    <t>SPX 12/19/25 P6840 Index</t>
  </si>
  <si>
    <t>SPX 11/21/25 P6850 Index</t>
  </si>
  <si>
    <t>SPX 12/19/25 P6850 Index</t>
  </si>
  <si>
    <t>SPX 11/21/25 P6770 Index</t>
  </si>
  <si>
    <t>SPX 12/19/25 P6770 Index</t>
  </si>
  <si>
    <t>SPX 11/21/25 P6795 Index</t>
  </si>
  <si>
    <t>SPX 12/19/25 P6795 Index</t>
  </si>
  <si>
    <t>SPX 11/21/25 P6720 Index</t>
  </si>
  <si>
    <t>SPX 12/19/25 P6720 Index</t>
  </si>
  <si>
    <t>SPX 11/21/25 P6730 Index</t>
  </si>
  <si>
    <t>SPX 12/19/25 P6730 Index</t>
  </si>
  <si>
    <t>SPX 11/21/25 P6830 Index</t>
  </si>
  <si>
    <t>SPX 12/19/25 P6830 Index</t>
  </si>
  <si>
    <t>SPX 11/21/25 P6845 Index</t>
  </si>
  <si>
    <t>SPX 12/19/25 P6845 Index</t>
  </si>
  <si>
    <t>SPX 12/19/25 P6670 Index</t>
  </si>
  <si>
    <t>SPX 11/21/25 P6615 Index</t>
  </si>
  <si>
    <t>SPX 12/19/25 P6615 Index</t>
  </si>
  <si>
    <t>SPX 12/19/25 P6640 Index</t>
  </si>
  <si>
    <t>SPX 11/21/25 P6540 Index</t>
  </si>
  <si>
    <t>SPX 12/19/25 P6540 Index</t>
  </si>
  <si>
    <t>SPX 12/19/25 P6605 Index</t>
  </si>
  <si>
    <t>SPX 1/16/26 P6605 Index</t>
  </si>
  <si>
    <t>SPX 12/19/25 P6705 Index</t>
  </si>
  <si>
    <t>SPX 1/16/26 P6705 Index</t>
  </si>
  <si>
    <t>SPX 12/19/25 P6765 Index</t>
  </si>
  <si>
    <t>SPX 1/16/26 P6765 Index</t>
  </si>
  <si>
    <t>SPX 12/19/25 P6815 Index</t>
  </si>
  <si>
    <t>SPX 1/16/26 P6815 Index</t>
  </si>
  <si>
    <t>SPX 1/16/26 P6850 Index</t>
  </si>
  <si>
    <t>SPX 1/16/26 P6830 Index</t>
  </si>
  <si>
    <t>SPX 12/19/25 P6855 Index</t>
  </si>
  <si>
    <t>SPX 1/16/26 P6855 Index</t>
  </si>
  <si>
    <t>SPX 12/19/25 P6870 Index</t>
  </si>
  <si>
    <t>SPX 1/16/26 P6870 Index</t>
  </si>
  <si>
    <t>SPX 1/16/26 P6845 Index</t>
  </si>
  <si>
    <t>SPX 1/16/26 P6840 Index</t>
  </si>
  <si>
    <t>SPX 12/19/25 P6885 Index</t>
  </si>
  <si>
    <t>SPX 1/16/26 P6885 Index</t>
  </si>
  <si>
    <t>SPX 12/19/25 P6900 Index</t>
  </si>
  <si>
    <t>SPX 1/16/26 P6900 Index</t>
  </si>
  <si>
    <t>SPX 12/19/25 P6825 Index</t>
  </si>
  <si>
    <t>SPX 1/16/26 P6825 Index</t>
  </si>
  <si>
    <t>SPX 12/19/25 P6800 Index</t>
  </si>
  <si>
    <t>SPX 1/16/26 P6800 Index</t>
  </si>
  <si>
    <t>SPX 1/16/26 P6720 Index</t>
  </si>
  <si>
    <t>SPX 12/19/25 P6775 Index</t>
  </si>
  <si>
    <t>SPX 1/16/26 P6775 Index</t>
  </si>
  <si>
    <t>SPX 1/16/26 P6835 Index</t>
  </si>
  <si>
    <t>SPX 2/20/26 P6835 Index</t>
  </si>
  <si>
    <t>SPX 1/16/26 P6880 Index</t>
  </si>
  <si>
    <t>SPX 2/20/26 P6880 Index</t>
  </si>
  <si>
    <t>SPX 1/16/26 P6910 Index</t>
  </si>
  <si>
    <t>SPX 2/20/26 P6910 Index</t>
  </si>
  <si>
    <t>SPX 1/16/26 P6930 Index</t>
  </si>
  <si>
    <t>SPX 2/20/26 P6930 Index</t>
  </si>
  <si>
    <t>SPX 1/16/26 P6905 Index</t>
  </si>
  <si>
    <t>SPX 2/20/26 P6905 Index</t>
  </si>
  <si>
    <t>SPX 1/16/26 P6895 Index</t>
  </si>
  <si>
    <t>SPX 2/20/26 P6895 Index</t>
  </si>
  <si>
    <t>SPX 2/20/26 P6845 Index</t>
  </si>
  <si>
    <t>P</t>
  </si>
  <si>
    <t>SPX 1/17/25 C5870 Index</t>
  </si>
  <si>
    <t>SPX 2/21/25 C5870 Index</t>
  </si>
  <si>
    <t>SPX 1/17/25 C5940 Index</t>
  </si>
  <si>
    <t>SPX 2/21/25 C5940 Index</t>
  </si>
  <si>
    <t>SPX 1/17/25 C5975 Index</t>
  </si>
  <si>
    <t>SPX 2/21/25 C5975 Index</t>
  </si>
  <si>
    <t>SPX 1/17/25 C5910 Index</t>
  </si>
  <si>
    <t>SPX 2/21/25 C5910 Index</t>
  </si>
  <si>
    <t>SPX 1/17/25 C5920 Index</t>
  </si>
  <si>
    <t>SPX 2/21/25 C5920 Index</t>
  </si>
  <si>
    <t>SPX 1/17/25 C5825 Index</t>
  </si>
  <si>
    <t>SPX 2/21/25 C5825 Index</t>
  </si>
  <si>
    <t>SPX 1/17/25 C5835 Index</t>
  </si>
  <si>
    <t>SPX 2/21/25 C5835 Index</t>
  </si>
  <si>
    <t>SPX 1/17/25 C5845 Index</t>
  </si>
  <si>
    <t>SPX 2/21/25 C5845 Index</t>
  </si>
  <si>
    <t>SPX 1/17/25 C5950 Index</t>
  </si>
  <si>
    <t>SPX 2/21/25 C5950 Index</t>
  </si>
  <si>
    <t>SPX 1/17/25 C5935 Index</t>
  </si>
  <si>
    <t>SPX 2/21/25 C5935 Index</t>
  </si>
  <si>
    <t>SPX 2/21/25 C5995 Index</t>
  </si>
  <si>
    <t>SPX 3/21/25 C5995 Index</t>
  </si>
  <si>
    <t>SPX 2/21/25 C6050 Index</t>
  </si>
  <si>
    <t>SPX 3/21/25 C6050 Index</t>
  </si>
  <si>
    <t>SPX 2/21/25 C6085 Index</t>
  </si>
  <si>
    <t>SPX 3/21/25 C6085 Index</t>
  </si>
  <si>
    <t>SPX 2/21/25 C6120 Index</t>
  </si>
  <si>
    <t>SPX 3/21/25 C6120 Index</t>
  </si>
  <si>
    <t>SPX 2/21/25 C6100 Index</t>
  </si>
  <si>
    <t>SPX 3/21/25 C6100 Index</t>
  </si>
  <si>
    <t>SPX 2/21/25 C6010 Index</t>
  </si>
  <si>
    <t>SPX 3/21/25 C6010 Index</t>
  </si>
  <si>
    <t>SPX 2/21/25 C6070 Index</t>
  </si>
  <si>
    <t>SPX 3/21/25 C6070 Index</t>
  </si>
  <si>
    <t>SPX 2/21/25 C6040 Index</t>
  </si>
  <si>
    <t>SPX 3/21/25 C6040 Index</t>
  </si>
  <si>
    <t>SPX 2/21/25 C6060 Index</t>
  </si>
  <si>
    <t>SPX 3/21/25 C6060 Index</t>
  </si>
  <si>
    <t>SPX 2/21/25 C6025 Index</t>
  </si>
  <si>
    <t>SPX 3/21/25 C6025 Index</t>
  </si>
  <si>
    <t>SPX 2/21/25 C6065 Index</t>
  </si>
  <si>
    <t>SPX 3/21/25 C6065 Index</t>
  </si>
  <si>
    <t>SPX 2/21/25 C6115 Index</t>
  </si>
  <si>
    <t>SPX 3/21/25 C6115 Index</t>
  </si>
  <si>
    <t>SPX 2/21/25 C6130 Index</t>
  </si>
  <si>
    <t>SPX 3/21/25 C6130 Index</t>
  </si>
  <si>
    <t>SPX 2/21/25 C6145 Index</t>
  </si>
  <si>
    <t>SPX 3/21/25 C6145 Index</t>
  </si>
  <si>
    <t>SPX 3/21/25 C6015 Index</t>
  </si>
  <si>
    <t>SPX 4/17/25 C6015 Index</t>
  </si>
  <si>
    <t>SPX 3/21/25 C5985 Index</t>
  </si>
  <si>
    <t>SPX 4/17/25 C5985 Index</t>
  </si>
  <si>
    <t>SPX 3/21/25 C5955 Index</t>
  </si>
  <si>
    <t>SPX 4/17/25 C5955 Index</t>
  </si>
  <si>
    <t>SPX 3/21/25 C5860 Index</t>
  </si>
  <si>
    <t>SPX 4/17/25 C5860 Index</t>
  </si>
  <si>
    <t>SPX 3/21/25 C5850 Index</t>
  </si>
  <si>
    <t>SPX 4/17/25 C5850 Index</t>
  </si>
  <si>
    <t>SPX 3/21/25 C5780 Index</t>
  </si>
  <si>
    <t>SPX 4/17/25 C5780 Index</t>
  </si>
  <si>
    <t>SPX 3/21/25 C5845 Index</t>
  </si>
  <si>
    <t>SPX 4/17/25 C5845 Index</t>
  </si>
  <si>
    <t>SPX 3/21/25 C5740 Index</t>
  </si>
  <si>
    <t>SPX 4/17/25 C5740 Index</t>
  </si>
  <si>
    <t>SPX 3/21/25 C5770 Index</t>
  </si>
  <si>
    <t>SPX 4/17/25 C5770 Index</t>
  </si>
  <si>
    <t>SPX 3/21/25 C5615 Index</t>
  </si>
  <si>
    <t>SPX 4/17/25 C5615 Index</t>
  </si>
  <si>
    <t>SPX 3/21/25 C5570 Index</t>
  </si>
  <si>
    <t>SPX 4/17/25 C5570 Index</t>
  </si>
  <si>
    <t>SPX 3/21/25 C5600 Index</t>
  </si>
  <si>
    <t>SPX 4/17/25 C5600 Index</t>
  </si>
  <si>
    <t>SPX 3/21/25 C5520 Index</t>
  </si>
  <si>
    <t>SPX 4/17/25 C5520 Index</t>
  </si>
  <si>
    <t>SPX 3/21/25 C5640 Index</t>
  </si>
  <si>
    <t>SPX 4/17/25 C5640 Index</t>
  </si>
  <si>
    <t>SPX 3/21/25 C5675 Index</t>
  </si>
  <si>
    <t>SPX 4/17/25 C5675 Index</t>
  </si>
  <si>
    <t>SPX 3/21/25 C5665 Index</t>
  </si>
  <si>
    <t>SPX 4/17/25 C5665 Index</t>
  </si>
  <si>
    <t>SPX 4/17/25 C5670 Index</t>
  </si>
  <si>
    <t>SPX 5/16/25 C5670 Index</t>
  </si>
  <si>
    <t>SPX 5/16/25 C5770 Index</t>
  </si>
  <si>
    <t>SPX 4/17/25 C5775 Index</t>
  </si>
  <si>
    <t>SPX 5/16/25 C5775 Index</t>
  </si>
  <si>
    <t>SPX 4/17/25 C5710 Index</t>
  </si>
  <si>
    <t>SPX 5/16/25 C5710 Index</t>
  </si>
  <si>
    <t>SPX 4/17/25 C5695 Index</t>
  </si>
  <si>
    <t>SPX 5/16/25 C5695 Index</t>
  </si>
  <si>
    <t>SPX 4/17/25 C5580 Index</t>
  </si>
  <si>
    <t>SPX 5/16/25 C5580 Index</t>
  </si>
  <si>
    <t>SPX 4/17/25 C5610 Index</t>
  </si>
  <si>
    <t>SPX 5/16/25 C5610 Index</t>
  </si>
  <si>
    <t>SPX 4/17/25 C5635 Index</t>
  </si>
  <si>
    <t>SPX 5/16/25 C5635 Index</t>
  </si>
  <si>
    <t>SPX 4/17/25 C5395 Index</t>
  </si>
  <si>
    <t>SPX 5/16/25 C5395 Index</t>
  </si>
  <si>
    <t>SPX 4/17/25 C5075 Index</t>
  </si>
  <si>
    <t>SPX 5/16/25 C5075 Index</t>
  </si>
  <si>
    <t>SPX 4/17/25 C5060 Index</t>
  </si>
  <si>
    <t>SPX 5/16/25 C5060 Index</t>
  </si>
  <si>
    <t>SPX 4/17/25 C4985 Index</t>
  </si>
  <si>
    <t>SPX 5/16/25 C4985 Index</t>
  </si>
  <si>
    <t>SPX 4/17/25 C5455 Index</t>
  </si>
  <si>
    <t>SPX 5/16/25 C5455 Index</t>
  </si>
  <si>
    <t>SPX 4/17/25 C5270 Index</t>
  </si>
  <si>
    <t>SPX 5/16/25 C5270 Index</t>
  </si>
  <si>
    <t>SPX 4/17/25 C5365 Index</t>
  </si>
  <si>
    <t>SPX 5/16/25 C5365 Index</t>
  </si>
  <si>
    <t>SPX 4/17/25 C5405 Index</t>
  </si>
  <si>
    <t>SPX 5/16/25 C5405 Index</t>
  </si>
  <si>
    <t>SPX 4/17/25 C5275 Index</t>
  </si>
  <si>
    <t>SPX 5/16/25 C5275 Index</t>
  </si>
  <si>
    <t>SPX 5/16/25 C5285 Index</t>
  </si>
  <si>
    <t>SPX 6/20/25 C5285 Index</t>
  </si>
  <si>
    <t>SPX 5/16/25 C5160 Index</t>
  </si>
  <si>
    <t>SPX 6/20/25 C5160 Index</t>
  </si>
  <si>
    <t>SPX 5/16/25 C5290 Index</t>
  </si>
  <si>
    <t>SPX 6/20/25 C5290 Index</t>
  </si>
  <si>
    <t>SPX 5/16/25 C5375 Index</t>
  </si>
  <si>
    <t>SPX 6/20/25 C5375 Index</t>
  </si>
  <si>
    <t>SPX 5/16/25 C5485 Index</t>
  </si>
  <si>
    <t>SPX 6/20/25 C5485 Index</t>
  </si>
  <si>
    <t>SPX 5/16/25 C5525 Index</t>
  </si>
  <si>
    <t>SPX 6/20/25 C5525 Index</t>
  </si>
  <si>
    <t>SPX 5/16/25 C5530 Index</t>
  </si>
  <si>
    <t>SPX 6/20/25 C5530 Index</t>
  </si>
  <si>
    <t>SPX 5/16/25 C5560 Index</t>
  </si>
  <si>
    <t>SPX 6/20/25 C5560 Index</t>
  </si>
  <si>
    <t>SPX 5/16/25 C5570 Index</t>
  </si>
  <si>
    <t>SPX 6/20/25 C5570 Index</t>
  </si>
  <si>
    <t>SPX 5/16/25 C5605 Index</t>
  </si>
  <si>
    <t>SPX 6/20/25 C5605 Index</t>
  </si>
  <si>
    <t>SPX 5/16/25 C5685 Index</t>
  </si>
  <si>
    <t>SPX 6/20/25 C5685 Index</t>
  </si>
  <si>
    <t>SPX 5/16/25 C5650 Index</t>
  </si>
  <si>
    <t>SPX 6/20/25 C5650 Index</t>
  </si>
  <si>
    <t>SPX 5/16/25 C5630 Index</t>
  </si>
  <si>
    <t>SPX 6/20/25 C5630 Index</t>
  </si>
  <si>
    <t>SPX 5/16/25 C5665 Index</t>
  </si>
  <si>
    <t>SPX 6/20/25 C5665 Index</t>
  </si>
  <si>
    <t>SPX 5/16/25 C5660 Index</t>
  </si>
  <si>
    <t>SPX 6/20/25 C5660 Index</t>
  </si>
  <si>
    <t>SPX 5/16/25 C5845 Index</t>
  </si>
  <si>
    <t>SPX 6/20/25 C5845 Index</t>
  </si>
  <si>
    <t>SPX 5/16/25 C5885 Index</t>
  </si>
  <si>
    <t>SPX 6/20/25 C5885 Index</t>
  </si>
  <si>
    <t>SPX 5/16/25 C5895 Index</t>
  </si>
  <si>
    <t>SPX 6/20/25 C5895 Index</t>
  </si>
  <si>
    <t>SPX 5/16/25 C5915 Index</t>
  </si>
  <si>
    <t>SPX 6/20/25 C5915 Index</t>
  </si>
  <si>
    <t>SPX 6/20/25 C5960 Index</t>
  </si>
  <si>
    <t>SPX 7/18/25 C5960 Index</t>
  </si>
  <si>
    <t>SPX 6/20/25 C5965 Index</t>
  </si>
  <si>
    <t>SPX 7/18/25 C5965 Index</t>
  </si>
  <si>
    <t>SPX 6/20/25 C5940 Index</t>
  </si>
  <si>
    <t>SPX 7/18/25 C5940 Index</t>
  </si>
  <si>
    <t>SPX 7/18/25 C5845 Index</t>
  </si>
  <si>
    <t>SPX 6/20/25 C5840 Index</t>
  </si>
  <si>
    <t>SPX 7/18/25 C5840 Index</t>
  </si>
  <si>
    <t>SPX 6/20/25 C5805 Index</t>
  </si>
  <si>
    <t>SPX 7/18/25 C5805 Index</t>
  </si>
  <si>
    <t>SPX 6/20/25 C5920 Index</t>
  </si>
  <si>
    <t>SPX 7/18/25 C5920 Index</t>
  </si>
  <si>
    <t>SPX 6/20/25 C5890 Index</t>
  </si>
  <si>
    <t>SPX 7/18/25 C5890 Index</t>
  </si>
  <si>
    <t>SPX 6/20/25 C5910 Index</t>
  </si>
  <si>
    <t>SPX 7/18/25 C5910 Index</t>
  </si>
  <si>
    <t>SPX 6/20/25 C5935 Index</t>
  </si>
  <si>
    <t>SPX 7/18/25 C5935 Index</t>
  </si>
  <si>
    <t>SPX 6/20/25 C5970 Index</t>
  </si>
  <si>
    <t>SPX 7/18/25 C5970 Index</t>
  </si>
  <si>
    <t>SPX 6/20/25 C6000 Index</t>
  </si>
  <si>
    <t>SPX 7/18/25 C6000 Index</t>
  </si>
  <si>
    <t>SPX 6/20/25 C6005 Index</t>
  </si>
  <si>
    <t>SPX 7/18/25 C6005 Index</t>
  </si>
  <si>
    <t>SPX 6/20/25 C6040 Index</t>
  </si>
  <si>
    <t>SPX 7/18/25 C6040 Index</t>
  </si>
  <si>
    <t>SPX 6/20/25 C6020 Index</t>
  </si>
  <si>
    <t>SPX 7/18/25 C6020 Index</t>
  </si>
  <si>
    <t>SPX 6/20/25 C6045 Index</t>
  </si>
  <si>
    <t>SPX 7/18/25 C6045 Index</t>
  </si>
  <si>
    <t>SPX 6/20/25 C5975 Index</t>
  </si>
  <si>
    <t>SPX 7/18/25 C5975 Index</t>
  </si>
  <si>
    <t>SPX 6/20/25 C6035 Index</t>
  </si>
  <si>
    <t>SPX 7/18/25 C6035 Index</t>
  </si>
  <si>
    <t>SPX 6/20/25 C5985 Index</t>
  </si>
  <si>
    <t>SPX 7/18/25 C5985 Index</t>
  </si>
  <si>
    <t>SPX 6/20/25 C5980 Index</t>
  </si>
  <si>
    <t>SPX 7/18/25 C5980 Index</t>
  </si>
  <si>
    <t>SPX 8/15/25 C5970 Index</t>
  </si>
  <si>
    <t>SPX 7/18/25 C6025 Index</t>
  </si>
  <si>
    <t>SPX 8/15/25 C6025 Index</t>
  </si>
  <si>
    <t>SPX 7/18/25 C6090 Index</t>
  </si>
  <si>
    <t>SPX 8/15/25 C6090 Index</t>
  </si>
  <si>
    <t>SPX 7/18/25 C6140 Index</t>
  </si>
  <si>
    <t>SPX 8/15/25 C6140 Index</t>
  </si>
  <si>
    <t>SPX 7/18/25 C6175 Index</t>
  </si>
  <si>
    <t>SPX 8/15/25 C6175 Index</t>
  </si>
  <si>
    <t>SPX 7/18/25 C6205 Index</t>
  </si>
  <si>
    <t>SPX 8/15/25 C6205 Index</t>
  </si>
  <si>
    <t>SPX 7/18/25 C6200 Index</t>
  </si>
  <si>
    <t>SPX 8/15/25 C6200 Index</t>
  </si>
  <si>
    <t>SPX 7/18/25 C6225 Index</t>
  </si>
  <si>
    <t>SPX 8/15/25 C6225 Index</t>
  </si>
  <si>
    <t>SPX 7/18/25 C6280 Index</t>
  </si>
  <si>
    <t>SPX 8/15/25 C6280 Index</t>
  </si>
  <si>
    <t>SPX 7/18/25 C6230 Index</t>
  </si>
  <si>
    <t>SPX 8/15/25 C6230 Index</t>
  </si>
  <si>
    <t>SPX 7/18/25 C6265 Index</t>
  </si>
  <si>
    <t>SPX 8/15/25 C6265 Index</t>
  </si>
  <si>
    <t>SPX 7/18/25 C6260 Index</t>
  </si>
  <si>
    <t>SPX 8/15/25 C6260 Index</t>
  </si>
  <si>
    <t>SPX 7/18/25 C6270 Index</t>
  </si>
  <si>
    <t>SPX 8/15/25 C6270 Index</t>
  </si>
  <si>
    <t>SPX 7/18/25 C6245 Index</t>
  </si>
  <si>
    <t>SPX 8/15/25 C6245 Index</t>
  </si>
  <si>
    <t>SPX 7/18/25 C6295 Index</t>
  </si>
  <si>
    <t>SPX 8/15/25 C6295 Index</t>
  </si>
  <si>
    <t>SPX 9/19/25 C6295 Index</t>
  </si>
  <si>
    <t>SPX 8/15/25 C6305 Index</t>
  </si>
  <si>
    <t>SPX 9/19/25 C6305 Index</t>
  </si>
  <si>
    <t>SPX 8/15/25 C6310 Index</t>
  </si>
  <si>
    <t>SPX 9/19/25 C6310 Index</t>
  </si>
  <si>
    <t>SPX 8/15/25 C6360 Index</t>
  </si>
  <si>
    <t>SPX 9/19/25 C6360 Index</t>
  </si>
  <si>
    <t>SPX 8/15/25 C6365 Index</t>
  </si>
  <si>
    <t>SPX 9/19/25 C6365 Index</t>
  </si>
  <si>
    <t>SPX 8/15/25 C6390 Index</t>
  </si>
  <si>
    <t>SPX 9/19/25 C6390 Index</t>
  </si>
  <si>
    <t>SPX 8/15/25 C6370 Index</t>
  </si>
  <si>
    <t>SPX 9/19/25 C6370 Index</t>
  </si>
  <si>
    <t>SPX 8/15/25 C6340 Index</t>
  </si>
  <si>
    <t>SPX 9/19/25 C6340 Index</t>
  </si>
  <si>
    <t>SPX 8/15/25 C6240 Index</t>
  </si>
  <si>
    <t>SPX 9/19/25 C6240 Index</t>
  </si>
  <si>
    <t>SPX 8/15/25 C6330 Index</t>
  </si>
  <si>
    <t>SPX 9/19/25 C6330 Index</t>
  </si>
  <si>
    <t>SPX 8/15/25 C6300 Index</t>
  </si>
  <si>
    <t>SPX 9/19/25 C6300 Index</t>
  </si>
  <si>
    <t>SPX 8/15/25 C6345 Index</t>
  </si>
  <si>
    <t>SPX 9/19/25 C6345 Index</t>
  </si>
  <si>
    <t>SPX 8/15/25 C6375 Index</t>
  </si>
  <si>
    <t>SPX 9/19/25 C6375 Index</t>
  </si>
  <si>
    <t>SPX 8/15/25 C6445 Index</t>
  </si>
  <si>
    <t>SPX 9/19/25 C6445 Index</t>
  </si>
  <si>
    <t>SPX 8/15/25 C6465 Index</t>
  </si>
  <si>
    <t>SPX 9/19/25 C6465 Index</t>
  </si>
  <si>
    <t>SPX 8/15/25 C6470 Index</t>
  </si>
  <si>
    <t>SPX 9/19/25 C6470 Index</t>
  </si>
  <si>
    <t>SPX 9/19/25 C6450 Index</t>
  </si>
  <si>
    <t>SPX 10/17/25 C6450 Index</t>
  </si>
  <si>
    <t>SPX 9/19/25 C6410 Index</t>
  </si>
  <si>
    <t>SPX 10/17/25 C6410 Index</t>
  </si>
  <si>
    <t>SPX 9/19/25 C6395 Index</t>
  </si>
  <si>
    <t>SPX 10/17/25 C6395 Index</t>
  </si>
  <si>
    <t>SPX 10/17/25 C6370 Index</t>
  </si>
  <si>
    <t>SPX 10/17/25 C6465 Index</t>
  </si>
  <si>
    <t>SPX 9/19/25 C6440 Index</t>
  </si>
  <si>
    <t>SPX 10/17/25 C6440 Index</t>
  </si>
  <si>
    <t>SPX 9/19/25 C6480 Index</t>
  </si>
  <si>
    <t>SPX 10/17/25 C6480 Index</t>
  </si>
  <si>
    <t>SPX 9/19/25 C6500 Index</t>
  </si>
  <si>
    <t>SPX 10/17/25 C6500 Index</t>
  </si>
  <si>
    <t>SPX 9/19/25 C6460 Index</t>
  </si>
  <si>
    <t>SPX 10/17/25 C6460 Index</t>
  </si>
  <si>
    <t>SPX 9/19/25 C6415 Index</t>
  </si>
  <si>
    <t>SPX 10/17/25 C6415 Index</t>
  </si>
  <si>
    <t>SPX 9/19/25 C6495 Index</t>
  </si>
  <si>
    <t>SPX 10/17/25 C6495 Index</t>
  </si>
  <si>
    <t>SPX 9/19/25 C6515 Index</t>
  </si>
  <si>
    <t>SPX 10/17/25 C6515 Index</t>
  </si>
  <si>
    <t>SPX 9/19/25 C6530 Index</t>
  </si>
  <si>
    <t>SPX 10/17/25 C6530 Index</t>
  </si>
  <si>
    <t>SPX 9/19/25 C6585 Index</t>
  </si>
  <si>
    <t>SPX 10/17/25 C6585 Index</t>
  </si>
  <si>
    <t>SPX 9/19/25 C6615 Index</t>
  </si>
  <si>
    <t>SPX 10/17/25 C6615 Index</t>
  </si>
  <si>
    <t>SPX 9/19/25 C6605 Index</t>
  </si>
  <si>
    <t>SPX 10/17/25 C6605 Index</t>
  </si>
  <si>
    <t>SPX 9/19/25 C6600 Index</t>
  </si>
  <si>
    <t>SPX 10/17/25 C6600 Index</t>
  </si>
  <si>
    <t>SPX 9/19/25 C6630 Index</t>
  </si>
  <si>
    <t>SPX 10/17/25 C6630 Index</t>
  </si>
  <si>
    <t>SPX 10/17/25 C6665 Index</t>
  </si>
  <si>
    <t>SPX 11/21/25 C6665 Index</t>
  </si>
  <si>
    <t>SPX 10/17/25 C6695 Index</t>
  </si>
  <si>
    <t>SPX 11/21/25 C6695 Index</t>
  </si>
  <si>
    <t>SPX 10/17/25 C6655 Index</t>
  </si>
  <si>
    <t>SPX 11/21/25 C6655 Index</t>
  </si>
  <si>
    <t>SPX 10/17/25 C6640 Index</t>
  </si>
  <si>
    <t>SPX 11/21/25 C6640 Index</t>
  </si>
  <si>
    <t>SPX 11/21/25 C6605 Index</t>
  </si>
  <si>
    <t>SPX 10/17/25 C6645 Index</t>
  </si>
  <si>
    <t>SPX 11/21/25 C6645 Index</t>
  </si>
  <si>
    <t>SPX 10/17/25 C6660 Index</t>
  </si>
  <si>
    <t>SPX 11/21/25 C6660 Index</t>
  </si>
  <si>
    <t>SPX 10/17/25 C6690 Index</t>
  </si>
  <si>
    <t>SPX 11/21/25 C6690 Index</t>
  </si>
  <si>
    <t>SPX 10/17/25 C6710 Index</t>
  </si>
  <si>
    <t>SPX 11/21/25 C6710 Index</t>
  </si>
  <si>
    <t>SPX 10/17/25 C6715 Index</t>
  </si>
  <si>
    <t>SPX 11/21/25 C6715 Index</t>
  </si>
  <si>
    <t>SPX 10/17/25 C6740 Index</t>
  </si>
  <si>
    <t>SPX 11/21/25 C6740 Index</t>
  </si>
  <si>
    <t>SPX 10/17/25 C6755 Index</t>
  </si>
  <si>
    <t>SPX 11/21/25 C6755 Index</t>
  </si>
  <si>
    <t>SPX 10/17/25 C6735 Index</t>
  </si>
  <si>
    <t>SPX 11/21/25 C6735 Index</t>
  </si>
  <si>
    <t>SPX 10/17/25 C6555 Index</t>
  </si>
  <si>
    <t>SPX 11/21/25 C6555 Index</t>
  </si>
  <si>
    <t>SPX 10/17/25 C6670 Index</t>
  </si>
  <si>
    <t>SPX 11/21/25 C6670 Index</t>
  </si>
  <si>
    <t>SPX 11/21/25 C6630 Index</t>
  </si>
  <si>
    <t>SPX 12/19/25 C6665 Index</t>
  </si>
  <si>
    <t>SPX 12/19/25 C6735 Index</t>
  </si>
  <si>
    <t>SPX 11/21/25 C6700 Index</t>
  </si>
  <si>
    <t>SPX 12/19/25 C6700 Index</t>
  </si>
  <si>
    <t>SPX 12/19/25 C6740 Index</t>
  </si>
  <si>
    <t>SPX 11/21/25 C6790 Index</t>
  </si>
  <si>
    <t>SPX 12/19/25 C6790 Index</t>
  </si>
  <si>
    <t>SPX 11/21/25 C6875 Index</t>
  </si>
  <si>
    <t>SPX 12/19/25 C6875 Index</t>
  </si>
  <si>
    <t>SPX 11/21/25 C6890 Index</t>
  </si>
  <si>
    <t>SPX 12/19/25 C6890 Index</t>
  </si>
  <si>
    <t>SPX 11/21/25 C6820 Index</t>
  </si>
  <si>
    <t>SPX 12/19/25 C6820 Index</t>
  </si>
  <si>
    <t>SPX 11/21/25 C6840 Index</t>
  </si>
  <si>
    <t>SPX 12/19/25 C6840 Index</t>
  </si>
  <si>
    <t>SPX 11/21/25 C6850 Index</t>
  </si>
  <si>
    <t>SPX 12/19/25 C6850 Index</t>
  </si>
  <si>
    <t>SPX 11/21/25 C6770 Index</t>
  </si>
  <si>
    <t>SPX 12/19/25 C6770 Index</t>
  </si>
  <si>
    <t>SPX 11/21/25 C6795 Index</t>
  </si>
  <si>
    <t>SPX 12/19/25 C6795 Index</t>
  </si>
  <si>
    <t>SPX 11/21/25 C6720 Index</t>
  </si>
  <si>
    <t>SPX 12/19/25 C6720 Index</t>
  </si>
  <si>
    <t>SPX 11/21/25 C6730 Index</t>
  </si>
  <si>
    <t>SPX 12/19/25 C6730 Index</t>
  </si>
  <si>
    <t>SPX 11/21/25 C6830 Index</t>
  </si>
  <si>
    <t>SPX 12/19/25 C6830 Index</t>
  </si>
  <si>
    <t>SPX 11/21/25 C6845 Index</t>
  </si>
  <si>
    <t>SPX 12/19/25 C6845 Index</t>
  </si>
  <si>
    <t>SPX 12/19/25 C6670 Index</t>
  </si>
  <si>
    <t>SPX 11/21/25 C6615 Index</t>
  </si>
  <si>
    <t>SPX 12/19/25 C6615 Index</t>
  </si>
  <si>
    <t>SPX 12/19/25 C6640 Index</t>
  </si>
  <si>
    <t>SPX 11/21/25 C6540 Index</t>
  </si>
  <si>
    <t>SPX 12/19/25 C6540 Index</t>
  </si>
  <si>
    <t>SPX 12/19/25 C6605 Index</t>
  </si>
  <si>
    <t>SPX 1/16/26 C6605 Index</t>
  </si>
  <si>
    <t>SPX 12/19/25 C6705 Index</t>
  </si>
  <si>
    <t>SPX 1/16/26 C6705 Index</t>
  </si>
  <si>
    <t>SPX 12/19/25 C6765 Index</t>
  </si>
  <si>
    <t>SPX 1/16/26 C6765 Index</t>
  </si>
  <si>
    <t>SPX 12/19/25 C6815 Index</t>
  </si>
  <si>
    <t>SPX 1/16/26 C6815 Index</t>
  </si>
  <si>
    <t>SPX 1/16/26 C6850 Index</t>
  </si>
  <si>
    <t>SPX 1/16/26 C6830 Index</t>
  </si>
  <si>
    <t>SPX 12/19/25 C6855 Index</t>
  </si>
  <si>
    <t>SPX 1/16/26 C6855 Index</t>
  </si>
  <si>
    <t>SPX 12/19/25 C6870 Index</t>
  </si>
  <si>
    <t>SPX 1/16/26 C6870 Index</t>
  </si>
  <si>
    <t>SPX 1/16/26 C6845 Index</t>
  </si>
  <si>
    <t>SPX 1/16/26 C6840 Index</t>
  </si>
  <si>
    <t>SPX 12/19/25 C6885 Index</t>
  </si>
  <si>
    <t>SPX 1/16/26 C6885 Index</t>
  </si>
  <si>
    <t>SPX 12/19/25 C6900 Index</t>
  </si>
  <si>
    <t>SPX 1/16/26 C6900 Index</t>
  </si>
  <si>
    <t>SPX 12/19/25 C6825 Index</t>
  </si>
  <si>
    <t>SPX 1/16/26 C6825 Index</t>
  </si>
  <si>
    <t>SPX 12/19/25 C6800 Index</t>
  </si>
  <si>
    <t>SPX 1/16/26 C6800 Index</t>
  </si>
  <si>
    <t>SPX 1/16/26 C6720 Index</t>
  </si>
  <si>
    <t>SPX 12/19/25 C6775 Index</t>
  </si>
  <si>
    <t>SPX 1/16/26 C6775 Index</t>
  </si>
  <si>
    <t>SPX 1/16/26 C6835 Index</t>
  </si>
  <si>
    <t>SPX 2/20/26 C6835 Index</t>
  </si>
  <si>
    <t>SPX 1/16/26 C6880 Index</t>
  </si>
  <si>
    <t>SPX 2/20/26 C6880 Index</t>
  </si>
  <si>
    <t>SPX 1/16/26 C6910 Index</t>
  </si>
  <si>
    <t>SPX 2/20/26 C6910 Index</t>
  </si>
  <si>
    <t>SPX 1/16/26 C6930 Index</t>
  </si>
  <si>
    <t>SPX 2/20/26 C6930 Index</t>
  </si>
  <si>
    <t>SPX 1/16/26 C6905 Index</t>
  </si>
  <si>
    <t>SPX 2/20/26 C6905 Index</t>
  </si>
  <si>
    <t>SPX 1/16/26 C6895 Index</t>
  </si>
  <si>
    <t>SPX 2/20/26 C6895 Index</t>
  </si>
  <si>
    <t>SPX 2/20/26 C6845 Index</t>
  </si>
  <si>
    <t>Month</t>
  </si>
  <si>
    <t>Expiry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</si>
  <si>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</si>
  <si>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</si>
  <si>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</si>
  <si>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</si>
  <si>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</si>
  <si>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</si>
  <si>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</si>
  <si>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</si>
  <si>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</si>
  <si>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</si>
  <si>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</si>
  <si>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</si>
  <si>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IV_30D</t>
  </si>
  <si>
    <t>Front_Call_Mid</t>
    <phoneticPr fontId="1" type="noConversion"/>
  </si>
  <si>
    <t>Front_Put_Mid</t>
    <phoneticPr fontId="1" type="noConversion"/>
  </si>
  <si>
    <t>Next_Call_Mid</t>
    <phoneticPr fontId="1" type="noConversion"/>
  </si>
  <si>
    <t>Next_Put_Mid</t>
    <phoneticPr fontId="1" type="noConversion"/>
  </si>
  <si>
    <t>Front_Straddle</t>
    <phoneticPr fontId="1" type="noConversion"/>
  </si>
  <si>
    <t>Next_Straddle</t>
    <phoneticPr fontId="1" type="noConversion"/>
  </si>
  <si>
    <t>30D Constant-Maturity Straddle</t>
    <phoneticPr fontId="1" type="noConversion"/>
  </si>
  <si>
    <t>IV_30D_Call(%)</t>
    <phoneticPr fontId="1" type="noConversion"/>
  </si>
  <si>
    <t>IV_30D_Put(%)</t>
    <phoneticPr fontId="1" type="noConversion"/>
  </si>
  <si>
    <t>Proxy=C2-B2(%)</t>
    <phoneticPr fontId="1" type="noConversion"/>
  </si>
  <si>
    <t>IV_30D=(B2+C2)/2</t>
    <phoneticPr fontId="1" type="noConversion"/>
  </si>
  <si>
    <t>IV_30D(call+put)/2</t>
  </si>
  <si>
    <t>RF_1M</t>
  </si>
  <si>
    <t>RF_1M/100</t>
  </si>
  <si>
    <t>T(30/365)</t>
  </si>
  <si>
    <t>Call delta</t>
  </si>
  <si>
    <t>Straddle delta</t>
  </si>
  <si>
    <t>Put delta</t>
  </si>
  <si>
    <t>Hedge</t>
  </si>
  <si>
    <t>IV_Front</t>
  </si>
  <si>
    <t>IV_Next</t>
  </si>
  <si>
    <t>Front_Call_Delta</t>
  </si>
  <si>
    <t>Next_Call_Delta</t>
  </si>
  <si>
    <t>Call Delta（Trading）</t>
  </si>
  <si>
    <t>Put Delta (Trading)</t>
  </si>
  <si>
    <t>Straddle Delta</t>
  </si>
  <si>
    <t>PnL</t>
  </si>
  <si>
    <t>Return</t>
  </si>
  <si>
    <t>Cumulative PnL</t>
  </si>
  <si>
    <t>Front_Straddle</t>
  </si>
  <si>
    <t>Next_Straddle</t>
  </si>
  <si>
    <t>Trading Straddle</t>
  </si>
  <si>
    <t>Straddle PnL</t>
  </si>
  <si>
    <t>Hedge PnL</t>
  </si>
  <si>
    <t>Total PnL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</si>
</sst>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name val="Aptos Narrow"/>
      <family val="3"/>
      <charset val="136"/>
      <scheme val="minor"/>
    </font>
    <font>
      <b/>
      <sz val="11"/>
      <color rgb="FF000000"/>
      <name val="Aptos Narrow"/>
      <family val="1"/>
      <charset val="136"/>
      <scheme val="minor"/>
    </font>
    <font>
      <sz val="11"/>
      <color rgb="FF000000"/>
      <name val="Aptos Narrow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2" fillId="0" borderId="0" xfId="0" applyFont="1"/>
    <xf numFmtId="14" fontId="3" fillId="0" borderId="0" xfId="0" applyNumberFormat="1" applyFont="1"/>
    <xf numFmtId="0" fontId="0" fillId="2" borderId="0" xfId="0" applyFill="1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0" fillId="0" borderId="0" xfId="0" applyFont="1"/>
    <xf numFmtId="0" fontId="0" fillId="3" borderId="0" xfId="0" applyFill="1"/>
    <xf numFmtId="0" fontId="0" fillId="4" borderId="0" xfId="0" applyFont="1" applyFill="1"/>
    <xf numFmtId="0" fontId="0" fillId="2" borderId="0" xfId="0" applyFont="1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78D9-EBC2-43FB-BAB5-061213B756FC}">
  <dimension ref="A1:B15"/>
  <sheetViews>
    <sheetView workbookViewId="0">
      <selection activeCell="I45" sqref="I45"/>
    </sheetView>
  </sheetViews>
  <sheetFormatPr defaultColWidth="9" defaultRowHeight="15" x14ac:dyDescent="0.25"/>
  <cols>
    <col min="2" max="2" width="10.42578125" bestFit="1" customWidth="1"/>
  </cols>
  <sheetData>
    <row r="1" spans="1:2" x14ac:dyDescent="0.25">
      <c r="A1" t="s">
        <v>800</v>
      </c>
      <c r="B1" t="s">
        <v>801</v>
      </c>
    </row>
    <row r="2" spans="1:2" x14ac:dyDescent="0.25">
      <c r="A2" t="s">
        <v>802</v>
      </c>
      <c r="B2" s="1">
        <v>45674</v>
      </c>
    </row>
    <row r="3" spans="1:2" x14ac:dyDescent="0.25">
      <c r="A3" t="s">
        <v>803</v>
      </c>
      <c r="B3" s="1">
        <v>45709</v>
      </c>
    </row>
    <row r="4" spans="1:2" x14ac:dyDescent="0.25">
      <c r="A4" t="s">
        <v>804</v>
      </c>
      <c r="B4" s="1">
        <v>45737</v>
      </c>
    </row>
    <row r="5" spans="1:2" x14ac:dyDescent="0.25">
      <c r="A5" t="s">
        <v>805</v>
      </c>
      <c r="B5" s="1">
        <v>45764</v>
      </c>
    </row>
    <row r="6" spans="1:2" x14ac:dyDescent="0.25">
      <c r="A6" t="s">
        <v>806</v>
      </c>
      <c r="B6" s="1">
        <v>45793</v>
      </c>
    </row>
    <row r="7" spans="1:2" x14ac:dyDescent="0.25">
      <c r="A7" t="s">
        <v>807</v>
      </c>
      <c r="B7" s="1">
        <v>45828</v>
      </c>
    </row>
    <row r="8" spans="1:2" x14ac:dyDescent="0.25">
      <c r="A8" t="s">
        <v>808</v>
      </c>
      <c r="B8" s="1">
        <v>45856</v>
      </c>
    </row>
    <row r="9" spans="1:2" x14ac:dyDescent="0.25">
      <c r="A9" t="s">
        <v>809</v>
      </c>
      <c r="B9" s="1">
        <v>45884</v>
      </c>
    </row>
    <row r="10" spans="1:2" x14ac:dyDescent="0.25">
      <c r="A10" t="s">
        <v>810</v>
      </c>
      <c r="B10" s="1">
        <v>45919</v>
      </c>
    </row>
    <row r="11" spans="1:2" x14ac:dyDescent="0.25">
      <c r="A11" t="s">
        <v>811</v>
      </c>
      <c r="B11" s="1">
        <v>45947</v>
      </c>
    </row>
    <row r="12" spans="1:2" x14ac:dyDescent="0.25">
      <c r="A12" t="s">
        <v>812</v>
      </c>
      <c r="B12" s="1">
        <v>45982</v>
      </c>
    </row>
    <row r="13" spans="1:2" x14ac:dyDescent="0.25">
      <c r="A13" t="s">
        <v>813</v>
      </c>
      <c r="B13" s="1">
        <v>46010</v>
      </c>
    </row>
    <row r="14" spans="1:2" x14ac:dyDescent="0.25">
      <c r="A14" t="s">
        <v>802</v>
      </c>
      <c r="B14" s="1">
        <v>46038</v>
      </c>
    </row>
    <row r="15" spans="1:2" x14ac:dyDescent="0.25">
      <c r="A15" t="s">
        <v>803</v>
      </c>
      <c r="B15" s="1">
        <v>46073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99898-4AD3-46B4-B9F7-3B40DF7AA61C}">
  <dimension ref="A1:AG251"/>
  <sheetViews>
    <sheetView zoomScale="106" zoomScaleNormal="106" workbookViewId="0">
      <selection activeCell="C1" sqref="C1:C1048576"/>
    </sheetView>
  </sheetViews>
  <sheetFormatPr defaultColWidth="9" defaultRowHeight="15" x14ac:dyDescent="0.25"/>
  <cols>
    <col min="1" max="1" width="10.42578125" style="1" bestFit="1" customWidth="1"/>
    <col min="2" max="2" width="20.140625" bestFit="1" customWidth="1"/>
    <col min="3" max="3" width="10" bestFit="1" customWidth="1"/>
    <col min="4" max="5" width="10.42578125" style="1" bestFit="1" customWidth="1"/>
    <col min="6" max="6" width="9.85546875" bestFit="1" customWidth="1"/>
    <col min="7" max="7" width="21.5703125" bestFit="1" customWidth="1"/>
    <col min="8" max="8" width="21.140625" bestFit="1" customWidth="1"/>
    <col min="9" max="9" width="14.85546875" bestFit="1" customWidth="1"/>
    <col min="10" max="10" width="12" bestFit="1" customWidth="1"/>
    <col min="12" max="12" width="23.140625" bestFit="1" customWidth="1"/>
    <col min="16" max="16" width="15.5703125" bestFit="1" customWidth="1"/>
    <col min="19" max="19" width="23.140625" bestFit="1" customWidth="1"/>
    <col min="23" max="23" width="16" customWidth="1"/>
    <col min="27" max="27" width="17.28515625" bestFit="1" customWidth="1"/>
    <col min="29" max="29" width="10.85546875" bestFit="1" customWidth="1"/>
    <col min="30" max="30" width="9" style="8"/>
    <col min="33" max="33" width="13.28515625" bestFit="1" customWidth="1"/>
  </cols>
  <sheetData>
    <row r="1" spans="1:33" ht="15.75" x14ac:dyDescent="0.25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s="2" t="s">
        <v>814</v>
      </c>
      <c r="AA1" t="s">
        <v>826</v>
      </c>
      <c r="AB1" t="s">
        <v>827</v>
      </c>
      <c r="AC1" t="s">
        <v>828</v>
      </c>
      <c r="AD1" s="8" t="s">
        <v>829</v>
      </c>
      <c r="AE1" s="8" t="s">
        <v>830</v>
      </c>
      <c r="AF1" s="8" t="s">
        <v>832</v>
      </c>
      <c r="AG1" t="s">
        <v>831</v>
      </c>
    </row>
    <row r="2" spans="1:33" x14ac:dyDescent="0.25">
      <c r="A2" s="1">
        <v>45659</v>
      </c>
      <c r="B2">
        <v>5868.55</v>
      </c>
      <c r="C2">
        <v>5870</v>
      </c>
      <c r="D2" s="1">
        <v>45674</v>
      </c>
      <c r="E2" s="1">
        <v>45709</v>
      </c>
      <c r="F2">
        <v>30</v>
      </c>
      <c r="G2">
        <v>15</v>
      </c>
      <c r="H2">
        <v>50</v>
      </c>
      <c r="I2">
        <v>0.5714285714285714</v>
      </c>
      <c r="J2">
        <v>0.42857142857142855</v>
      </c>
      <c r="K2" t="s">
        <v>19</v>
      </c>
      <c r="L2" t="s">
        <v>411</v>
      </c>
      <c r="M2">
        <v>73.290000000000006</v>
      </c>
      <c r="N2">
        <v>74.900000000000006</v>
      </c>
      <c r="O2">
        <v>76.7</v>
      </c>
      <c r="P2">
        <v>75.800000000000011</v>
      </c>
      <c r="Q2" t="s">
        <v>21</v>
      </c>
      <c r="R2">
        <v>14.31</v>
      </c>
      <c r="S2" t="s">
        <v>412</v>
      </c>
      <c r="T2">
        <v>143.02000000000001</v>
      </c>
      <c r="U2">
        <v>140.19999999999999</v>
      </c>
      <c r="V2">
        <v>142.19999999999999</v>
      </c>
      <c r="W2">
        <v>141.19999999999999</v>
      </c>
      <c r="X2" t="s">
        <v>21</v>
      </c>
      <c r="Y2">
        <v>14.372999999999999</v>
      </c>
      <c r="Z2">
        <f>I2*R2+Y2*J2</f>
        <v>14.336999999999998</v>
      </c>
      <c r="AA2">
        <v>0.144062143</v>
      </c>
      <c r="AB2">
        <v>4.2911999999999999</v>
      </c>
      <c r="AC2">
        <f>AB2/100</f>
        <v>4.2911999999999999E-2</v>
      </c>
      <c r="AD2" s="8">
        <f>30/365</f>
        <v>8.2191780821917804E-2</v>
      </c>
      <c r="AE2">
        <f>_xlfn.NORM.S.DIST((LN(B2/C2)+(AC2+0.5*(AA2)^2)*(30/365))/(AA2*SQRT(30/365)),TRUE)</f>
        <v>0.53985408725029349</v>
      </c>
      <c r="AF2">
        <f>AE2-1</f>
        <v>-0.46014591274970651</v>
      </c>
      <c r="AG2">
        <f>AE2+AF2</f>
        <v>7.9708174500586981E-2</v>
      </c>
    </row>
    <row r="3" spans="1:33" x14ac:dyDescent="0.25">
      <c r="A3" s="1">
        <v>45660</v>
      </c>
      <c r="B3">
        <v>5942.47</v>
      </c>
      <c r="C3">
        <v>5940</v>
      </c>
      <c r="D3" s="1">
        <v>45674</v>
      </c>
      <c r="E3" s="1">
        <v>45709</v>
      </c>
      <c r="F3">
        <v>30</v>
      </c>
      <c r="G3">
        <v>14</v>
      </c>
      <c r="H3">
        <v>49</v>
      </c>
      <c r="I3">
        <v>0.54285714285714282</v>
      </c>
      <c r="J3">
        <v>0.45714285714285713</v>
      </c>
      <c r="K3" t="s">
        <v>19</v>
      </c>
      <c r="L3" t="s">
        <v>413</v>
      </c>
      <c r="M3">
        <v>58.55</v>
      </c>
      <c r="N3">
        <v>60.7</v>
      </c>
      <c r="O3">
        <v>62.4</v>
      </c>
      <c r="P3">
        <v>61.55</v>
      </c>
      <c r="Q3" t="s">
        <v>21</v>
      </c>
      <c r="R3">
        <v>12.103</v>
      </c>
      <c r="S3" t="s">
        <v>414</v>
      </c>
      <c r="T3">
        <v>130.72999999999999</v>
      </c>
      <c r="U3">
        <v>127.9</v>
      </c>
      <c r="V3">
        <v>129.69999999999999</v>
      </c>
      <c r="W3">
        <v>128.80000000000001</v>
      </c>
      <c r="X3" t="s">
        <v>21</v>
      </c>
      <c r="Y3">
        <v>13.127000000000001</v>
      </c>
      <c r="Z3">
        <f t="shared" ref="Z3:Z66" si="0">I3*R3+Y3*J3</f>
        <v>12.571114285714284</v>
      </c>
      <c r="AA3">
        <v>0.127562429</v>
      </c>
      <c r="AB3">
        <v>4.2625999999999999</v>
      </c>
      <c r="AC3">
        <f t="shared" ref="AC3:AC66" si="1">AB3/100</f>
        <v>4.2625999999999997E-2</v>
      </c>
      <c r="AD3" s="8">
        <f t="shared" ref="AD3:AD66" si="2">30/365</f>
        <v>8.2191780821917804E-2</v>
      </c>
      <c r="AE3">
        <f t="shared" ref="AE3:AE66" si="3">_xlfn.NORM.S.DIST((LN(B3/C3)+(AC3+0.5*(AA3)^2)*(30/365))/(AA3*SQRT(30/365)),TRUE)</f>
        <v>0.54991776850546825</v>
      </c>
      <c r="AF3">
        <f t="shared" ref="AF3:AF66" si="4">AE3-1</f>
        <v>-0.45008223149453175</v>
      </c>
      <c r="AG3">
        <f t="shared" ref="AG3:AG66" si="5">AE3+AF3</f>
        <v>9.9835537010936504E-2</v>
      </c>
    </row>
    <row r="4" spans="1:33" x14ac:dyDescent="0.25">
      <c r="A4" s="1">
        <v>45663</v>
      </c>
      <c r="B4">
        <v>5975.38</v>
      </c>
      <c r="C4">
        <v>5975</v>
      </c>
      <c r="D4" s="1">
        <v>45674</v>
      </c>
      <c r="E4" s="1">
        <v>45709</v>
      </c>
      <c r="F4">
        <v>30</v>
      </c>
      <c r="G4">
        <v>11</v>
      </c>
      <c r="H4">
        <v>46</v>
      </c>
      <c r="I4">
        <v>0.45714285714285713</v>
      </c>
      <c r="J4">
        <v>0.54285714285714282</v>
      </c>
      <c r="K4" t="s">
        <v>19</v>
      </c>
      <c r="L4" t="s">
        <v>415</v>
      </c>
      <c r="M4">
        <v>58.3</v>
      </c>
      <c r="N4">
        <v>59.6</v>
      </c>
      <c r="O4">
        <v>60.9</v>
      </c>
      <c r="P4">
        <v>60.25</v>
      </c>
      <c r="Q4" t="s">
        <v>21</v>
      </c>
      <c r="R4">
        <v>12.246</v>
      </c>
      <c r="S4" t="s">
        <v>416</v>
      </c>
      <c r="T4">
        <v>126.1</v>
      </c>
      <c r="U4">
        <v>127.2</v>
      </c>
      <c r="V4">
        <v>128.69999999999999</v>
      </c>
      <c r="W4">
        <v>127.94999999999999</v>
      </c>
      <c r="X4" t="s">
        <v>21</v>
      </c>
      <c r="Y4">
        <v>12.896000000000001</v>
      </c>
      <c r="Z4">
        <f t="shared" si="0"/>
        <v>12.598857142857142</v>
      </c>
      <c r="AA4">
        <v>0.128181714</v>
      </c>
      <c r="AB4">
        <v>4.3106</v>
      </c>
      <c r="AC4">
        <f t="shared" si="1"/>
        <v>4.3105999999999998E-2</v>
      </c>
      <c r="AD4" s="8">
        <f t="shared" si="2"/>
        <v>8.2191780821917804E-2</v>
      </c>
      <c r="AE4">
        <f t="shared" si="3"/>
        <v>0.54637807502478464</v>
      </c>
      <c r="AF4">
        <f t="shared" si="4"/>
        <v>-0.45362192497521536</v>
      </c>
      <c r="AG4">
        <f t="shared" si="5"/>
        <v>9.2756150049569275E-2</v>
      </c>
    </row>
    <row r="5" spans="1:33" x14ac:dyDescent="0.25">
      <c r="A5" s="1">
        <v>45664</v>
      </c>
      <c r="B5">
        <v>5909.03</v>
      </c>
      <c r="C5">
        <v>5910</v>
      </c>
      <c r="D5" s="1">
        <v>45674</v>
      </c>
      <c r="E5" s="1">
        <v>45709</v>
      </c>
      <c r="F5">
        <v>30</v>
      </c>
      <c r="G5">
        <v>10</v>
      </c>
      <c r="H5">
        <v>45</v>
      </c>
      <c r="I5">
        <v>0.42857142857142855</v>
      </c>
      <c r="J5">
        <v>0.5714285714285714</v>
      </c>
      <c r="K5" t="s">
        <v>19</v>
      </c>
      <c r="L5" t="s">
        <v>417</v>
      </c>
      <c r="M5">
        <v>61.5</v>
      </c>
      <c r="N5">
        <v>59.3</v>
      </c>
      <c r="O5">
        <v>60.6</v>
      </c>
      <c r="P5">
        <v>59.95</v>
      </c>
      <c r="Q5" t="s">
        <v>21</v>
      </c>
      <c r="R5">
        <v>14.436</v>
      </c>
      <c r="S5" t="s">
        <v>418</v>
      </c>
      <c r="T5">
        <v>141.66999999999999</v>
      </c>
      <c r="U5">
        <v>130.6</v>
      </c>
      <c r="V5">
        <v>132.19999999999999</v>
      </c>
      <c r="W5">
        <v>131.39999999999998</v>
      </c>
      <c r="X5" t="s">
        <v>21</v>
      </c>
      <c r="Y5">
        <v>14.319000000000001</v>
      </c>
      <c r="Z5">
        <f t="shared" si="0"/>
        <v>14.369142857142856</v>
      </c>
      <c r="AA5">
        <v>0.145198571</v>
      </c>
      <c r="AB5">
        <v>4.3023999999999996</v>
      </c>
      <c r="AC5">
        <f t="shared" si="1"/>
        <v>4.3023999999999993E-2</v>
      </c>
      <c r="AD5" s="8">
        <f t="shared" si="2"/>
        <v>8.2191780821917804E-2</v>
      </c>
      <c r="AE5">
        <f t="shared" si="3"/>
        <v>0.54055033269140773</v>
      </c>
      <c r="AF5">
        <f t="shared" si="4"/>
        <v>-0.45944966730859227</v>
      </c>
      <c r="AG5">
        <f t="shared" si="5"/>
        <v>8.1100665382815462E-2</v>
      </c>
    </row>
    <row r="6" spans="1:33" x14ac:dyDescent="0.25">
      <c r="A6" s="1">
        <v>45665</v>
      </c>
      <c r="B6">
        <v>5918.25</v>
      </c>
      <c r="C6">
        <v>5920</v>
      </c>
      <c r="D6" s="1">
        <v>45674</v>
      </c>
      <c r="E6" s="1">
        <v>45709</v>
      </c>
      <c r="F6">
        <v>30</v>
      </c>
      <c r="G6">
        <v>9</v>
      </c>
      <c r="H6">
        <v>44</v>
      </c>
      <c r="I6">
        <v>0.4</v>
      </c>
      <c r="J6">
        <v>0.6</v>
      </c>
      <c r="K6" t="s">
        <v>19</v>
      </c>
      <c r="L6" t="s">
        <v>419</v>
      </c>
      <c r="M6">
        <v>52.5</v>
      </c>
      <c r="N6">
        <v>51.1</v>
      </c>
      <c r="O6">
        <v>53.1</v>
      </c>
      <c r="P6">
        <v>52.1</v>
      </c>
      <c r="Q6" t="s">
        <v>21</v>
      </c>
      <c r="R6">
        <v>14.503</v>
      </c>
      <c r="S6" t="s">
        <v>420</v>
      </c>
      <c r="T6">
        <v>121.43</v>
      </c>
      <c r="U6">
        <v>122.9</v>
      </c>
      <c r="V6">
        <v>125.9</v>
      </c>
      <c r="W6">
        <v>124.4</v>
      </c>
      <c r="X6" t="s">
        <v>21</v>
      </c>
      <c r="Y6">
        <v>14.170999999999999</v>
      </c>
      <c r="Z6">
        <f t="shared" si="0"/>
        <v>14.303799999999999</v>
      </c>
      <c r="AA6">
        <v>0.14439099999999999</v>
      </c>
      <c r="AB6">
        <v>4.2942</v>
      </c>
      <c r="AC6">
        <f t="shared" si="1"/>
        <v>4.2942000000000001E-2</v>
      </c>
      <c r="AD6" s="8">
        <f t="shared" si="2"/>
        <v>8.2191780821917804E-2</v>
      </c>
      <c r="AE6">
        <f t="shared" si="3"/>
        <v>0.5393585574566595</v>
      </c>
      <c r="AF6">
        <f t="shared" si="4"/>
        <v>-0.4606414425433405</v>
      </c>
      <c r="AG6">
        <f t="shared" si="5"/>
        <v>7.8717114913319008E-2</v>
      </c>
    </row>
    <row r="7" spans="1:33" x14ac:dyDescent="0.25">
      <c r="A7" s="1">
        <v>45667</v>
      </c>
      <c r="B7">
        <v>5827.04</v>
      </c>
      <c r="C7">
        <v>5825</v>
      </c>
      <c r="D7" s="1">
        <v>45674</v>
      </c>
      <c r="E7" s="1">
        <v>45709</v>
      </c>
      <c r="F7">
        <v>30</v>
      </c>
      <c r="G7">
        <v>7</v>
      </c>
      <c r="H7">
        <v>42</v>
      </c>
      <c r="I7">
        <v>0.34285714285714286</v>
      </c>
      <c r="J7">
        <v>0.65714285714285714</v>
      </c>
      <c r="K7" t="s">
        <v>19</v>
      </c>
      <c r="L7" t="s">
        <v>421</v>
      </c>
      <c r="M7">
        <v>51.7</v>
      </c>
      <c r="N7">
        <v>52.2</v>
      </c>
      <c r="O7">
        <v>53</v>
      </c>
      <c r="P7">
        <v>52.6</v>
      </c>
      <c r="Q7" t="s">
        <v>21</v>
      </c>
      <c r="R7">
        <v>16.297999999999998</v>
      </c>
      <c r="S7" t="s">
        <v>422</v>
      </c>
      <c r="T7">
        <v>135.5</v>
      </c>
      <c r="U7">
        <v>131.30000000000001</v>
      </c>
      <c r="V7">
        <v>132.69999999999999</v>
      </c>
      <c r="W7">
        <v>132</v>
      </c>
      <c r="X7" t="s">
        <v>21</v>
      </c>
      <c r="Y7">
        <v>15.64</v>
      </c>
      <c r="Z7">
        <f t="shared" si="0"/>
        <v>15.865600000000001</v>
      </c>
      <c r="AA7">
        <v>0.15886814299999999</v>
      </c>
      <c r="AB7">
        <v>4.2830000000000004</v>
      </c>
      <c r="AC7">
        <f t="shared" si="1"/>
        <v>4.2830000000000007E-2</v>
      </c>
      <c r="AD7" s="8">
        <f t="shared" si="2"/>
        <v>8.2191780821917804E-2</v>
      </c>
      <c r="AE7">
        <f t="shared" si="3"/>
        <v>0.54290351747804388</v>
      </c>
      <c r="AF7">
        <f t="shared" si="4"/>
        <v>-0.45709648252195612</v>
      </c>
      <c r="AG7">
        <f t="shared" si="5"/>
        <v>8.5807034956087769E-2</v>
      </c>
    </row>
    <row r="8" spans="1:33" x14ac:dyDescent="0.25">
      <c r="A8" s="1">
        <v>45670</v>
      </c>
      <c r="B8">
        <v>5836.22</v>
      </c>
      <c r="C8">
        <v>5835</v>
      </c>
      <c r="D8" s="1">
        <v>45674</v>
      </c>
      <c r="E8" s="1">
        <v>45709</v>
      </c>
      <c r="F8">
        <v>30</v>
      </c>
      <c r="G8">
        <v>4</v>
      </c>
      <c r="H8">
        <v>39</v>
      </c>
      <c r="I8">
        <v>0.25714285714285712</v>
      </c>
      <c r="J8">
        <v>0.74285714285714288</v>
      </c>
      <c r="K8" t="s">
        <v>19</v>
      </c>
      <c r="L8" t="s">
        <v>423</v>
      </c>
      <c r="M8">
        <v>49.2</v>
      </c>
      <c r="N8">
        <v>52.5</v>
      </c>
      <c r="O8">
        <v>53.3</v>
      </c>
      <c r="P8">
        <v>52.9</v>
      </c>
      <c r="Q8" t="s">
        <v>21</v>
      </c>
      <c r="R8">
        <v>16.766999999999999</v>
      </c>
      <c r="S8" t="s">
        <v>424</v>
      </c>
      <c r="T8" t="s">
        <v>21</v>
      </c>
      <c r="U8">
        <v>131.5</v>
      </c>
      <c r="V8">
        <v>133.1</v>
      </c>
      <c r="W8">
        <v>132.30000000000001</v>
      </c>
      <c r="X8" t="s">
        <v>21</v>
      </c>
      <c r="Y8">
        <v>15.195</v>
      </c>
      <c r="Z8">
        <f t="shared" si="0"/>
        <v>15.599228571428572</v>
      </c>
      <c r="AA8">
        <v>0.15632428600000001</v>
      </c>
      <c r="AB8">
        <v>4.3055000000000003</v>
      </c>
      <c r="AC8">
        <f t="shared" si="1"/>
        <v>4.3055000000000003E-2</v>
      </c>
      <c r="AD8" s="8">
        <f t="shared" si="2"/>
        <v>8.2191780821917804E-2</v>
      </c>
      <c r="AE8">
        <f t="shared" si="3"/>
        <v>0.54222229271771227</v>
      </c>
      <c r="AF8">
        <f t="shared" si="4"/>
        <v>-0.45777770728228773</v>
      </c>
      <c r="AG8">
        <f t="shared" si="5"/>
        <v>8.4444585435424546E-2</v>
      </c>
    </row>
    <row r="9" spans="1:33" x14ac:dyDescent="0.25">
      <c r="A9" s="1">
        <v>45671</v>
      </c>
      <c r="B9">
        <v>5842.91</v>
      </c>
      <c r="C9">
        <v>5845</v>
      </c>
      <c r="D9" s="1">
        <v>45674</v>
      </c>
      <c r="E9" s="1">
        <v>45709</v>
      </c>
      <c r="F9">
        <v>30</v>
      </c>
      <c r="G9">
        <v>3</v>
      </c>
      <c r="H9">
        <v>38</v>
      </c>
      <c r="I9">
        <v>0.22857142857142856</v>
      </c>
      <c r="J9">
        <v>0.77142857142857146</v>
      </c>
      <c r="K9" t="s">
        <v>19</v>
      </c>
      <c r="L9" t="s">
        <v>425</v>
      </c>
      <c r="M9">
        <v>49.18</v>
      </c>
      <c r="N9">
        <v>47.9</v>
      </c>
      <c r="O9">
        <v>49</v>
      </c>
      <c r="P9">
        <v>48.45</v>
      </c>
      <c r="Q9" t="s">
        <v>21</v>
      </c>
      <c r="R9">
        <v>17.260000000000002</v>
      </c>
      <c r="S9" t="s">
        <v>426</v>
      </c>
      <c r="T9">
        <v>110.7</v>
      </c>
      <c r="U9">
        <v>127.7</v>
      </c>
      <c r="V9">
        <v>129.9</v>
      </c>
      <c r="W9">
        <v>128.80000000000001</v>
      </c>
      <c r="X9" t="s">
        <v>21</v>
      </c>
      <c r="Y9">
        <v>15.042</v>
      </c>
      <c r="Z9">
        <f t="shared" si="0"/>
        <v>15.548971428571429</v>
      </c>
      <c r="AA9">
        <v>0.158039714</v>
      </c>
      <c r="AB9">
        <v>4.2998000000000003</v>
      </c>
      <c r="AC9">
        <f t="shared" si="1"/>
        <v>4.2998000000000001E-2</v>
      </c>
      <c r="AD9" s="8">
        <f t="shared" si="2"/>
        <v>8.2191780821917804E-2</v>
      </c>
      <c r="AE9">
        <f t="shared" si="3"/>
        <v>0.53695339041302292</v>
      </c>
      <c r="AF9">
        <f t="shared" si="4"/>
        <v>-0.46304660958697708</v>
      </c>
      <c r="AG9">
        <f t="shared" si="5"/>
        <v>7.3906780826045848E-2</v>
      </c>
    </row>
    <row r="10" spans="1:33" x14ac:dyDescent="0.25">
      <c r="A10" s="1">
        <v>45672</v>
      </c>
      <c r="B10">
        <v>5949.91</v>
      </c>
      <c r="C10">
        <v>5950</v>
      </c>
      <c r="D10" s="1">
        <v>45674</v>
      </c>
      <c r="E10" s="1">
        <v>45709</v>
      </c>
      <c r="F10">
        <v>30</v>
      </c>
      <c r="G10">
        <v>2</v>
      </c>
      <c r="H10">
        <v>37</v>
      </c>
      <c r="I10">
        <v>0.2</v>
      </c>
      <c r="J10">
        <v>0.8</v>
      </c>
      <c r="K10" t="s">
        <v>19</v>
      </c>
      <c r="L10" t="s">
        <v>427</v>
      </c>
      <c r="M10">
        <v>23.52</v>
      </c>
      <c r="N10">
        <v>22.7</v>
      </c>
      <c r="O10">
        <v>23.6</v>
      </c>
      <c r="P10">
        <v>23.15</v>
      </c>
      <c r="Q10" t="s">
        <v>21</v>
      </c>
      <c r="R10">
        <v>11.536</v>
      </c>
      <c r="S10" t="s">
        <v>428</v>
      </c>
      <c r="T10">
        <v>107</v>
      </c>
      <c r="U10">
        <v>106.8</v>
      </c>
      <c r="V10">
        <v>108.4</v>
      </c>
      <c r="W10">
        <v>107.6</v>
      </c>
      <c r="X10" t="s">
        <v>21</v>
      </c>
      <c r="Y10">
        <v>12.836</v>
      </c>
      <c r="Z10">
        <f t="shared" si="0"/>
        <v>12.576000000000001</v>
      </c>
      <c r="AA10">
        <v>0.12720799999999999</v>
      </c>
      <c r="AB10">
        <v>4.2916999999999996</v>
      </c>
      <c r="AC10">
        <f t="shared" si="1"/>
        <v>4.2916999999999997E-2</v>
      </c>
      <c r="AD10" s="8">
        <f t="shared" si="2"/>
        <v>8.2191780821917804E-2</v>
      </c>
      <c r="AE10">
        <f t="shared" si="3"/>
        <v>0.54559623842051708</v>
      </c>
      <c r="AF10">
        <f t="shared" si="4"/>
        <v>-0.45440376157948292</v>
      </c>
      <c r="AG10">
        <f t="shared" si="5"/>
        <v>9.1192476841034154E-2</v>
      </c>
    </row>
    <row r="11" spans="1:33" x14ac:dyDescent="0.25">
      <c r="A11" s="1">
        <v>45673</v>
      </c>
      <c r="B11">
        <v>5937.34</v>
      </c>
      <c r="C11">
        <v>5935</v>
      </c>
      <c r="D11" s="1">
        <v>45674</v>
      </c>
      <c r="E11" s="1">
        <v>45709</v>
      </c>
      <c r="F11">
        <v>30</v>
      </c>
      <c r="G11">
        <v>1</v>
      </c>
      <c r="H11">
        <v>36</v>
      </c>
      <c r="I11">
        <v>0.17142857142857143</v>
      </c>
      <c r="J11">
        <v>0.82857142857142863</v>
      </c>
      <c r="K11" t="s">
        <v>19</v>
      </c>
      <c r="L11" t="s">
        <v>429</v>
      </c>
      <c r="M11">
        <v>11.37</v>
      </c>
      <c r="N11">
        <v>11.4</v>
      </c>
      <c r="O11">
        <v>12.6</v>
      </c>
      <c r="P11">
        <v>12</v>
      </c>
      <c r="Q11" t="s">
        <v>21</v>
      </c>
      <c r="R11">
        <v>10.444000000000001</v>
      </c>
      <c r="S11" t="s">
        <v>430</v>
      </c>
      <c r="T11">
        <v>113.8</v>
      </c>
      <c r="U11">
        <v>104</v>
      </c>
      <c r="V11">
        <v>106.1</v>
      </c>
      <c r="W11">
        <v>105.05</v>
      </c>
      <c r="X11" t="s">
        <v>21</v>
      </c>
      <c r="Y11">
        <v>13.009</v>
      </c>
      <c r="Z11">
        <f t="shared" si="0"/>
        <v>12.569285714285716</v>
      </c>
      <c r="AA11">
        <v>0.12544928599999999</v>
      </c>
      <c r="AB11">
        <v>4.2962999999999996</v>
      </c>
      <c r="AC11">
        <f t="shared" si="1"/>
        <v>4.2962999999999994E-2</v>
      </c>
      <c r="AD11" s="8">
        <f t="shared" si="2"/>
        <v>8.2191780821917804E-2</v>
      </c>
      <c r="AE11">
        <f t="shared" si="3"/>
        <v>0.55058005416732569</v>
      </c>
      <c r="AF11">
        <f t="shared" si="4"/>
        <v>-0.44941994583267431</v>
      </c>
      <c r="AG11">
        <f t="shared" si="5"/>
        <v>0.10116010833465139</v>
      </c>
    </row>
    <row r="12" spans="1:33" x14ac:dyDescent="0.25">
      <c r="A12" s="1">
        <v>45674</v>
      </c>
      <c r="B12">
        <v>5996.66</v>
      </c>
      <c r="C12">
        <v>5995</v>
      </c>
      <c r="D12" s="1">
        <v>45709</v>
      </c>
      <c r="E12" s="1">
        <v>45737</v>
      </c>
      <c r="F12">
        <v>30</v>
      </c>
      <c r="G12">
        <v>35</v>
      </c>
      <c r="H12">
        <v>63</v>
      </c>
      <c r="I12">
        <v>1</v>
      </c>
      <c r="J12">
        <v>0</v>
      </c>
      <c r="K12" t="s">
        <v>19</v>
      </c>
      <c r="L12" t="s">
        <v>431</v>
      </c>
      <c r="M12">
        <v>103.5</v>
      </c>
      <c r="N12">
        <v>103.4</v>
      </c>
      <c r="O12">
        <v>105.1</v>
      </c>
      <c r="P12">
        <v>104.25</v>
      </c>
      <c r="Q12" t="s">
        <v>21</v>
      </c>
      <c r="R12">
        <v>12.862</v>
      </c>
      <c r="S12" t="s">
        <v>432</v>
      </c>
      <c r="T12" t="s">
        <v>21</v>
      </c>
      <c r="U12">
        <v>148.80000000000001</v>
      </c>
      <c r="V12">
        <v>151.1</v>
      </c>
      <c r="W12">
        <v>149.94999999999999</v>
      </c>
      <c r="X12" t="s">
        <v>21</v>
      </c>
      <c r="Y12">
        <v>13.145</v>
      </c>
      <c r="Z12">
        <f t="shared" si="0"/>
        <v>12.862</v>
      </c>
      <c r="AA12">
        <v>0.12961500000000001</v>
      </c>
      <c r="AB12">
        <v>4.3003999999999998</v>
      </c>
      <c r="AC12">
        <f t="shared" si="1"/>
        <v>4.3004000000000001E-2</v>
      </c>
      <c r="AD12" s="8">
        <f t="shared" si="2"/>
        <v>8.2191780821917804E-2</v>
      </c>
      <c r="AE12">
        <f t="shared" si="3"/>
        <v>0.54821365349588969</v>
      </c>
      <c r="AF12">
        <f t="shared" si="4"/>
        <v>-0.45178634650411031</v>
      </c>
      <c r="AG12">
        <f t="shared" si="5"/>
        <v>9.6427306991779371E-2</v>
      </c>
    </row>
    <row r="13" spans="1:33" x14ac:dyDescent="0.25">
      <c r="A13" s="1">
        <v>45678</v>
      </c>
      <c r="B13">
        <v>6049.24</v>
      </c>
      <c r="C13">
        <v>6050</v>
      </c>
      <c r="D13" s="1">
        <v>45709</v>
      </c>
      <c r="E13" s="1">
        <v>45737</v>
      </c>
      <c r="F13">
        <v>30</v>
      </c>
      <c r="G13">
        <v>31</v>
      </c>
      <c r="H13">
        <v>59</v>
      </c>
      <c r="I13">
        <v>1</v>
      </c>
      <c r="J13">
        <v>0</v>
      </c>
      <c r="K13" t="s">
        <v>19</v>
      </c>
      <c r="L13" t="s">
        <v>433</v>
      </c>
      <c r="M13">
        <v>92.42</v>
      </c>
      <c r="N13">
        <v>94.6</v>
      </c>
      <c r="O13">
        <v>97.6</v>
      </c>
      <c r="P13">
        <v>96.1</v>
      </c>
      <c r="Q13" t="s">
        <v>21</v>
      </c>
      <c r="R13">
        <v>11.612</v>
      </c>
      <c r="S13" t="s">
        <v>434</v>
      </c>
      <c r="T13">
        <v>136.1</v>
      </c>
      <c r="U13">
        <v>141</v>
      </c>
      <c r="V13">
        <v>143.69999999999999</v>
      </c>
      <c r="W13">
        <v>142.35</v>
      </c>
      <c r="X13" t="s">
        <v>21</v>
      </c>
      <c r="Y13">
        <v>12.125</v>
      </c>
      <c r="Z13">
        <f t="shared" si="0"/>
        <v>11.612</v>
      </c>
      <c r="AA13">
        <v>0.11738</v>
      </c>
      <c r="AB13">
        <v>4.2998000000000003</v>
      </c>
      <c r="AC13">
        <f t="shared" si="1"/>
        <v>4.2998000000000001E-2</v>
      </c>
      <c r="AD13" s="8">
        <f t="shared" si="2"/>
        <v>8.2191780821917804E-2</v>
      </c>
      <c r="AE13">
        <f t="shared" si="3"/>
        <v>0.54701048201613101</v>
      </c>
      <c r="AF13">
        <f t="shared" si="4"/>
        <v>-0.45298951798386899</v>
      </c>
      <c r="AG13">
        <f t="shared" si="5"/>
        <v>9.4020964032262011E-2</v>
      </c>
    </row>
    <row r="14" spans="1:33" x14ac:dyDescent="0.25">
      <c r="A14" s="1">
        <v>45679</v>
      </c>
      <c r="B14">
        <v>6086.37</v>
      </c>
      <c r="C14">
        <v>6085</v>
      </c>
      <c r="D14" s="1">
        <v>45709</v>
      </c>
      <c r="E14" s="1">
        <v>45737</v>
      </c>
      <c r="F14">
        <v>30</v>
      </c>
      <c r="G14">
        <v>30</v>
      </c>
      <c r="H14">
        <v>58</v>
      </c>
      <c r="I14">
        <v>1</v>
      </c>
      <c r="J14">
        <v>0</v>
      </c>
      <c r="K14" t="s">
        <v>19</v>
      </c>
      <c r="L14" t="s">
        <v>435</v>
      </c>
      <c r="M14">
        <v>91.24</v>
      </c>
      <c r="N14">
        <v>89</v>
      </c>
      <c r="O14">
        <v>90.4</v>
      </c>
      <c r="P14">
        <v>89.7</v>
      </c>
      <c r="Q14" t="s">
        <v>21</v>
      </c>
      <c r="R14">
        <v>11.413</v>
      </c>
      <c r="S14" t="s">
        <v>436</v>
      </c>
      <c r="T14">
        <v>144.63999999999999</v>
      </c>
      <c r="U14">
        <v>137.1</v>
      </c>
      <c r="V14">
        <v>138.30000000000001</v>
      </c>
      <c r="W14">
        <v>137.69999999999999</v>
      </c>
      <c r="X14" t="s">
        <v>21</v>
      </c>
      <c r="Y14">
        <v>12.1</v>
      </c>
      <c r="Z14">
        <f t="shared" si="0"/>
        <v>11.413</v>
      </c>
      <c r="AA14">
        <v>0.11523</v>
      </c>
      <c r="AB14">
        <v>4.3094999999999999</v>
      </c>
      <c r="AC14">
        <f t="shared" si="1"/>
        <v>4.3095000000000001E-2</v>
      </c>
      <c r="AD14" s="8">
        <f t="shared" si="2"/>
        <v>8.2191780821917804E-2</v>
      </c>
      <c r="AE14">
        <f t="shared" si="3"/>
        <v>0.55193517963124084</v>
      </c>
      <c r="AF14">
        <f t="shared" si="4"/>
        <v>-0.44806482036875916</v>
      </c>
      <c r="AG14">
        <f t="shared" si="5"/>
        <v>0.10387035926248167</v>
      </c>
    </row>
    <row r="15" spans="1:33" x14ac:dyDescent="0.25">
      <c r="A15" s="1">
        <v>45680</v>
      </c>
      <c r="B15">
        <v>6118.71</v>
      </c>
      <c r="C15">
        <v>6120</v>
      </c>
      <c r="D15" s="1">
        <v>45709</v>
      </c>
      <c r="E15" s="1">
        <v>45737</v>
      </c>
      <c r="F15">
        <v>30</v>
      </c>
      <c r="G15">
        <v>29</v>
      </c>
      <c r="H15">
        <v>57</v>
      </c>
      <c r="I15">
        <v>0.9642857142857143</v>
      </c>
      <c r="J15">
        <v>3.5714285714285712E-2</v>
      </c>
      <c r="K15" t="s">
        <v>19</v>
      </c>
      <c r="L15" t="s">
        <v>437</v>
      </c>
      <c r="M15">
        <v>83.15</v>
      </c>
      <c r="N15">
        <v>82.5</v>
      </c>
      <c r="O15">
        <v>84.3</v>
      </c>
      <c r="P15">
        <v>83.4</v>
      </c>
      <c r="Q15" t="s">
        <v>21</v>
      </c>
      <c r="R15">
        <v>11.282999999999999</v>
      </c>
      <c r="S15" t="s">
        <v>438</v>
      </c>
      <c r="T15">
        <v>133.19999999999999</v>
      </c>
      <c r="U15">
        <v>124.9</v>
      </c>
      <c r="V15">
        <v>138.4</v>
      </c>
      <c r="W15">
        <v>131.65</v>
      </c>
      <c r="X15" t="s">
        <v>21</v>
      </c>
      <c r="Y15">
        <v>11.988</v>
      </c>
      <c r="Z15">
        <f t="shared" si="0"/>
        <v>11.308178571428572</v>
      </c>
      <c r="AA15">
        <v>0.114350893</v>
      </c>
      <c r="AB15">
        <v>4.3090000000000002</v>
      </c>
      <c r="AC15">
        <f t="shared" si="1"/>
        <v>4.3090000000000003E-2</v>
      </c>
      <c r="AD15" s="8">
        <f t="shared" si="2"/>
        <v>8.2191780821917804E-2</v>
      </c>
      <c r="AE15">
        <f t="shared" si="3"/>
        <v>0.54696343131304881</v>
      </c>
      <c r="AF15">
        <f t="shared" si="4"/>
        <v>-0.45303656868695119</v>
      </c>
      <c r="AG15">
        <f t="shared" si="5"/>
        <v>9.3926862626097618E-2</v>
      </c>
    </row>
    <row r="16" spans="1:33" x14ac:dyDescent="0.25">
      <c r="A16" s="1">
        <v>45681</v>
      </c>
      <c r="B16">
        <v>6101.24</v>
      </c>
      <c r="C16">
        <v>6100</v>
      </c>
      <c r="D16" s="1">
        <v>45709</v>
      </c>
      <c r="E16" s="1">
        <v>45737</v>
      </c>
      <c r="F16">
        <v>30</v>
      </c>
      <c r="G16">
        <v>28</v>
      </c>
      <c r="H16">
        <v>56</v>
      </c>
      <c r="I16">
        <v>0.9285714285714286</v>
      </c>
      <c r="J16">
        <v>7.1428571428571425E-2</v>
      </c>
      <c r="K16" t="s">
        <v>19</v>
      </c>
      <c r="L16" t="s">
        <v>439</v>
      </c>
      <c r="M16">
        <v>82.39</v>
      </c>
      <c r="N16">
        <v>82.9</v>
      </c>
      <c r="O16">
        <v>84</v>
      </c>
      <c r="P16">
        <v>83.45</v>
      </c>
      <c r="Q16" t="s">
        <v>21</v>
      </c>
      <c r="R16">
        <v>11.35</v>
      </c>
      <c r="S16" t="s">
        <v>440</v>
      </c>
      <c r="T16">
        <v>132.4</v>
      </c>
      <c r="U16">
        <v>131.69999999999999</v>
      </c>
      <c r="V16">
        <v>133</v>
      </c>
      <c r="W16">
        <v>132.35</v>
      </c>
      <c r="X16" t="s">
        <v>21</v>
      </c>
      <c r="Y16">
        <v>11.987</v>
      </c>
      <c r="Z16">
        <f t="shared" si="0"/>
        <v>11.3955</v>
      </c>
      <c r="AA16">
        <v>0.11493</v>
      </c>
      <c r="AB16">
        <v>4.3186999999999998</v>
      </c>
      <c r="AC16">
        <f t="shared" si="1"/>
        <v>4.3186999999999996E-2</v>
      </c>
      <c r="AD16" s="8">
        <f t="shared" si="2"/>
        <v>8.2191780821917804E-2</v>
      </c>
      <c r="AE16">
        <f t="shared" si="3"/>
        <v>0.55186425417917251</v>
      </c>
      <c r="AF16">
        <f t="shared" si="4"/>
        <v>-0.44813574582082749</v>
      </c>
      <c r="AG16">
        <f t="shared" si="5"/>
        <v>0.10372850835834502</v>
      </c>
    </row>
    <row r="17" spans="1:33" x14ac:dyDescent="0.25">
      <c r="A17" s="1">
        <v>45684</v>
      </c>
      <c r="B17">
        <v>6012.28</v>
      </c>
      <c r="C17">
        <v>6010</v>
      </c>
      <c r="D17" s="1">
        <v>45709</v>
      </c>
      <c r="E17" s="1">
        <v>45737</v>
      </c>
      <c r="F17">
        <v>30</v>
      </c>
      <c r="G17">
        <v>25</v>
      </c>
      <c r="H17">
        <v>53</v>
      </c>
      <c r="I17">
        <v>0.8214285714285714</v>
      </c>
      <c r="J17">
        <v>0.17857142857142858</v>
      </c>
      <c r="K17" t="s">
        <v>19</v>
      </c>
      <c r="L17" t="s">
        <v>441</v>
      </c>
      <c r="M17">
        <v>100.29</v>
      </c>
      <c r="N17">
        <v>99.7</v>
      </c>
      <c r="O17">
        <v>101.6</v>
      </c>
      <c r="P17">
        <v>100.65</v>
      </c>
      <c r="Q17" t="s">
        <v>21</v>
      </c>
      <c r="R17">
        <v>13.927</v>
      </c>
      <c r="S17" t="s">
        <v>442</v>
      </c>
      <c r="T17">
        <v>149.5</v>
      </c>
      <c r="U17">
        <v>148.5</v>
      </c>
      <c r="V17">
        <v>150.30000000000001</v>
      </c>
      <c r="W17">
        <v>149.4</v>
      </c>
      <c r="X17" t="s">
        <v>21</v>
      </c>
      <c r="Y17">
        <v>13.840999999999999</v>
      </c>
      <c r="Z17">
        <f t="shared" si="0"/>
        <v>13.911642857142855</v>
      </c>
      <c r="AA17">
        <v>0.139041786</v>
      </c>
      <c r="AB17">
        <v>4.3232999999999997</v>
      </c>
      <c r="AC17">
        <f t="shared" si="1"/>
        <v>4.3232999999999994E-2</v>
      </c>
      <c r="AD17" s="8">
        <f t="shared" si="2"/>
        <v>8.2191780821917804E-2</v>
      </c>
      <c r="AE17">
        <f t="shared" si="3"/>
        <v>0.54719935672339037</v>
      </c>
      <c r="AF17">
        <f t="shared" si="4"/>
        <v>-0.45280064327660963</v>
      </c>
      <c r="AG17">
        <f t="shared" si="5"/>
        <v>9.4398713446780746E-2</v>
      </c>
    </row>
    <row r="18" spans="1:33" x14ac:dyDescent="0.25">
      <c r="A18" s="1">
        <v>45685</v>
      </c>
      <c r="B18">
        <v>6067.7</v>
      </c>
      <c r="C18">
        <v>6070</v>
      </c>
      <c r="D18" s="1">
        <v>45709</v>
      </c>
      <c r="E18" s="1">
        <v>45737</v>
      </c>
      <c r="F18">
        <v>30</v>
      </c>
      <c r="G18">
        <v>24</v>
      </c>
      <c r="H18">
        <v>52</v>
      </c>
      <c r="I18">
        <v>0.7857142857142857</v>
      </c>
      <c r="J18">
        <v>0.21428571428571427</v>
      </c>
      <c r="K18" t="s">
        <v>19</v>
      </c>
      <c r="L18" t="s">
        <v>443</v>
      </c>
      <c r="M18">
        <v>83.7</v>
      </c>
      <c r="N18">
        <v>80.099999999999994</v>
      </c>
      <c r="O18">
        <v>81.8</v>
      </c>
      <c r="P18">
        <v>80.949999999999989</v>
      </c>
      <c r="Q18" t="s">
        <v>21</v>
      </c>
      <c r="R18">
        <v>12.606999999999999</v>
      </c>
      <c r="S18" t="s">
        <v>444</v>
      </c>
      <c r="T18">
        <v>131.1</v>
      </c>
      <c r="U18">
        <v>129.19999999999999</v>
      </c>
      <c r="V18">
        <v>130.69999999999999</v>
      </c>
      <c r="W18">
        <v>129.94999999999999</v>
      </c>
      <c r="X18" t="s">
        <v>21</v>
      </c>
      <c r="Y18">
        <v>12.847</v>
      </c>
      <c r="Z18">
        <f t="shared" si="0"/>
        <v>12.658428571428571</v>
      </c>
      <c r="AA18">
        <v>0.12704499999999999</v>
      </c>
      <c r="AB18">
        <v>4.3278999999999996</v>
      </c>
      <c r="AC18">
        <f t="shared" si="1"/>
        <v>4.3278999999999998E-2</v>
      </c>
      <c r="AD18" s="8">
        <f t="shared" si="2"/>
        <v>8.2191780821917804E-2</v>
      </c>
      <c r="AE18">
        <f t="shared" si="3"/>
        <v>0.54199856387735323</v>
      </c>
      <c r="AF18">
        <f t="shared" si="4"/>
        <v>-0.45800143612264677</v>
      </c>
      <c r="AG18">
        <f t="shared" si="5"/>
        <v>8.3997127754706469E-2</v>
      </c>
    </row>
    <row r="19" spans="1:33" x14ac:dyDescent="0.25">
      <c r="A19" s="1">
        <v>45686</v>
      </c>
      <c r="B19">
        <v>6039.31</v>
      </c>
      <c r="C19">
        <v>6040</v>
      </c>
      <c r="D19" s="1">
        <v>45709</v>
      </c>
      <c r="E19" s="1">
        <v>45737</v>
      </c>
      <c r="F19">
        <v>30</v>
      </c>
      <c r="G19">
        <v>23</v>
      </c>
      <c r="H19">
        <v>51</v>
      </c>
      <c r="I19">
        <v>0.75</v>
      </c>
      <c r="J19">
        <v>0.25</v>
      </c>
      <c r="K19" t="s">
        <v>19</v>
      </c>
      <c r="L19" t="s">
        <v>445</v>
      </c>
      <c r="M19">
        <v>87.9</v>
      </c>
      <c r="N19">
        <v>86.1</v>
      </c>
      <c r="O19">
        <v>90.5</v>
      </c>
      <c r="P19">
        <v>88.3</v>
      </c>
      <c r="Q19" t="s">
        <v>21</v>
      </c>
      <c r="R19">
        <v>12.91</v>
      </c>
      <c r="S19" t="s">
        <v>446</v>
      </c>
      <c r="T19">
        <v>133.33000000000001</v>
      </c>
      <c r="U19">
        <v>136.4</v>
      </c>
      <c r="V19">
        <v>139.9</v>
      </c>
      <c r="W19">
        <v>138.15</v>
      </c>
      <c r="X19" t="s">
        <v>21</v>
      </c>
      <c r="Y19">
        <v>12.895</v>
      </c>
      <c r="Z19">
        <f t="shared" si="0"/>
        <v>12.90625</v>
      </c>
      <c r="AA19">
        <v>0.13197125000000001</v>
      </c>
      <c r="AB19">
        <v>4.3273999999999999</v>
      </c>
      <c r="AC19">
        <f t="shared" si="1"/>
        <v>4.3274E-2</v>
      </c>
      <c r="AD19" s="8">
        <f t="shared" si="2"/>
        <v>8.2191780821917804E-2</v>
      </c>
      <c r="AE19">
        <f t="shared" si="3"/>
        <v>0.54375776155263589</v>
      </c>
      <c r="AF19">
        <f t="shared" si="4"/>
        <v>-0.45624223844736411</v>
      </c>
      <c r="AG19">
        <f t="shared" si="5"/>
        <v>8.7515523105271775E-2</v>
      </c>
    </row>
    <row r="20" spans="1:33" x14ac:dyDescent="0.25">
      <c r="A20" s="1">
        <v>45687</v>
      </c>
      <c r="B20">
        <v>6071.17</v>
      </c>
      <c r="C20">
        <v>6070</v>
      </c>
      <c r="D20" s="1">
        <v>45709</v>
      </c>
      <c r="E20" s="1">
        <v>45737</v>
      </c>
      <c r="F20">
        <v>30</v>
      </c>
      <c r="G20">
        <v>22</v>
      </c>
      <c r="H20">
        <v>50</v>
      </c>
      <c r="I20">
        <v>0.7142857142857143</v>
      </c>
      <c r="J20">
        <v>0.2857142857142857</v>
      </c>
      <c r="K20" t="s">
        <v>19</v>
      </c>
      <c r="L20" t="s">
        <v>443</v>
      </c>
      <c r="M20">
        <v>81.2</v>
      </c>
      <c r="N20">
        <v>74.599999999999994</v>
      </c>
      <c r="O20">
        <v>80.099999999999994</v>
      </c>
      <c r="P20">
        <v>77.349999999999994</v>
      </c>
      <c r="Q20" t="s">
        <v>21</v>
      </c>
      <c r="R20">
        <v>12.291</v>
      </c>
      <c r="S20" t="s">
        <v>444</v>
      </c>
      <c r="T20">
        <v>125</v>
      </c>
      <c r="U20">
        <v>126.1</v>
      </c>
      <c r="V20">
        <v>132.30000000000001</v>
      </c>
      <c r="W20">
        <v>129.19999999999999</v>
      </c>
      <c r="X20" t="s">
        <v>21</v>
      </c>
      <c r="Y20">
        <v>12.724</v>
      </c>
      <c r="Z20">
        <f t="shared" si="0"/>
        <v>12.414714285714286</v>
      </c>
      <c r="AA20">
        <v>0.12592214299999999</v>
      </c>
      <c r="AB20">
        <v>4.3167</v>
      </c>
      <c r="AC20">
        <f t="shared" si="1"/>
        <v>4.3166999999999997E-2</v>
      </c>
      <c r="AD20" s="8">
        <f t="shared" si="2"/>
        <v>8.2191780821917804E-2</v>
      </c>
      <c r="AE20">
        <f t="shared" si="3"/>
        <v>0.54841935862320312</v>
      </c>
      <c r="AF20">
        <f t="shared" si="4"/>
        <v>-0.45158064137679688</v>
      </c>
      <c r="AG20">
        <f t="shared" si="5"/>
        <v>9.6838717246406247E-2</v>
      </c>
    </row>
    <row r="21" spans="1:33" x14ac:dyDescent="0.25">
      <c r="A21" s="1">
        <v>45688</v>
      </c>
      <c r="B21">
        <v>6040.53</v>
      </c>
      <c r="C21">
        <v>6040</v>
      </c>
      <c r="D21" s="1">
        <v>45709</v>
      </c>
      <c r="E21" s="1">
        <v>45737</v>
      </c>
      <c r="F21">
        <v>30</v>
      </c>
      <c r="G21">
        <v>21</v>
      </c>
      <c r="H21">
        <v>49</v>
      </c>
      <c r="I21">
        <v>0.6785714285714286</v>
      </c>
      <c r="J21">
        <v>0.32142857142857145</v>
      </c>
      <c r="K21" t="s">
        <v>19</v>
      </c>
      <c r="L21" t="s">
        <v>445</v>
      </c>
      <c r="M21">
        <v>81.02</v>
      </c>
      <c r="N21">
        <v>79.2</v>
      </c>
      <c r="O21">
        <v>81.2</v>
      </c>
      <c r="P21">
        <v>80.2</v>
      </c>
      <c r="Q21" t="s">
        <v>21</v>
      </c>
      <c r="R21">
        <v>13.331</v>
      </c>
      <c r="S21" t="s">
        <v>446</v>
      </c>
      <c r="T21">
        <v>133.80000000000001</v>
      </c>
      <c r="U21">
        <v>130.5</v>
      </c>
      <c r="V21">
        <v>132.69999999999999</v>
      </c>
      <c r="W21">
        <v>131.6</v>
      </c>
      <c r="X21" t="s">
        <v>21</v>
      </c>
      <c r="Y21">
        <v>13.189</v>
      </c>
      <c r="Z21">
        <f t="shared" si="0"/>
        <v>13.285357142857144</v>
      </c>
      <c r="AA21">
        <v>0.134197857</v>
      </c>
      <c r="AB21">
        <v>4.2830000000000004</v>
      </c>
      <c r="AC21">
        <f t="shared" si="1"/>
        <v>4.2830000000000007E-2</v>
      </c>
      <c r="AD21" s="8">
        <f t="shared" si="2"/>
        <v>8.2191780821917804E-2</v>
      </c>
      <c r="AE21">
        <f t="shared" si="3"/>
        <v>0.54499122121188837</v>
      </c>
      <c r="AF21">
        <f t="shared" si="4"/>
        <v>-0.45500877878811163</v>
      </c>
      <c r="AG21">
        <f t="shared" si="5"/>
        <v>8.9982442423776732E-2</v>
      </c>
    </row>
    <row r="22" spans="1:33" x14ac:dyDescent="0.25">
      <c r="A22" s="1">
        <v>45691</v>
      </c>
      <c r="B22">
        <v>5994.57</v>
      </c>
      <c r="C22">
        <v>5995</v>
      </c>
      <c r="D22" s="1">
        <v>45709</v>
      </c>
      <c r="E22" s="1">
        <v>45737</v>
      </c>
      <c r="F22">
        <v>30</v>
      </c>
      <c r="G22">
        <v>18</v>
      </c>
      <c r="H22">
        <v>46</v>
      </c>
      <c r="I22">
        <v>0.5714285714285714</v>
      </c>
      <c r="J22">
        <v>0.42857142857142855</v>
      </c>
      <c r="K22" t="s">
        <v>19</v>
      </c>
      <c r="L22" t="s">
        <v>431</v>
      </c>
      <c r="M22">
        <v>86.2</v>
      </c>
      <c r="N22">
        <v>103</v>
      </c>
      <c r="O22">
        <v>105.3</v>
      </c>
      <c r="P22">
        <v>104.15</v>
      </c>
      <c r="Q22" t="s">
        <v>21</v>
      </c>
      <c r="R22">
        <v>14.651999999999999</v>
      </c>
      <c r="S22" t="s">
        <v>432</v>
      </c>
      <c r="T22">
        <v>142</v>
      </c>
      <c r="U22">
        <v>155.4</v>
      </c>
      <c r="V22">
        <v>157.6</v>
      </c>
      <c r="W22">
        <v>156.5</v>
      </c>
      <c r="X22" t="s">
        <v>21</v>
      </c>
      <c r="Y22">
        <v>14.118</v>
      </c>
      <c r="Z22">
        <f t="shared" si="0"/>
        <v>14.423142857142857</v>
      </c>
      <c r="AA22">
        <v>0.14871928600000001</v>
      </c>
      <c r="AB22">
        <v>4.3156999999999996</v>
      </c>
      <c r="AC22">
        <f t="shared" si="1"/>
        <v>4.3156999999999994E-2</v>
      </c>
      <c r="AD22" s="8">
        <f t="shared" si="2"/>
        <v>8.2191780821917804E-2</v>
      </c>
      <c r="AE22">
        <f t="shared" si="3"/>
        <v>0.5409514834596505</v>
      </c>
      <c r="AF22">
        <f t="shared" si="4"/>
        <v>-0.4590485165403495</v>
      </c>
      <c r="AG22">
        <f t="shared" si="5"/>
        <v>8.190296691930099E-2</v>
      </c>
    </row>
    <row r="23" spans="1:33" x14ac:dyDescent="0.25">
      <c r="A23" s="1">
        <v>45692</v>
      </c>
      <c r="B23">
        <v>6037.88</v>
      </c>
      <c r="C23">
        <v>6040</v>
      </c>
      <c r="D23" s="1">
        <v>45709</v>
      </c>
      <c r="E23" s="1">
        <v>45737</v>
      </c>
      <c r="F23">
        <v>30</v>
      </c>
      <c r="G23">
        <v>17</v>
      </c>
      <c r="H23">
        <v>45</v>
      </c>
      <c r="I23">
        <v>0.5357142857142857</v>
      </c>
      <c r="J23">
        <v>0.4642857142857143</v>
      </c>
      <c r="K23" t="s">
        <v>19</v>
      </c>
      <c r="L23" t="s">
        <v>445</v>
      </c>
      <c r="M23">
        <v>67.36</v>
      </c>
      <c r="N23">
        <v>63.8</v>
      </c>
      <c r="O23">
        <v>65.5</v>
      </c>
      <c r="P23">
        <v>64.650000000000006</v>
      </c>
      <c r="Q23" t="s">
        <v>21</v>
      </c>
      <c r="R23">
        <v>13.31</v>
      </c>
      <c r="S23" t="s">
        <v>446</v>
      </c>
      <c r="T23">
        <v>127.29</v>
      </c>
      <c r="U23">
        <v>117</v>
      </c>
      <c r="V23">
        <v>118.5</v>
      </c>
      <c r="W23">
        <v>117.75</v>
      </c>
      <c r="X23" t="s">
        <v>21</v>
      </c>
      <c r="Y23">
        <v>13.315</v>
      </c>
      <c r="Z23">
        <f t="shared" si="0"/>
        <v>13.31232142857143</v>
      </c>
      <c r="AA23">
        <v>0.13462089299999999</v>
      </c>
      <c r="AB23">
        <v>4.3075000000000001</v>
      </c>
      <c r="AC23">
        <f t="shared" si="1"/>
        <v>4.3075000000000002E-2</v>
      </c>
      <c r="AD23" s="8">
        <f t="shared" si="2"/>
        <v>8.2191780821917804E-2</v>
      </c>
      <c r="AE23">
        <f t="shared" si="3"/>
        <v>0.54059572507668352</v>
      </c>
      <c r="AF23">
        <f t="shared" si="4"/>
        <v>-0.45940427492331648</v>
      </c>
      <c r="AG23">
        <f t="shared" si="5"/>
        <v>8.119145015336704E-2</v>
      </c>
    </row>
    <row r="24" spans="1:33" x14ac:dyDescent="0.25">
      <c r="A24" s="1">
        <v>45693</v>
      </c>
      <c r="B24">
        <v>6061.48</v>
      </c>
      <c r="C24">
        <v>6060</v>
      </c>
      <c r="D24" s="1">
        <v>45709</v>
      </c>
      <c r="E24" s="1">
        <v>45737</v>
      </c>
      <c r="F24">
        <v>30</v>
      </c>
      <c r="G24">
        <v>16</v>
      </c>
      <c r="H24">
        <v>44</v>
      </c>
      <c r="I24">
        <v>0.5</v>
      </c>
      <c r="J24">
        <v>0.5</v>
      </c>
      <c r="K24" t="s">
        <v>19</v>
      </c>
      <c r="L24" t="s">
        <v>447</v>
      </c>
      <c r="M24">
        <v>66.5</v>
      </c>
      <c r="N24">
        <v>68.2</v>
      </c>
      <c r="O24">
        <v>69.599999999999994</v>
      </c>
      <c r="P24">
        <v>68.900000000000006</v>
      </c>
      <c r="Q24" t="s">
        <v>21</v>
      </c>
      <c r="R24">
        <v>12.340999999999999</v>
      </c>
      <c r="S24" t="s">
        <v>448</v>
      </c>
      <c r="T24">
        <v>118.2</v>
      </c>
      <c r="U24">
        <v>123.7</v>
      </c>
      <c r="V24">
        <v>125.1</v>
      </c>
      <c r="W24">
        <v>124.4</v>
      </c>
      <c r="X24" t="s">
        <v>21</v>
      </c>
      <c r="Y24">
        <v>12.752000000000001</v>
      </c>
      <c r="Z24">
        <f t="shared" si="0"/>
        <v>12.5465</v>
      </c>
      <c r="AA24">
        <v>0.126805</v>
      </c>
      <c r="AB24">
        <v>4.2942</v>
      </c>
      <c r="AC24">
        <f t="shared" si="1"/>
        <v>4.2942000000000001E-2</v>
      </c>
      <c r="AD24" s="8">
        <f t="shared" si="2"/>
        <v>8.2191780821917804E-2</v>
      </c>
      <c r="AE24">
        <f t="shared" si="3"/>
        <v>0.54854291398973287</v>
      </c>
      <c r="AF24">
        <f t="shared" si="4"/>
        <v>-0.45145708601026713</v>
      </c>
      <c r="AG24">
        <f t="shared" si="5"/>
        <v>9.7085827979465744E-2</v>
      </c>
    </row>
    <row r="25" spans="1:33" x14ac:dyDescent="0.25">
      <c r="A25" s="1">
        <v>45694</v>
      </c>
      <c r="B25">
        <v>6083.57</v>
      </c>
      <c r="C25">
        <v>6085</v>
      </c>
      <c r="D25" s="1">
        <v>45709</v>
      </c>
      <c r="E25" s="1">
        <v>45737</v>
      </c>
      <c r="F25">
        <v>30</v>
      </c>
      <c r="G25">
        <v>15</v>
      </c>
      <c r="H25">
        <v>43</v>
      </c>
      <c r="I25">
        <v>0.4642857142857143</v>
      </c>
      <c r="J25">
        <v>0.5357142857142857</v>
      </c>
      <c r="K25" t="s">
        <v>19</v>
      </c>
      <c r="L25" t="s">
        <v>435</v>
      </c>
      <c r="M25">
        <v>50.6</v>
      </c>
      <c r="N25">
        <v>50.9</v>
      </c>
      <c r="O25">
        <v>53</v>
      </c>
      <c r="P25">
        <v>51.95</v>
      </c>
      <c r="Q25" t="s">
        <v>21</v>
      </c>
      <c r="R25">
        <v>11.57</v>
      </c>
      <c r="S25" t="s">
        <v>436</v>
      </c>
      <c r="T25">
        <v>108</v>
      </c>
      <c r="U25">
        <v>107.4</v>
      </c>
      <c r="V25">
        <v>109.6</v>
      </c>
      <c r="W25">
        <v>108.5</v>
      </c>
      <c r="X25" t="s">
        <v>21</v>
      </c>
      <c r="Y25">
        <v>12.372</v>
      </c>
      <c r="Z25">
        <f t="shared" si="0"/>
        <v>11.999642857142856</v>
      </c>
      <c r="AA25">
        <v>0.12069160700000001</v>
      </c>
      <c r="AB25">
        <v>4.3038999999999996</v>
      </c>
      <c r="AC25">
        <f t="shared" si="1"/>
        <v>4.3038999999999994E-2</v>
      </c>
      <c r="AD25" s="8">
        <f t="shared" si="2"/>
        <v>8.2191780821917804E-2</v>
      </c>
      <c r="AE25">
        <f t="shared" si="3"/>
        <v>0.54488282358253248</v>
      </c>
      <c r="AF25">
        <f t="shared" si="4"/>
        <v>-0.45511717641746752</v>
      </c>
      <c r="AG25">
        <f t="shared" si="5"/>
        <v>8.9765647165064966E-2</v>
      </c>
    </row>
    <row r="26" spans="1:33" x14ac:dyDescent="0.25">
      <c r="A26" s="1">
        <v>45695</v>
      </c>
      <c r="B26">
        <v>6025.99</v>
      </c>
      <c r="C26">
        <v>6025</v>
      </c>
      <c r="D26" s="1">
        <v>45709</v>
      </c>
      <c r="E26" s="1">
        <v>45737</v>
      </c>
      <c r="F26">
        <v>30</v>
      </c>
      <c r="G26">
        <v>14</v>
      </c>
      <c r="H26">
        <v>42</v>
      </c>
      <c r="I26">
        <v>0.42857142857142855</v>
      </c>
      <c r="J26">
        <v>0.5714285714285714</v>
      </c>
      <c r="K26" t="s">
        <v>19</v>
      </c>
      <c r="L26" t="s">
        <v>449</v>
      </c>
      <c r="M26">
        <v>60.8</v>
      </c>
      <c r="N26">
        <v>61.4</v>
      </c>
      <c r="O26">
        <v>63.3</v>
      </c>
      <c r="P26">
        <v>62.349999999999994</v>
      </c>
      <c r="Q26" t="s">
        <v>21</v>
      </c>
      <c r="R26">
        <v>12.819000000000001</v>
      </c>
      <c r="S26" t="s">
        <v>450</v>
      </c>
      <c r="T26">
        <v>120.1</v>
      </c>
      <c r="U26">
        <v>120.1</v>
      </c>
      <c r="V26">
        <v>121.9</v>
      </c>
      <c r="W26">
        <v>121</v>
      </c>
      <c r="X26" t="s">
        <v>21</v>
      </c>
      <c r="Y26">
        <v>13.175000000000001</v>
      </c>
      <c r="Z26">
        <f t="shared" si="0"/>
        <v>13.022428571428572</v>
      </c>
      <c r="AA26">
        <v>0.13179571400000001</v>
      </c>
      <c r="AB26">
        <v>4.3009000000000004</v>
      </c>
      <c r="AC26">
        <f t="shared" si="1"/>
        <v>4.3009000000000006E-2</v>
      </c>
      <c r="AD26" s="8">
        <f t="shared" si="2"/>
        <v>8.2191780821917804E-2</v>
      </c>
      <c r="AE26">
        <f t="shared" si="3"/>
        <v>0.54648947375355839</v>
      </c>
      <c r="AF26">
        <f t="shared" si="4"/>
        <v>-0.45351052624644161</v>
      </c>
      <c r="AG26">
        <f t="shared" si="5"/>
        <v>9.2978947507116771E-2</v>
      </c>
    </row>
    <row r="27" spans="1:33" x14ac:dyDescent="0.25">
      <c r="A27" s="1">
        <v>45698</v>
      </c>
      <c r="B27">
        <v>6066.44</v>
      </c>
      <c r="C27">
        <v>6065</v>
      </c>
      <c r="D27" s="1">
        <v>45709</v>
      </c>
      <c r="E27" s="1">
        <v>45737</v>
      </c>
      <c r="F27">
        <v>30</v>
      </c>
      <c r="G27">
        <v>11</v>
      </c>
      <c r="H27">
        <v>39</v>
      </c>
      <c r="I27">
        <v>0.32142857142857145</v>
      </c>
      <c r="J27">
        <v>0.6785714285714286</v>
      </c>
      <c r="K27" t="s">
        <v>19</v>
      </c>
      <c r="L27" t="s">
        <v>451</v>
      </c>
      <c r="M27">
        <v>50.92</v>
      </c>
      <c r="N27">
        <v>50</v>
      </c>
      <c r="O27">
        <v>51.1</v>
      </c>
      <c r="P27">
        <v>50.55</v>
      </c>
      <c r="Q27" t="s">
        <v>21</v>
      </c>
      <c r="R27">
        <v>11.138999999999999</v>
      </c>
      <c r="S27" t="s">
        <v>452</v>
      </c>
      <c r="T27">
        <v>111.6</v>
      </c>
      <c r="U27">
        <v>110.9</v>
      </c>
      <c r="V27">
        <v>111.9</v>
      </c>
      <c r="W27">
        <v>111.4</v>
      </c>
      <c r="X27" t="s">
        <v>21</v>
      </c>
      <c r="Y27">
        <v>12.298</v>
      </c>
      <c r="Z27">
        <f t="shared" si="0"/>
        <v>11.925464285714288</v>
      </c>
      <c r="AA27">
        <v>0.12051392900000001</v>
      </c>
      <c r="AB27">
        <v>4.3284000000000002</v>
      </c>
      <c r="AC27">
        <f t="shared" si="1"/>
        <v>4.3284000000000003E-2</v>
      </c>
      <c r="AD27" s="8">
        <f t="shared" si="2"/>
        <v>8.2191780821917804E-2</v>
      </c>
      <c r="AE27">
        <f t="shared" si="3"/>
        <v>0.55057521596859571</v>
      </c>
      <c r="AF27">
        <f t="shared" si="4"/>
        <v>-0.44942478403140429</v>
      </c>
      <c r="AG27">
        <f t="shared" si="5"/>
        <v>0.10115043193719142</v>
      </c>
    </row>
    <row r="28" spans="1:33" x14ac:dyDescent="0.25">
      <c r="A28" s="1">
        <v>45699</v>
      </c>
      <c r="B28">
        <v>6068.5</v>
      </c>
      <c r="C28">
        <v>6070</v>
      </c>
      <c r="D28" s="1">
        <v>45709</v>
      </c>
      <c r="E28" s="1">
        <v>45737</v>
      </c>
      <c r="F28">
        <v>30</v>
      </c>
      <c r="G28">
        <v>10</v>
      </c>
      <c r="H28">
        <v>38</v>
      </c>
      <c r="I28">
        <v>0.2857142857142857</v>
      </c>
      <c r="J28">
        <v>0.7142857142857143</v>
      </c>
      <c r="K28" t="s">
        <v>19</v>
      </c>
      <c r="L28" t="s">
        <v>443</v>
      </c>
      <c r="M28">
        <v>46.33</v>
      </c>
      <c r="N28">
        <v>46.6</v>
      </c>
      <c r="O28">
        <v>48</v>
      </c>
      <c r="P28">
        <v>47.3</v>
      </c>
      <c r="Q28" t="s">
        <v>21</v>
      </c>
      <c r="R28">
        <v>11.265000000000001</v>
      </c>
      <c r="S28" t="s">
        <v>444</v>
      </c>
      <c r="T28">
        <v>108.85</v>
      </c>
      <c r="U28">
        <v>108.4</v>
      </c>
      <c r="V28">
        <v>109.9</v>
      </c>
      <c r="W28">
        <v>109.15</v>
      </c>
      <c r="X28" t="s">
        <v>21</v>
      </c>
      <c r="Y28">
        <v>12.313000000000001</v>
      </c>
      <c r="Z28">
        <f t="shared" si="0"/>
        <v>12.013571428571428</v>
      </c>
      <c r="AA28">
        <v>0.121287857</v>
      </c>
      <c r="AB28">
        <v>4.3278999999999996</v>
      </c>
      <c r="AC28">
        <f t="shared" si="1"/>
        <v>4.3278999999999998E-2</v>
      </c>
      <c r="AD28" s="8">
        <f t="shared" si="2"/>
        <v>8.2191780821917804E-2</v>
      </c>
      <c r="AE28">
        <f t="shared" si="3"/>
        <v>0.54481746864043901</v>
      </c>
      <c r="AF28">
        <f t="shared" si="4"/>
        <v>-0.45518253135956099</v>
      </c>
      <c r="AG28">
        <f t="shared" si="5"/>
        <v>8.9634937280878013E-2</v>
      </c>
    </row>
    <row r="29" spans="1:33" x14ac:dyDescent="0.25">
      <c r="A29" s="1">
        <v>45700</v>
      </c>
      <c r="B29">
        <v>6051.97</v>
      </c>
      <c r="C29">
        <v>6050</v>
      </c>
      <c r="D29" s="1">
        <v>45709</v>
      </c>
      <c r="E29" s="1">
        <v>45737</v>
      </c>
      <c r="F29">
        <v>30</v>
      </c>
      <c r="G29">
        <v>9</v>
      </c>
      <c r="H29">
        <v>37</v>
      </c>
      <c r="I29">
        <v>0.25</v>
      </c>
      <c r="J29">
        <v>0.75</v>
      </c>
      <c r="K29" t="s">
        <v>19</v>
      </c>
      <c r="L29" t="s">
        <v>433</v>
      </c>
      <c r="M29">
        <v>47.4</v>
      </c>
      <c r="N29">
        <v>49.2</v>
      </c>
      <c r="O29">
        <v>50.2</v>
      </c>
      <c r="P29">
        <v>49.7</v>
      </c>
      <c r="Q29" t="s">
        <v>21</v>
      </c>
      <c r="R29">
        <v>11.548</v>
      </c>
      <c r="S29" t="s">
        <v>434</v>
      </c>
      <c r="T29">
        <v>110</v>
      </c>
      <c r="U29">
        <v>113.8</v>
      </c>
      <c r="V29">
        <v>114.7</v>
      </c>
      <c r="W29">
        <v>114.25</v>
      </c>
      <c r="X29" t="s">
        <v>21</v>
      </c>
      <c r="Y29">
        <v>12.6</v>
      </c>
      <c r="Z29">
        <f t="shared" si="0"/>
        <v>12.337</v>
      </c>
      <c r="AA29">
        <v>0.12540499999999999</v>
      </c>
      <c r="AB29">
        <v>4.3273999999999999</v>
      </c>
      <c r="AC29">
        <f t="shared" si="1"/>
        <v>4.3274E-2</v>
      </c>
      <c r="AD29" s="8">
        <f t="shared" si="2"/>
        <v>8.2191780821917804E-2</v>
      </c>
      <c r="AE29">
        <f t="shared" si="3"/>
        <v>0.55011874046950737</v>
      </c>
      <c r="AF29">
        <f t="shared" si="4"/>
        <v>-0.44988125953049263</v>
      </c>
      <c r="AG29">
        <f t="shared" si="5"/>
        <v>0.10023748093901474</v>
      </c>
    </row>
    <row r="30" spans="1:33" x14ac:dyDescent="0.25">
      <c r="A30" s="1">
        <v>45701</v>
      </c>
      <c r="B30">
        <v>6115.07</v>
      </c>
      <c r="C30">
        <v>6115</v>
      </c>
      <c r="D30" s="1">
        <v>45709</v>
      </c>
      <c r="E30" s="1">
        <v>45737</v>
      </c>
      <c r="F30">
        <v>30</v>
      </c>
      <c r="G30">
        <v>8</v>
      </c>
      <c r="H30">
        <v>36</v>
      </c>
      <c r="I30">
        <v>0.21428571428571427</v>
      </c>
      <c r="J30">
        <v>0.7857142857142857</v>
      </c>
      <c r="K30" t="s">
        <v>19</v>
      </c>
      <c r="L30" t="s">
        <v>453</v>
      </c>
      <c r="M30">
        <v>35.1</v>
      </c>
      <c r="N30">
        <v>33.299999999999997</v>
      </c>
      <c r="O30">
        <v>35</v>
      </c>
      <c r="P30">
        <v>34.15</v>
      </c>
      <c r="Q30" t="s">
        <v>21</v>
      </c>
      <c r="R30">
        <v>10.135</v>
      </c>
      <c r="S30" t="s">
        <v>454</v>
      </c>
      <c r="T30">
        <v>100.45</v>
      </c>
      <c r="U30">
        <v>99.3</v>
      </c>
      <c r="V30">
        <v>101.2</v>
      </c>
      <c r="W30">
        <v>100.25</v>
      </c>
      <c r="X30" t="s">
        <v>21</v>
      </c>
      <c r="Y30">
        <v>11.853</v>
      </c>
      <c r="Z30">
        <f t="shared" si="0"/>
        <v>11.484857142857141</v>
      </c>
      <c r="AA30">
        <v>0.116072857</v>
      </c>
      <c r="AB30">
        <v>4.3243</v>
      </c>
      <c r="AC30">
        <f t="shared" si="1"/>
        <v>4.3243000000000004E-2</v>
      </c>
      <c r="AD30" s="8">
        <f t="shared" si="2"/>
        <v>8.2191780821917804E-2</v>
      </c>
      <c r="AE30">
        <f t="shared" si="3"/>
        <v>0.54925899949245294</v>
      </c>
      <c r="AF30">
        <f t="shared" si="4"/>
        <v>-0.45074100050754706</v>
      </c>
      <c r="AG30">
        <f t="shared" si="5"/>
        <v>9.8517998984905875E-2</v>
      </c>
    </row>
    <row r="31" spans="1:33" x14ac:dyDescent="0.25">
      <c r="A31" s="1">
        <v>45702</v>
      </c>
      <c r="B31">
        <v>6114.63</v>
      </c>
      <c r="C31">
        <v>6115</v>
      </c>
      <c r="D31" s="1">
        <v>45709</v>
      </c>
      <c r="E31" s="1">
        <v>45737</v>
      </c>
      <c r="F31">
        <v>30</v>
      </c>
      <c r="G31">
        <v>7</v>
      </c>
      <c r="H31">
        <v>35</v>
      </c>
      <c r="I31">
        <v>0.17857142857142858</v>
      </c>
      <c r="J31">
        <v>0.8214285714285714</v>
      </c>
      <c r="K31" t="s">
        <v>19</v>
      </c>
      <c r="L31" t="s">
        <v>453</v>
      </c>
      <c r="M31">
        <v>28.5</v>
      </c>
      <c r="N31">
        <v>28.6</v>
      </c>
      <c r="O31">
        <v>29.3</v>
      </c>
      <c r="P31">
        <v>28.950000000000003</v>
      </c>
      <c r="Q31" t="s">
        <v>21</v>
      </c>
      <c r="R31">
        <v>9.202</v>
      </c>
      <c r="S31" t="s">
        <v>454</v>
      </c>
      <c r="T31">
        <v>98.67</v>
      </c>
      <c r="U31">
        <v>96.9</v>
      </c>
      <c r="V31">
        <v>98.4</v>
      </c>
      <c r="W31">
        <v>97.65</v>
      </c>
      <c r="X31" t="s">
        <v>21</v>
      </c>
      <c r="Y31">
        <v>11.613</v>
      </c>
      <c r="Z31">
        <f t="shared" si="0"/>
        <v>11.182464285714286</v>
      </c>
      <c r="AA31">
        <v>0.113376607</v>
      </c>
      <c r="AB31">
        <v>4.3208000000000002</v>
      </c>
      <c r="AC31">
        <f t="shared" si="1"/>
        <v>4.3208000000000003E-2</v>
      </c>
      <c r="AD31" s="8">
        <f t="shared" si="2"/>
        <v>8.2191780821917804E-2</v>
      </c>
      <c r="AE31">
        <f t="shared" si="3"/>
        <v>0.5492033526437714</v>
      </c>
      <c r="AF31">
        <f t="shared" si="4"/>
        <v>-0.4507966473562286</v>
      </c>
      <c r="AG31">
        <f t="shared" si="5"/>
        <v>9.8406705287542806E-2</v>
      </c>
    </row>
    <row r="32" spans="1:33" x14ac:dyDescent="0.25">
      <c r="A32" s="1">
        <v>45706</v>
      </c>
      <c r="B32">
        <v>6129.58</v>
      </c>
      <c r="C32">
        <v>6130</v>
      </c>
      <c r="D32" s="1">
        <v>45709</v>
      </c>
      <c r="E32" s="1">
        <v>45737</v>
      </c>
      <c r="F32">
        <v>30</v>
      </c>
      <c r="G32">
        <v>3</v>
      </c>
      <c r="H32">
        <v>31</v>
      </c>
      <c r="I32">
        <v>3.5714285714285712E-2</v>
      </c>
      <c r="J32">
        <v>0.9642857142857143</v>
      </c>
      <c r="K32" t="s">
        <v>19</v>
      </c>
      <c r="L32" t="s">
        <v>455</v>
      </c>
      <c r="M32">
        <v>21.04</v>
      </c>
      <c r="N32">
        <v>19</v>
      </c>
      <c r="O32">
        <v>19.7</v>
      </c>
      <c r="P32">
        <v>19.350000000000001</v>
      </c>
      <c r="Q32" t="s">
        <v>21</v>
      </c>
      <c r="R32">
        <v>7.8970000000000002</v>
      </c>
      <c r="S32" t="s">
        <v>456</v>
      </c>
      <c r="T32">
        <v>86.7</v>
      </c>
      <c r="U32">
        <v>90.5</v>
      </c>
      <c r="V32">
        <v>91.7</v>
      </c>
      <c r="W32">
        <v>91.1</v>
      </c>
      <c r="X32" t="s">
        <v>21</v>
      </c>
      <c r="Y32">
        <v>11.337</v>
      </c>
      <c r="Z32">
        <f t="shared" si="0"/>
        <v>11.214142857142857</v>
      </c>
      <c r="AA32">
        <v>0.113011607</v>
      </c>
      <c r="AB32">
        <v>4.3254000000000001</v>
      </c>
      <c r="AC32">
        <f t="shared" si="1"/>
        <v>4.3254000000000001E-2</v>
      </c>
      <c r="AD32" s="8">
        <f t="shared" si="2"/>
        <v>8.2191780821917804E-2</v>
      </c>
      <c r="AE32">
        <f t="shared" si="3"/>
        <v>0.54926829646856734</v>
      </c>
      <c r="AF32">
        <f t="shared" si="4"/>
        <v>-0.45073170353143266</v>
      </c>
      <c r="AG32">
        <f t="shared" si="5"/>
        <v>9.8536592937134682E-2</v>
      </c>
    </row>
    <row r="33" spans="1:33" x14ac:dyDescent="0.25">
      <c r="A33" s="1">
        <v>45707</v>
      </c>
      <c r="B33">
        <v>6144.15</v>
      </c>
      <c r="C33">
        <v>6145</v>
      </c>
      <c r="D33" s="1">
        <v>45709</v>
      </c>
      <c r="E33" s="1">
        <v>45737</v>
      </c>
      <c r="F33">
        <v>30</v>
      </c>
      <c r="G33">
        <v>2</v>
      </c>
      <c r="H33">
        <v>30</v>
      </c>
      <c r="I33">
        <v>0</v>
      </c>
      <c r="J33">
        <v>1</v>
      </c>
      <c r="K33" t="s">
        <v>19</v>
      </c>
      <c r="L33" t="s">
        <v>457</v>
      </c>
      <c r="M33">
        <v>11.28</v>
      </c>
      <c r="N33">
        <v>11</v>
      </c>
      <c r="O33">
        <v>11.7</v>
      </c>
      <c r="P33">
        <v>11.35</v>
      </c>
      <c r="Q33" t="s">
        <v>21</v>
      </c>
      <c r="R33">
        <v>7.3150000000000004</v>
      </c>
      <c r="S33" t="s">
        <v>458</v>
      </c>
      <c r="T33">
        <v>84</v>
      </c>
      <c r="U33">
        <v>84.9</v>
      </c>
      <c r="V33">
        <v>86.3</v>
      </c>
      <c r="W33">
        <v>85.6</v>
      </c>
      <c r="X33" t="s">
        <v>21</v>
      </c>
      <c r="Y33">
        <v>11.089</v>
      </c>
      <c r="Z33">
        <f t="shared" si="0"/>
        <v>11.089</v>
      </c>
      <c r="AA33">
        <v>0.112015</v>
      </c>
      <c r="AB33">
        <v>4.3197000000000001</v>
      </c>
      <c r="AC33">
        <f t="shared" si="1"/>
        <v>4.3196999999999999E-2</v>
      </c>
      <c r="AD33" s="8">
        <f t="shared" si="2"/>
        <v>8.2191780821917804E-2</v>
      </c>
      <c r="AE33">
        <f t="shared" si="3"/>
        <v>0.54867229363800929</v>
      </c>
      <c r="AF33">
        <f t="shared" si="4"/>
        <v>-0.45132770636199071</v>
      </c>
      <c r="AG33">
        <f t="shared" si="5"/>
        <v>9.7344587276018579E-2</v>
      </c>
    </row>
    <row r="34" spans="1:33" x14ac:dyDescent="0.25">
      <c r="A34" s="1">
        <v>45708</v>
      </c>
      <c r="B34">
        <v>6117.52</v>
      </c>
      <c r="C34">
        <v>6120</v>
      </c>
      <c r="D34" s="1">
        <v>45709</v>
      </c>
      <c r="E34" s="1">
        <v>45737</v>
      </c>
      <c r="F34">
        <v>30</v>
      </c>
      <c r="G34">
        <v>1</v>
      </c>
      <c r="H34">
        <v>29</v>
      </c>
      <c r="I34">
        <v>0</v>
      </c>
      <c r="J34">
        <v>1</v>
      </c>
      <c r="K34" t="s">
        <v>19</v>
      </c>
      <c r="L34" t="s">
        <v>437</v>
      </c>
      <c r="M34">
        <v>7</v>
      </c>
      <c r="N34">
        <v>7.1</v>
      </c>
      <c r="O34">
        <v>8</v>
      </c>
      <c r="P34">
        <v>7.55</v>
      </c>
      <c r="Q34" t="s">
        <v>21</v>
      </c>
      <c r="R34">
        <v>7.51</v>
      </c>
      <c r="S34" t="s">
        <v>438</v>
      </c>
      <c r="T34">
        <v>86.84</v>
      </c>
      <c r="U34">
        <v>86.6</v>
      </c>
      <c r="V34">
        <v>87.8</v>
      </c>
      <c r="W34">
        <v>87.199999999999989</v>
      </c>
      <c r="X34" t="s">
        <v>21</v>
      </c>
      <c r="Y34">
        <v>11.228999999999999</v>
      </c>
      <c r="Z34">
        <f t="shared" si="0"/>
        <v>11.228999999999999</v>
      </c>
      <c r="AA34">
        <v>0.11395</v>
      </c>
      <c r="AB34">
        <v>4.3140999999999998</v>
      </c>
      <c r="AC34">
        <f t="shared" si="1"/>
        <v>4.3140999999999999E-2</v>
      </c>
      <c r="AD34" s="8">
        <f t="shared" si="2"/>
        <v>8.2191780821917804E-2</v>
      </c>
      <c r="AE34">
        <f t="shared" si="3"/>
        <v>0.54477362727619694</v>
      </c>
      <c r="AF34">
        <f t="shared" si="4"/>
        <v>-0.45522637272380306</v>
      </c>
      <c r="AG34">
        <f t="shared" si="5"/>
        <v>8.9547254552393873E-2</v>
      </c>
    </row>
    <row r="35" spans="1:33" x14ac:dyDescent="0.25">
      <c r="A35" s="1">
        <v>45709</v>
      </c>
      <c r="B35">
        <v>6013.13</v>
      </c>
      <c r="C35">
        <v>6015</v>
      </c>
      <c r="D35" s="1">
        <v>45737</v>
      </c>
      <c r="E35" s="1">
        <v>45764</v>
      </c>
      <c r="F35">
        <v>30</v>
      </c>
      <c r="G35">
        <v>28</v>
      </c>
      <c r="H35">
        <v>55</v>
      </c>
      <c r="I35">
        <v>0.92592592592592593</v>
      </c>
      <c r="J35">
        <v>7.407407407407407E-2</v>
      </c>
      <c r="K35" t="s">
        <v>19</v>
      </c>
      <c r="L35" t="s">
        <v>459</v>
      </c>
      <c r="M35">
        <v>102.8</v>
      </c>
      <c r="N35">
        <v>100.4</v>
      </c>
      <c r="O35">
        <v>101.9</v>
      </c>
      <c r="P35">
        <v>101.15</v>
      </c>
      <c r="Q35" t="s">
        <v>21</v>
      </c>
      <c r="R35">
        <v>13.858000000000001</v>
      </c>
      <c r="S35" t="s">
        <v>460</v>
      </c>
      <c r="T35">
        <v>150.30000000000001</v>
      </c>
      <c r="U35">
        <v>146.69999999999999</v>
      </c>
      <c r="V35">
        <v>148.9</v>
      </c>
      <c r="W35">
        <v>147.80000000000001</v>
      </c>
      <c r="X35" t="s">
        <v>21</v>
      </c>
      <c r="Y35">
        <v>13.746</v>
      </c>
      <c r="Z35">
        <f t="shared" si="0"/>
        <v>13.849703703703705</v>
      </c>
      <c r="AA35">
        <v>0.13998296299999999</v>
      </c>
      <c r="AB35">
        <v>4.306</v>
      </c>
      <c r="AC35">
        <f t="shared" si="1"/>
        <v>4.3060000000000001E-2</v>
      </c>
      <c r="AD35" s="8">
        <f t="shared" si="2"/>
        <v>8.2191780821917804E-2</v>
      </c>
      <c r="AE35">
        <f t="shared" si="3"/>
        <v>0.54002898869237903</v>
      </c>
      <c r="AF35">
        <f t="shared" si="4"/>
        <v>-0.45997101130762097</v>
      </c>
      <c r="AG35">
        <f t="shared" si="5"/>
        <v>8.0057977384758061E-2</v>
      </c>
    </row>
    <row r="36" spans="1:33" x14ac:dyDescent="0.25">
      <c r="A36" s="1">
        <v>45712</v>
      </c>
      <c r="B36">
        <v>5983.25</v>
      </c>
      <c r="C36">
        <v>5985</v>
      </c>
      <c r="D36" s="1">
        <v>45737</v>
      </c>
      <c r="E36" s="1">
        <v>45764</v>
      </c>
      <c r="F36">
        <v>30</v>
      </c>
      <c r="G36">
        <v>25</v>
      </c>
      <c r="H36">
        <v>52</v>
      </c>
      <c r="I36">
        <v>0.81481481481481477</v>
      </c>
      <c r="J36">
        <v>0.18518518518518517</v>
      </c>
      <c r="K36" t="s">
        <v>19</v>
      </c>
      <c r="L36" t="s">
        <v>461</v>
      </c>
      <c r="M36">
        <v>102.95</v>
      </c>
      <c r="N36">
        <v>106</v>
      </c>
      <c r="O36">
        <v>107.9</v>
      </c>
      <c r="P36">
        <v>106.95</v>
      </c>
      <c r="Q36" t="s">
        <v>21</v>
      </c>
      <c r="R36">
        <v>14.707000000000001</v>
      </c>
      <c r="S36" t="s">
        <v>462</v>
      </c>
      <c r="T36">
        <v>159.13999999999999</v>
      </c>
      <c r="U36">
        <v>152.5</v>
      </c>
      <c r="V36">
        <v>154.6</v>
      </c>
      <c r="W36">
        <v>153.55000000000001</v>
      </c>
      <c r="X36" t="s">
        <v>21</v>
      </c>
      <c r="Y36">
        <v>14.260999999999999</v>
      </c>
      <c r="Z36">
        <f t="shared" si="0"/>
        <v>14.624407407407407</v>
      </c>
      <c r="AA36">
        <v>0.14749000000000001</v>
      </c>
      <c r="AB36">
        <v>4.3079999999999998</v>
      </c>
      <c r="AC36">
        <f t="shared" si="1"/>
        <v>4.308E-2</v>
      </c>
      <c r="AD36" s="8">
        <f t="shared" si="2"/>
        <v>8.2191780821917804E-2</v>
      </c>
      <c r="AE36">
        <f t="shared" si="3"/>
        <v>0.53901990027967372</v>
      </c>
      <c r="AF36">
        <f t="shared" si="4"/>
        <v>-0.46098009972032628</v>
      </c>
      <c r="AG36">
        <f t="shared" si="5"/>
        <v>7.803980055934745E-2</v>
      </c>
    </row>
    <row r="37" spans="1:33" x14ac:dyDescent="0.25">
      <c r="A37" s="1">
        <v>45713</v>
      </c>
      <c r="B37">
        <v>5955.25</v>
      </c>
      <c r="C37">
        <v>5955</v>
      </c>
      <c r="D37" s="1">
        <v>45737</v>
      </c>
      <c r="E37" s="1">
        <v>45764</v>
      </c>
      <c r="F37">
        <v>30</v>
      </c>
      <c r="G37">
        <v>24</v>
      </c>
      <c r="H37">
        <v>51</v>
      </c>
      <c r="I37">
        <v>0.77777777777777779</v>
      </c>
      <c r="J37">
        <v>0.22222222222222221</v>
      </c>
      <c r="K37" t="s">
        <v>19</v>
      </c>
      <c r="L37" t="s">
        <v>463</v>
      </c>
      <c r="M37">
        <v>108.5</v>
      </c>
      <c r="N37">
        <v>110.3</v>
      </c>
      <c r="O37">
        <v>111.5</v>
      </c>
      <c r="P37">
        <v>110.9</v>
      </c>
      <c r="Q37" t="s">
        <v>21</v>
      </c>
      <c r="R37">
        <v>15.441000000000001</v>
      </c>
      <c r="S37" t="s">
        <v>464</v>
      </c>
      <c r="T37">
        <v>142</v>
      </c>
      <c r="U37">
        <v>156.80000000000001</v>
      </c>
      <c r="V37">
        <v>158.9</v>
      </c>
      <c r="W37">
        <v>157.85000000000002</v>
      </c>
      <c r="X37" t="s">
        <v>21</v>
      </c>
      <c r="Y37">
        <v>14.7</v>
      </c>
      <c r="Z37">
        <f t="shared" si="0"/>
        <v>15.276333333333334</v>
      </c>
      <c r="AA37">
        <v>0.15411</v>
      </c>
      <c r="AB37">
        <v>4.2845000000000004</v>
      </c>
      <c r="AC37">
        <f t="shared" si="1"/>
        <v>4.2845000000000001E-2</v>
      </c>
      <c r="AD37" s="8">
        <f t="shared" si="2"/>
        <v>8.2191780821917804E-2</v>
      </c>
      <c r="AE37">
        <f t="shared" si="3"/>
        <v>0.5409176317794544</v>
      </c>
      <c r="AF37">
        <f t="shared" si="4"/>
        <v>-0.4590823682205456</v>
      </c>
      <c r="AG37">
        <f t="shared" si="5"/>
        <v>8.18352635589088E-2</v>
      </c>
    </row>
    <row r="38" spans="1:33" x14ac:dyDescent="0.25">
      <c r="A38" s="1">
        <v>45714</v>
      </c>
      <c r="B38">
        <v>5956.06</v>
      </c>
      <c r="C38">
        <v>5955</v>
      </c>
      <c r="D38" s="1">
        <v>45737</v>
      </c>
      <c r="E38" s="1">
        <v>45764</v>
      </c>
      <c r="F38">
        <v>30</v>
      </c>
      <c r="G38">
        <v>23</v>
      </c>
      <c r="H38">
        <v>50</v>
      </c>
      <c r="I38">
        <v>0.7407407407407407</v>
      </c>
      <c r="J38">
        <v>0.25925925925925924</v>
      </c>
      <c r="K38" t="s">
        <v>19</v>
      </c>
      <c r="L38" t="s">
        <v>463</v>
      </c>
      <c r="M38">
        <v>101</v>
      </c>
      <c r="N38">
        <v>111.6</v>
      </c>
      <c r="O38">
        <v>115.4</v>
      </c>
      <c r="P38">
        <v>113.5</v>
      </c>
      <c r="Q38" t="s">
        <v>21</v>
      </c>
      <c r="R38">
        <v>15.773</v>
      </c>
      <c r="S38" t="s">
        <v>464</v>
      </c>
      <c r="T38">
        <v>146.85</v>
      </c>
      <c r="U38">
        <v>159</v>
      </c>
      <c r="V38">
        <v>162.5</v>
      </c>
      <c r="W38">
        <v>160.75</v>
      </c>
      <c r="X38" t="s">
        <v>21</v>
      </c>
      <c r="Y38">
        <v>14.776999999999999</v>
      </c>
      <c r="Z38">
        <f t="shared" si="0"/>
        <v>15.514777777777777</v>
      </c>
      <c r="AA38">
        <v>0.15656851899999999</v>
      </c>
      <c r="AB38">
        <v>4.2866</v>
      </c>
      <c r="AC38">
        <f t="shared" si="1"/>
        <v>4.2866000000000001E-2</v>
      </c>
      <c r="AD38" s="8">
        <f t="shared" si="2"/>
        <v>8.2191780821917804E-2</v>
      </c>
      <c r="AE38">
        <f t="shared" si="3"/>
        <v>0.54177247217642854</v>
      </c>
      <c r="AF38">
        <f t="shared" si="4"/>
        <v>-0.45822752782357146</v>
      </c>
      <c r="AG38">
        <f t="shared" si="5"/>
        <v>8.3544944352857087E-2</v>
      </c>
    </row>
    <row r="39" spans="1:33" x14ac:dyDescent="0.25">
      <c r="A39" s="1">
        <v>45715</v>
      </c>
      <c r="B39">
        <v>5861.57</v>
      </c>
      <c r="C39">
        <v>5860</v>
      </c>
      <c r="D39" s="1">
        <v>45737</v>
      </c>
      <c r="E39" s="1">
        <v>45764</v>
      </c>
      <c r="F39">
        <v>30</v>
      </c>
      <c r="G39">
        <v>22</v>
      </c>
      <c r="H39">
        <v>49</v>
      </c>
      <c r="I39">
        <v>0.70370370370370372</v>
      </c>
      <c r="J39">
        <v>0.29629629629629628</v>
      </c>
      <c r="K39" t="s">
        <v>19</v>
      </c>
      <c r="L39" t="s">
        <v>465</v>
      </c>
      <c r="M39">
        <v>111.93</v>
      </c>
      <c r="N39">
        <v>114.8</v>
      </c>
      <c r="O39">
        <v>116.9</v>
      </c>
      <c r="P39">
        <v>115.85</v>
      </c>
      <c r="Q39" t="s">
        <v>21</v>
      </c>
      <c r="R39">
        <v>17.965</v>
      </c>
      <c r="S39" t="s">
        <v>466</v>
      </c>
      <c r="T39">
        <v>176.6</v>
      </c>
      <c r="U39">
        <v>164.3</v>
      </c>
      <c r="V39">
        <v>166.6</v>
      </c>
      <c r="W39">
        <v>165.45</v>
      </c>
      <c r="X39" t="s">
        <v>21</v>
      </c>
      <c r="Y39">
        <v>16.651</v>
      </c>
      <c r="Z39">
        <f t="shared" si="0"/>
        <v>17.575666666666667</v>
      </c>
      <c r="AA39">
        <v>0.17633296300000001</v>
      </c>
      <c r="AB39">
        <v>4.3038999999999996</v>
      </c>
      <c r="AC39">
        <f t="shared" si="1"/>
        <v>4.3038999999999994E-2</v>
      </c>
      <c r="AD39" s="8">
        <f t="shared" si="2"/>
        <v>8.2191780821917804E-2</v>
      </c>
      <c r="AE39">
        <f t="shared" si="3"/>
        <v>0.54004637933451605</v>
      </c>
      <c r="AF39">
        <f t="shared" si="4"/>
        <v>-0.45995362066548395</v>
      </c>
      <c r="AG39">
        <f t="shared" si="5"/>
        <v>8.0092758669032094E-2</v>
      </c>
    </row>
    <row r="40" spans="1:33" x14ac:dyDescent="0.25">
      <c r="A40" s="1">
        <v>45716</v>
      </c>
      <c r="B40">
        <v>5954.5</v>
      </c>
      <c r="C40">
        <v>5955</v>
      </c>
      <c r="D40" s="1">
        <v>45737</v>
      </c>
      <c r="E40" s="1">
        <v>45764</v>
      </c>
      <c r="F40">
        <v>30</v>
      </c>
      <c r="G40">
        <v>21</v>
      </c>
      <c r="H40">
        <v>48</v>
      </c>
      <c r="I40">
        <v>0.66666666666666663</v>
      </c>
      <c r="J40">
        <v>0.33333333333333331</v>
      </c>
      <c r="K40" t="s">
        <v>19</v>
      </c>
      <c r="L40" t="s">
        <v>463</v>
      </c>
      <c r="M40">
        <v>94</v>
      </c>
      <c r="N40">
        <v>94.3</v>
      </c>
      <c r="O40">
        <v>95.2</v>
      </c>
      <c r="P40">
        <v>94.75</v>
      </c>
      <c r="Q40" t="s">
        <v>21</v>
      </c>
      <c r="R40">
        <v>16.023</v>
      </c>
      <c r="S40" t="s">
        <v>464</v>
      </c>
      <c r="T40">
        <v>111.9</v>
      </c>
      <c r="U40">
        <v>144.1</v>
      </c>
      <c r="V40">
        <v>146.30000000000001</v>
      </c>
      <c r="W40">
        <v>145.19999999999999</v>
      </c>
      <c r="X40" t="s">
        <v>21</v>
      </c>
      <c r="Y40">
        <v>15.294</v>
      </c>
      <c r="Z40">
        <f t="shared" si="0"/>
        <v>15.779999999999998</v>
      </c>
      <c r="AA40">
        <v>0.158038333</v>
      </c>
      <c r="AB40">
        <v>4.2931999999999997</v>
      </c>
      <c r="AC40">
        <f t="shared" si="1"/>
        <v>4.2931999999999998E-2</v>
      </c>
      <c r="AD40" s="8">
        <f t="shared" si="2"/>
        <v>8.2191780821917804E-2</v>
      </c>
      <c r="AE40">
        <f t="shared" si="3"/>
        <v>0.53930465998591526</v>
      </c>
      <c r="AF40">
        <f t="shared" si="4"/>
        <v>-0.46069534001408474</v>
      </c>
      <c r="AG40">
        <f t="shared" si="5"/>
        <v>7.8609319971830516E-2</v>
      </c>
    </row>
    <row r="41" spans="1:33" x14ac:dyDescent="0.25">
      <c r="A41" s="1">
        <v>45719</v>
      </c>
      <c r="B41">
        <v>5849.72</v>
      </c>
      <c r="C41">
        <v>5850</v>
      </c>
      <c r="D41" s="1">
        <v>45737</v>
      </c>
      <c r="E41" s="1">
        <v>45764</v>
      </c>
      <c r="F41">
        <v>30</v>
      </c>
      <c r="G41">
        <v>18</v>
      </c>
      <c r="H41">
        <v>45</v>
      </c>
      <c r="I41">
        <v>0.55555555555555558</v>
      </c>
      <c r="J41">
        <v>0.44444444444444442</v>
      </c>
      <c r="K41" t="s">
        <v>19</v>
      </c>
      <c r="L41" t="s">
        <v>467</v>
      </c>
      <c r="M41">
        <v>115</v>
      </c>
      <c r="N41">
        <v>115.5</v>
      </c>
      <c r="O41">
        <v>117.1</v>
      </c>
      <c r="P41">
        <v>116.3</v>
      </c>
      <c r="Q41" t="s">
        <v>21</v>
      </c>
      <c r="R41">
        <v>18.925999999999998</v>
      </c>
      <c r="S41" t="s">
        <v>468</v>
      </c>
      <c r="T41">
        <v>166.5</v>
      </c>
      <c r="U41">
        <v>168.5</v>
      </c>
      <c r="V41">
        <v>170.6</v>
      </c>
      <c r="W41">
        <v>169.55</v>
      </c>
      <c r="X41" t="s">
        <v>21</v>
      </c>
      <c r="Y41">
        <v>17.417000000000002</v>
      </c>
      <c r="Z41">
        <f t="shared" si="0"/>
        <v>18.255333333333333</v>
      </c>
      <c r="AA41">
        <v>0.18350222199999999</v>
      </c>
      <c r="AB41">
        <v>4.3106</v>
      </c>
      <c r="AC41">
        <f t="shared" si="1"/>
        <v>4.3105999999999998E-2</v>
      </c>
      <c r="AD41" s="8">
        <f t="shared" si="2"/>
        <v>8.2191780821917804E-2</v>
      </c>
      <c r="AE41">
        <f t="shared" si="3"/>
        <v>0.53694502594670801</v>
      </c>
      <c r="AF41">
        <f t="shared" si="4"/>
        <v>-0.46305497405329199</v>
      </c>
      <c r="AG41">
        <f t="shared" si="5"/>
        <v>7.389005189341602E-2</v>
      </c>
    </row>
    <row r="42" spans="1:33" x14ac:dyDescent="0.25">
      <c r="A42" s="1">
        <v>45720</v>
      </c>
      <c r="B42">
        <v>5778.15</v>
      </c>
      <c r="C42">
        <v>5780</v>
      </c>
      <c r="D42" s="1">
        <v>45737</v>
      </c>
      <c r="E42" s="1">
        <v>45764</v>
      </c>
      <c r="F42">
        <v>30</v>
      </c>
      <c r="G42">
        <v>17</v>
      </c>
      <c r="H42">
        <v>44</v>
      </c>
      <c r="I42">
        <v>0.51851851851851849</v>
      </c>
      <c r="J42">
        <v>0.48148148148148145</v>
      </c>
      <c r="K42" t="s">
        <v>19</v>
      </c>
      <c r="L42" t="s">
        <v>469</v>
      </c>
      <c r="M42">
        <v>124.5</v>
      </c>
      <c r="N42">
        <v>130.30000000000001</v>
      </c>
      <c r="O42">
        <v>131.80000000000001</v>
      </c>
      <c r="P42">
        <v>131.05000000000001</v>
      </c>
      <c r="Q42" t="s">
        <v>21</v>
      </c>
      <c r="R42">
        <v>20.396999999999998</v>
      </c>
      <c r="S42" t="s">
        <v>470</v>
      </c>
      <c r="T42">
        <v>184</v>
      </c>
      <c r="U42">
        <v>184.1</v>
      </c>
      <c r="V42">
        <v>186.3</v>
      </c>
      <c r="W42">
        <v>185.2</v>
      </c>
      <c r="X42" t="s">
        <v>21</v>
      </c>
      <c r="Y42">
        <v>18.266999999999999</v>
      </c>
      <c r="Z42">
        <f t="shared" si="0"/>
        <v>19.371444444444442</v>
      </c>
      <c r="AA42">
        <v>0.19487907400000001</v>
      </c>
      <c r="AB42">
        <v>4.3177000000000003</v>
      </c>
      <c r="AC42">
        <f t="shared" si="1"/>
        <v>4.3177E-2</v>
      </c>
      <c r="AD42" s="8">
        <f t="shared" si="2"/>
        <v>8.2191780821917804E-2</v>
      </c>
      <c r="AE42">
        <f t="shared" si="3"/>
        <v>0.53415708734452261</v>
      </c>
      <c r="AF42">
        <f t="shared" si="4"/>
        <v>-0.46584291265547739</v>
      </c>
      <c r="AG42">
        <f t="shared" si="5"/>
        <v>6.8314174689045215E-2</v>
      </c>
    </row>
    <row r="43" spans="1:33" x14ac:dyDescent="0.25">
      <c r="A43" s="1">
        <v>45721</v>
      </c>
      <c r="B43">
        <v>5842.63</v>
      </c>
      <c r="C43">
        <v>5845</v>
      </c>
      <c r="D43" s="1">
        <v>45737</v>
      </c>
      <c r="E43" s="1">
        <v>45764</v>
      </c>
      <c r="F43">
        <v>30</v>
      </c>
      <c r="G43">
        <v>16</v>
      </c>
      <c r="H43">
        <v>43</v>
      </c>
      <c r="I43">
        <v>0.48148148148148145</v>
      </c>
      <c r="J43">
        <v>0.51851851851851849</v>
      </c>
      <c r="K43" t="s">
        <v>19</v>
      </c>
      <c r="L43" t="s">
        <v>471</v>
      </c>
      <c r="M43">
        <v>99</v>
      </c>
      <c r="N43">
        <v>97.4</v>
      </c>
      <c r="O43">
        <v>99.5</v>
      </c>
      <c r="P43">
        <v>98.45</v>
      </c>
      <c r="Q43" t="s">
        <v>21</v>
      </c>
      <c r="R43">
        <v>19.536000000000001</v>
      </c>
      <c r="S43" t="s">
        <v>472</v>
      </c>
      <c r="T43" t="s">
        <v>21</v>
      </c>
      <c r="U43">
        <v>149.19999999999999</v>
      </c>
      <c r="V43">
        <v>152.1</v>
      </c>
      <c r="W43">
        <v>150.64999999999998</v>
      </c>
      <c r="X43" t="s">
        <v>21</v>
      </c>
      <c r="Y43">
        <v>17.212</v>
      </c>
      <c r="Z43">
        <f t="shared" si="0"/>
        <v>18.330962962962964</v>
      </c>
      <c r="AA43">
        <v>0.18432185200000001</v>
      </c>
      <c r="AB43">
        <v>4.3044000000000002</v>
      </c>
      <c r="AC43">
        <f t="shared" si="1"/>
        <v>4.3043999999999999E-2</v>
      </c>
      <c r="AD43" s="8">
        <f t="shared" si="2"/>
        <v>8.2191780821917804E-2</v>
      </c>
      <c r="AE43">
        <f t="shared" si="3"/>
        <v>0.53414633064669148</v>
      </c>
      <c r="AF43">
        <f t="shared" si="4"/>
        <v>-0.46585366935330852</v>
      </c>
      <c r="AG43">
        <f t="shared" si="5"/>
        <v>6.8292661293382961E-2</v>
      </c>
    </row>
    <row r="44" spans="1:33" x14ac:dyDescent="0.25">
      <c r="A44" s="1">
        <v>45722</v>
      </c>
      <c r="B44">
        <v>5738.52</v>
      </c>
      <c r="C44">
        <v>5740</v>
      </c>
      <c r="D44" s="1">
        <v>45737</v>
      </c>
      <c r="E44" s="1">
        <v>45764</v>
      </c>
      <c r="F44">
        <v>30</v>
      </c>
      <c r="G44">
        <v>15</v>
      </c>
      <c r="H44">
        <v>42</v>
      </c>
      <c r="I44">
        <v>0.44444444444444442</v>
      </c>
      <c r="J44">
        <v>0.55555555555555558</v>
      </c>
      <c r="K44" t="s">
        <v>19</v>
      </c>
      <c r="L44" t="s">
        <v>473</v>
      </c>
      <c r="M44">
        <v>117</v>
      </c>
      <c r="N44">
        <v>119.1</v>
      </c>
      <c r="O44">
        <v>121.2</v>
      </c>
      <c r="P44">
        <v>120.15</v>
      </c>
      <c r="Q44" t="s">
        <v>21</v>
      </c>
      <c r="R44">
        <v>23.106000000000002</v>
      </c>
      <c r="S44" t="s">
        <v>474</v>
      </c>
      <c r="T44">
        <v>169.8</v>
      </c>
      <c r="U44">
        <v>176.2</v>
      </c>
      <c r="V44">
        <v>178.4</v>
      </c>
      <c r="W44">
        <v>177.3</v>
      </c>
      <c r="X44" t="s">
        <v>21</v>
      </c>
      <c r="Y44">
        <v>19.884</v>
      </c>
      <c r="Z44">
        <f t="shared" si="0"/>
        <v>21.316000000000003</v>
      </c>
      <c r="AA44">
        <v>0.21380444400000001</v>
      </c>
      <c r="AB44">
        <v>4.3014000000000001</v>
      </c>
      <c r="AC44">
        <f t="shared" si="1"/>
        <v>4.3014000000000004E-2</v>
      </c>
      <c r="AD44" s="8">
        <f t="shared" si="2"/>
        <v>8.2191780821917804E-2</v>
      </c>
      <c r="AE44">
        <f t="shared" si="3"/>
        <v>0.53351889482105064</v>
      </c>
      <c r="AF44">
        <f t="shared" si="4"/>
        <v>-0.46648110517894936</v>
      </c>
      <c r="AG44">
        <f t="shared" si="5"/>
        <v>6.7037789642101275E-2</v>
      </c>
    </row>
    <row r="45" spans="1:33" x14ac:dyDescent="0.25">
      <c r="A45" s="1">
        <v>45723</v>
      </c>
      <c r="B45">
        <v>5770.2</v>
      </c>
      <c r="C45">
        <v>5770</v>
      </c>
      <c r="D45" s="1">
        <v>45737</v>
      </c>
      <c r="E45" s="1">
        <v>45764</v>
      </c>
      <c r="F45">
        <v>30</v>
      </c>
      <c r="G45">
        <v>14</v>
      </c>
      <c r="H45">
        <v>41</v>
      </c>
      <c r="I45">
        <v>0.40740740740740738</v>
      </c>
      <c r="J45">
        <v>0.59259259259259256</v>
      </c>
      <c r="K45" t="s">
        <v>19</v>
      </c>
      <c r="L45" t="s">
        <v>475</v>
      </c>
      <c r="M45">
        <v>97</v>
      </c>
      <c r="N45">
        <v>96</v>
      </c>
      <c r="O45">
        <v>97.5</v>
      </c>
      <c r="P45">
        <v>96.75</v>
      </c>
      <c r="Q45" t="s">
        <v>21</v>
      </c>
      <c r="R45">
        <v>21.178000000000001</v>
      </c>
      <c r="S45" t="s">
        <v>476</v>
      </c>
      <c r="T45">
        <v>150.34</v>
      </c>
      <c r="U45">
        <v>153.4</v>
      </c>
      <c r="V45">
        <v>158</v>
      </c>
      <c r="W45">
        <v>155.69999999999999</v>
      </c>
      <c r="X45" t="s">
        <v>21</v>
      </c>
      <c r="Y45">
        <v>18.626000000000001</v>
      </c>
      <c r="Z45">
        <f t="shared" si="0"/>
        <v>19.665703703703706</v>
      </c>
      <c r="AA45">
        <v>0.19796277800000001</v>
      </c>
      <c r="AB45">
        <v>4.2855999999999996</v>
      </c>
      <c r="AC45">
        <f t="shared" si="1"/>
        <v>4.2855999999999998E-2</v>
      </c>
      <c r="AD45" s="8">
        <f t="shared" si="2"/>
        <v>8.2191780821917804E-2</v>
      </c>
      <c r="AE45">
        <f t="shared" si="3"/>
        <v>0.5362744323815587</v>
      </c>
      <c r="AF45">
        <f t="shared" si="4"/>
        <v>-0.4637255676184413</v>
      </c>
      <c r="AG45">
        <f t="shared" si="5"/>
        <v>7.2548864763117393E-2</v>
      </c>
    </row>
    <row r="46" spans="1:33" x14ac:dyDescent="0.25">
      <c r="A46" s="1">
        <v>45726</v>
      </c>
      <c r="B46">
        <v>5614.56</v>
      </c>
      <c r="C46">
        <v>5615</v>
      </c>
      <c r="D46" s="1">
        <v>45737</v>
      </c>
      <c r="E46" s="1">
        <v>45764</v>
      </c>
      <c r="F46">
        <v>30</v>
      </c>
      <c r="G46">
        <v>11</v>
      </c>
      <c r="H46">
        <v>38</v>
      </c>
      <c r="I46">
        <v>0.29629629629629628</v>
      </c>
      <c r="J46">
        <v>0.70370370370370372</v>
      </c>
      <c r="K46" t="s">
        <v>19</v>
      </c>
      <c r="L46" t="s">
        <v>477</v>
      </c>
      <c r="M46">
        <v>104</v>
      </c>
      <c r="N46">
        <v>112.1</v>
      </c>
      <c r="O46">
        <v>114.2</v>
      </c>
      <c r="P46">
        <v>113.15</v>
      </c>
      <c r="Q46" t="s">
        <v>21</v>
      </c>
      <c r="R46">
        <v>25.489000000000001</v>
      </c>
      <c r="S46" t="s">
        <v>478</v>
      </c>
      <c r="T46">
        <v>177.1</v>
      </c>
      <c r="U46">
        <v>177.2</v>
      </c>
      <c r="V46">
        <v>180</v>
      </c>
      <c r="W46">
        <v>178.6</v>
      </c>
      <c r="X46" t="s">
        <v>21</v>
      </c>
      <c r="Y46">
        <v>21.942</v>
      </c>
      <c r="Z46">
        <f t="shared" si="0"/>
        <v>22.992962962962963</v>
      </c>
      <c r="AA46">
        <v>0.22893074099999999</v>
      </c>
      <c r="AB46">
        <v>4.2953000000000001</v>
      </c>
      <c r="AC46">
        <f t="shared" si="1"/>
        <v>4.2952999999999998E-2</v>
      </c>
      <c r="AD46" s="8">
        <f t="shared" si="2"/>
        <v>8.2191780821917804E-2</v>
      </c>
      <c r="AE46">
        <f t="shared" si="3"/>
        <v>0.53403325683449554</v>
      </c>
      <c r="AF46">
        <f t="shared" si="4"/>
        <v>-0.46596674316550446</v>
      </c>
      <c r="AG46">
        <f t="shared" si="5"/>
        <v>6.806651366899108E-2</v>
      </c>
    </row>
    <row r="47" spans="1:33" x14ac:dyDescent="0.25">
      <c r="A47" s="1">
        <v>45727</v>
      </c>
      <c r="B47">
        <v>5572.07</v>
      </c>
      <c r="C47">
        <v>5570</v>
      </c>
      <c r="D47" s="1">
        <v>45737</v>
      </c>
      <c r="E47" s="1">
        <v>45764</v>
      </c>
      <c r="F47">
        <v>30</v>
      </c>
      <c r="G47">
        <v>10</v>
      </c>
      <c r="H47">
        <v>37</v>
      </c>
      <c r="I47">
        <v>0.25925925925925924</v>
      </c>
      <c r="J47">
        <v>0.7407407407407407</v>
      </c>
      <c r="K47" t="s">
        <v>19</v>
      </c>
      <c r="L47" t="s">
        <v>479</v>
      </c>
      <c r="M47">
        <v>118.99</v>
      </c>
      <c r="N47">
        <v>102.6</v>
      </c>
      <c r="O47">
        <v>104.5</v>
      </c>
      <c r="P47">
        <v>103.55</v>
      </c>
      <c r="Q47" t="s">
        <v>21</v>
      </c>
      <c r="R47">
        <v>25.683</v>
      </c>
      <c r="S47" t="s">
        <v>480</v>
      </c>
      <c r="T47">
        <v>183.37</v>
      </c>
      <c r="U47">
        <v>172.3</v>
      </c>
      <c r="V47">
        <v>174.6</v>
      </c>
      <c r="W47">
        <v>173.45</v>
      </c>
      <c r="X47" t="s">
        <v>21</v>
      </c>
      <c r="Y47">
        <v>22.181000000000001</v>
      </c>
      <c r="Z47">
        <f t="shared" si="0"/>
        <v>23.088925925925924</v>
      </c>
      <c r="AA47">
        <v>0.23091055599999999</v>
      </c>
      <c r="AB47">
        <v>4.2972999999999999</v>
      </c>
      <c r="AC47">
        <f t="shared" si="1"/>
        <v>4.2972999999999997E-2</v>
      </c>
      <c r="AD47" s="8">
        <f t="shared" si="2"/>
        <v>8.2191780821917804E-2</v>
      </c>
      <c r="AE47">
        <f t="shared" si="3"/>
        <v>0.53667745679386203</v>
      </c>
      <c r="AF47">
        <f t="shared" si="4"/>
        <v>-0.46332254320613797</v>
      </c>
      <c r="AG47">
        <f t="shared" si="5"/>
        <v>7.3354913587724058E-2</v>
      </c>
    </row>
    <row r="48" spans="1:33" x14ac:dyDescent="0.25">
      <c r="A48" s="1">
        <v>45728</v>
      </c>
      <c r="B48">
        <v>5599.3</v>
      </c>
      <c r="C48">
        <v>5600</v>
      </c>
      <c r="D48" s="1">
        <v>45737</v>
      </c>
      <c r="E48" s="1">
        <v>45764</v>
      </c>
      <c r="F48">
        <v>30</v>
      </c>
      <c r="G48">
        <v>9</v>
      </c>
      <c r="H48">
        <v>36</v>
      </c>
      <c r="I48">
        <v>0.22222222222222221</v>
      </c>
      <c r="J48">
        <v>0.77777777777777779</v>
      </c>
      <c r="K48" t="s">
        <v>19</v>
      </c>
      <c r="L48" t="s">
        <v>481</v>
      </c>
      <c r="M48">
        <v>83</v>
      </c>
      <c r="N48">
        <v>81.599999999999994</v>
      </c>
      <c r="O48">
        <v>83.3</v>
      </c>
      <c r="P48">
        <v>82.449999999999989</v>
      </c>
      <c r="Q48" t="s">
        <v>21</v>
      </c>
      <c r="R48">
        <v>22.739000000000001</v>
      </c>
      <c r="S48" t="s">
        <v>482</v>
      </c>
      <c r="T48">
        <v>154</v>
      </c>
      <c r="U48">
        <v>152.69999999999999</v>
      </c>
      <c r="V48">
        <v>154.80000000000001</v>
      </c>
      <c r="W48">
        <v>153.75</v>
      </c>
      <c r="X48" t="s">
        <v>21</v>
      </c>
      <c r="Y48">
        <v>20.288</v>
      </c>
      <c r="Z48">
        <f t="shared" si="0"/>
        <v>20.832666666666668</v>
      </c>
      <c r="AA48">
        <v>0.20916611099999999</v>
      </c>
      <c r="AB48">
        <v>4.2763999999999998</v>
      </c>
      <c r="AC48">
        <f t="shared" si="1"/>
        <v>4.2763999999999996E-2</v>
      </c>
      <c r="AD48" s="8">
        <f t="shared" si="2"/>
        <v>8.2191780821917804E-2</v>
      </c>
      <c r="AE48">
        <f t="shared" si="3"/>
        <v>0.53447043646667713</v>
      </c>
      <c r="AF48">
        <f t="shared" si="4"/>
        <v>-0.46552956353332287</v>
      </c>
      <c r="AG48">
        <f t="shared" si="5"/>
        <v>6.8940872933354269E-2</v>
      </c>
    </row>
    <row r="49" spans="1:33" x14ac:dyDescent="0.25">
      <c r="A49" s="1">
        <v>45729</v>
      </c>
      <c r="B49">
        <v>5521.52</v>
      </c>
      <c r="C49">
        <v>5520</v>
      </c>
      <c r="D49" s="1">
        <v>45737</v>
      </c>
      <c r="E49" s="1">
        <v>45764</v>
      </c>
      <c r="F49">
        <v>30</v>
      </c>
      <c r="G49">
        <v>8</v>
      </c>
      <c r="H49">
        <v>35</v>
      </c>
      <c r="I49">
        <v>0.18518518518518517</v>
      </c>
      <c r="J49">
        <v>0.81481481481481477</v>
      </c>
      <c r="K49" t="s">
        <v>19</v>
      </c>
      <c r="L49" t="s">
        <v>483</v>
      </c>
      <c r="M49">
        <v>87</v>
      </c>
      <c r="N49">
        <v>87.8</v>
      </c>
      <c r="O49">
        <v>89</v>
      </c>
      <c r="P49">
        <v>88.4</v>
      </c>
      <c r="Q49" t="s">
        <v>21</v>
      </c>
      <c r="R49">
        <v>23.370999999999999</v>
      </c>
      <c r="S49" t="s">
        <v>484</v>
      </c>
      <c r="T49">
        <v>165.23</v>
      </c>
      <c r="U49">
        <v>165.6</v>
      </c>
      <c r="V49">
        <v>167.6</v>
      </c>
      <c r="W49">
        <v>166.6</v>
      </c>
      <c r="X49" t="s">
        <v>21</v>
      </c>
      <c r="Y49">
        <v>21.288</v>
      </c>
      <c r="Z49">
        <f t="shared" si="0"/>
        <v>21.67374074074074</v>
      </c>
      <c r="AA49">
        <v>0.217734444</v>
      </c>
      <c r="AB49">
        <v>4.2809999999999997</v>
      </c>
      <c r="AC49">
        <f t="shared" si="1"/>
        <v>4.2809999999999994E-2</v>
      </c>
      <c r="AD49" s="8">
        <f t="shared" si="2"/>
        <v>8.2191780821917804E-2</v>
      </c>
      <c r="AE49">
        <f t="shared" si="3"/>
        <v>0.53664695856047118</v>
      </c>
      <c r="AF49">
        <f t="shared" si="4"/>
        <v>-0.46335304143952882</v>
      </c>
      <c r="AG49">
        <f t="shared" si="5"/>
        <v>7.3293917120942353E-2</v>
      </c>
    </row>
    <row r="50" spans="1:33" x14ac:dyDescent="0.25">
      <c r="A50" s="1">
        <v>45730</v>
      </c>
      <c r="B50">
        <v>5638.94</v>
      </c>
      <c r="C50">
        <v>5640</v>
      </c>
      <c r="D50" s="1">
        <v>45737</v>
      </c>
      <c r="E50" s="1">
        <v>45764</v>
      </c>
      <c r="F50">
        <v>30</v>
      </c>
      <c r="G50">
        <v>7</v>
      </c>
      <c r="H50">
        <v>34</v>
      </c>
      <c r="I50">
        <v>0.14814814814814814</v>
      </c>
      <c r="J50">
        <v>0.85185185185185186</v>
      </c>
      <c r="K50" t="s">
        <v>19</v>
      </c>
      <c r="L50" t="s">
        <v>485</v>
      </c>
      <c r="M50">
        <v>55.4</v>
      </c>
      <c r="N50">
        <v>55.1</v>
      </c>
      <c r="O50">
        <v>56.6</v>
      </c>
      <c r="P50">
        <v>55.85</v>
      </c>
      <c r="Q50" t="s">
        <v>21</v>
      </c>
      <c r="R50">
        <v>19.715</v>
      </c>
      <c r="S50" t="s">
        <v>486</v>
      </c>
      <c r="T50">
        <v>137.80000000000001</v>
      </c>
      <c r="U50">
        <v>131</v>
      </c>
      <c r="V50">
        <v>133.5</v>
      </c>
      <c r="W50">
        <v>132.25</v>
      </c>
      <c r="X50" t="s">
        <v>21</v>
      </c>
      <c r="Y50">
        <v>18.547000000000001</v>
      </c>
      <c r="Z50">
        <f t="shared" si="0"/>
        <v>18.720037037037038</v>
      </c>
      <c r="AA50">
        <v>0.18848388899999999</v>
      </c>
      <c r="AB50">
        <v>4.2855999999999996</v>
      </c>
      <c r="AC50">
        <f t="shared" si="1"/>
        <v>4.2855999999999998E-2</v>
      </c>
      <c r="AD50" s="8">
        <f t="shared" si="2"/>
        <v>8.2191780821917804E-2</v>
      </c>
      <c r="AE50">
        <f t="shared" si="3"/>
        <v>0.5353499738894727</v>
      </c>
      <c r="AF50">
        <f t="shared" si="4"/>
        <v>-0.4646500261105273</v>
      </c>
      <c r="AG50">
        <f t="shared" si="5"/>
        <v>7.0699947778945393E-2</v>
      </c>
    </row>
    <row r="51" spans="1:33" x14ac:dyDescent="0.25">
      <c r="A51" s="1">
        <v>45733</v>
      </c>
      <c r="B51">
        <v>5675.12</v>
      </c>
      <c r="C51">
        <v>5675</v>
      </c>
      <c r="D51" s="1">
        <v>45737</v>
      </c>
      <c r="E51" s="1">
        <v>45764</v>
      </c>
      <c r="F51">
        <v>30</v>
      </c>
      <c r="G51">
        <v>4</v>
      </c>
      <c r="H51">
        <v>31</v>
      </c>
      <c r="I51">
        <v>3.7037037037037035E-2</v>
      </c>
      <c r="J51">
        <v>0.96296296296296291</v>
      </c>
      <c r="K51" t="s">
        <v>19</v>
      </c>
      <c r="L51" t="s">
        <v>487</v>
      </c>
      <c r="M51">
        <v>50.57</v>
      </c>
      <c r="N51">
        <v>51.3</v>
      </c>
      <c r="O51">
        <v>52.5</v>
      </c>
      <c r="P51">
        <v>51.9</v>
      </c>
      <c r="Q51" t="s">
        <v>21</v>
      </c>
      <c r="R51">
        <v>17.791</v>
      </c>
      <c r="S51" t="s">
        <v>488</v>
      </c>
      <c r="T51">
        <v>140.03</v>
      </c>
      <c r="U51">
        <v>129.9</v>
      </c>
      <c r="V51">
        <v>131.69999999999999</v>
      </c>
      <c r="W51">
        <v>130.80000000000001</v>
      </c>
      <c r="X51" t="s">
        <v>21</v>
      </c>
      <c r="Y51">
        <v>17.510999999999999</v>
      </c>
      <c r="Z51">
        <f t="shared" si="0"/>
        <v>17.521370370370366</v>
      </c>
      <c r="AA51">
        <v>0.175330926</v>
      </c>
      <c r="AB51">
        <v>4.3029000000000002</v>
      </c>
      <c r="AC51">
        <f t="shared" si="1"/>
        <v>4.3029000000000005E-2</v>
      </c>
      <c r="AD51" s="8">
        <f t="shared" si="2"/>
        <v>8.2191780821917804E-2</v>
      </c>
      <c r="AE51">
        <f t="shared" si="3"/>
        <v>0.53820481983399893</v>
      </c>
      <c r="AF51">
        <f t="shared" si="4"/>
        <v>-0.46179518016600107</v>
      </c>
      <c r="AG51">
        <f t="shared" si="5"/>
        <v>7.6409639667997853E-2</v>
      </c>
    </row>
    <row r="52" spans="1:33" x14ac:dyDescent="0.25">
      <c r="A52" s="1">
        <v>45734</v>
      </c>
      <c r="B52">
        <v>5614.66</v>
      </c>
      <c r="C52">
        <v>5615</v>
      </c>
      <c r="D52" s="1">
        <v>45737</v>
      </c>
      <c r="E52" s="1">
        <v>45764</v>
      </c>
      <c r="F52">
        <v>30</v>
      </c>
      <c r="G52">
        <v>3</v>
      </c>
      <c r="H52">
        <v>30</v>
      </c>
      <c r="I52">
        <v>0</v>
      </c>
      <c r="J52">
        <v>1</v>
      </c>
      <c r="K52" t="s">
        <v>19</v>
      </c>
      <c r="L52" t="s">
        <v>477</v>
      </c>
      <c r="M52">
        <v>51.61</v>
      </c>
      <c r="N52">
        <v>48.1</v>
      </c>
      <c r="O52">
        <v>49.2</v>
      </c>
      <c r="P52">
        <v>48.650000000000006</v>
      </c>
      <c r="Q52" t="s">
        <v>21</v>
      </c>
      <c r="R52">
        <v>20.013000000000002</v>
      </c>
      <c r="S52" t="s">
        <v>478</v>
      </c>
      <c r="T52">
        <v>134.72999999999999</v>
      </c>
      <c r="U52">
        <v>133.19999999999999</v>
      </c>
      <c r="V52">
        <v>134.9</v>
      </c>
      <c r="W52">
        <v>134.05000000000001</v>
      </c>
      <c r="X52" t="s">
        <v>21</v>
      </c>
      <c r="Y52">
        <v>18.692</v>
      </c>
      <c r="Z52">
        <f t="shared" si="0"/>
        <v>18.692</v>
      </c>
      <c r="AA52">
        <v>0.18795000000000001</v>
      </c>
      <c r="AB52">
        <v>4.2972999999999999</v>
      </c>
      <c r="AC52">
        <f t="shared" si="1"/>
        <v>4.2972999999999997E-2</v>
      </c>
      <c r="AD52" s="8">
        <f t="shared" si="2"/>
        <v>8.2191780821917804E-2</v>
      </c>
      <c r="AE52">
        <f t="shared" si="3"/>
        <v>0.53639959831134243</v>
      </c>
      <c r="AF52">
        <f t="shared" si="4"/>
        <v>-0.46360040168865757</v>
      </c>
      <c r="AG52">
        <f t="shared" si="5"/>
        <v>7.2799196622684859E-2</v>
      </c>
    </row>
    <row r="53" spans="1:33" x14ac:dyDescent="0.25">
      <c r="A53" s="1">
        <v>45735</v>
      </c>
      <c r="B53">
        <v>5675.29</v>
      </c>
      <c r="C53">
        <v>5675</v>
      </c>
      <c r="D53" s="1">
        <v>45737</v>
      </c>
      <c r="E53" s="1">
        <v>45764</v>
      </c>
      <c r="F53">
        <v>30</v>
      </c>
      <c r="G53">
        <v>2</v>
      </c>
      <c r="H53">
        <v>29</v>
      </c>
      <c r="I53">
        <v>0</v>
      </c>
      <c r="J53">
        <v>1</v>
      </c>
      <c r="K53" t="s">
        <v>19</v>
      </c>
      <c r="L53" t="s">
        <v>487</v>
      </c>
      <c r="M53">
        <v>35.119999999999997</v>
      </c>
      <c r="N53">
        <v>31.8</v>
      </c>
      <c r="O53">
        <v>32.9</v>
      </c>
      <c r="P53">
        <v>32.35</v>
      </c>
      <c r="Q53" t="s">
        <v>21</v>
      </c>
      <c r="R53">
        <v>16.597000000000001</v>
      </c>
      <c r="S53" t="s">
        <v>488</v>
      </c>
      <c r="T53">
        <v>122.86</v>
      </c>
      <c r="U53">
        <v>121.8</v>
      </c>
      <c r="V53">
        <v>123.9</v>
      </c>
      <c r="W53">
        <v>122.85</v>
      </c>
      <c r="X53" t="s">
        <v>21</v>
      </c>
      <c r="Y53">
        <v>17.228999999999999</v>
      </c>
      <c r="Z53">
        <f t="shared" si="0"/>
        <v>17.228999999999999</v>
      </c>
      <c r="AA53">
        <v>0.172765</v>
      </c>
      <c r="AB53">
        <v>4.2916999999999996</v>
      </c>
      <c r="AC53">
        <f t="shared" si="1"/>
        <v>4.2916999999999997E-2</v>
      </c>
      <c r="AD53" s="8">
        <f t="shared" si="2"/>
        <v>8.2191780821917804E-2</v>
      </c>
      <c r="AE53">
        <f t="shared" si="3"/>
        <v>0.53864254507109344</v>
      </c>
      <c r="AF53">
        <f t="shared" si="4"/>
        <v>-0.46135745492890656</v>
      </c>
      <c r="AG53">
        <f t="shared" si="5"/>
        <v>7.7285090142186874E-2</v>
      </c>
    </row>
    <row r="54" spans="1:33" x14ac:dyDescent="0.25">
      <c r="A54" s="1">
        <v>45736</v>
      </c>
      <c r="B54">
        <v>5662.89</v>
      </c>
      <c r="C54">
        <v>5665</v>
      </c>
      <c r="D54" s="1">
        <v>45737</v>
      </c>
      <c r="E54" s="1">
        <v>45764</v>
      </c>
      <c r="F54">
        <v>30</v>
      </c>
      <c r="G54">
        <v>1</v>
      </c>
      <c r="H54">
        <v>28</v>
      </c>
      <c r="I54">
        <v>0</v>
      </c>
      <c r="J54">
        <v>1</v>
      </c>
      <c r="K54" t="s">
        <v>19</v>
      </c>
      <c r="L54" t="s">
        <v>489</v>
      </c>
      <c r="M54">
        <v>17.27</v>
      </c>
      <c r="N54">
        <v>16.399999999999999</v>
      </c>
      <c r="O54">
        <v>17.3</v>
      </c>
      <c r="P54">
        <v>16.850000000000001</v>
      </c>
      <c r="Q54" t="s">
        <v>21</v>
      </c>
      <c r="R54">
        <v>13.801</v>
      </c>
      <c r="S54" t="s">
        <v>490</v>
      </c>
      <c r="T54">
        <v>124.8</v>
      </c>
      <c r="U54">
        <v>117.7</v>
      </c>
      <c r="V54">
        <v>119.3</v>
      </c>
      <c r="W54">
        <v>118.5</v>
      </c>
      <c r="X54" t="s">
        <v>21</v>
      </c>
      <c r="Y54">
        <v>17.187999999999999</v>
      </c>
      <c r="Z54">
        <f t="shared" si="0"/>
        <v>17.187999999999999</v>
      </c>
      <c r="AA54">
        <v>0.17236000000000001</v>
      </c>
      <c r="AB54">
        <v>4.2861000000000002</v>
      </c>
      <c r="AC54">
        <f t="shared" si="1"/>
        <v>4.2861000000000003E-2</v>
      </c>
      <c r="AD54" s="8">
        <f t="shared" si="2"/>
        <v>8.2191780821917804E-2</v>
      </c>
      <c r="AE54">
        <f t="shared" si="3"/>
        <v>0.53524443297015645</v>
      </c>
      <c r="AF54">
        <f t="shared" si="4"/>
        <v>-0.46475556702984355</v>
      </c>
      <c r="AG54">
        <f t="shared" si="5"/>
        <v>7.0488865940312895E-2</v>
      </c>
    </row>
    <row r="55" spans="1:33" x14ac:dyDescent="0.25">
      <c r="A55" s="1">
        <v>45737</v>
      </c>
      <c r="B55">
        <v>5667.56</v>
      </c>
      <c r="C55">
        <v>5670</v>
      </c>
      <c r="D55" s="1">
        <v>45764</v>
      </c>
      <c r="E55" s="1">
        <v>45793</v>
      </c>
      <c r="F55">
        <v>30</v>
      </c>
      <c r="G55">
        <v>27</v>
      </c>
      <c r="H55">
        <v>56</v>
      </c>
      <c r="I55">
        <v>0.89655172413793105</v>
      </c>
      <c r="J55">
        <v>0.10344827586206896</v>
      </c>
      <c r="K55" t="s">
        <v>19</v>
      </c>
      <c r="L55" t="s">
        <v>491</v>
      </c>
      <c r="M55">
        <v>112.3</v>
      </c>
      <c r="N55">
        <v>111.8</v>
      </c>
      <c r="O55">
        <v>113.4</v>
      </c>
      <c r="P55">
        <v>112.6</v>
      </c>
      <c r="Q55" t="s">
        <v>21</v>
      </c>
      <c r="R55">
        <v>16.863</v>
      </c>
      <c r="S55" t="s">
        <v>492</v>
      </c>
      <c r="T55" t="s">
        <v>21</v>
      </c>
      <c r="U55">
        <v>161.5</v>
      </c>
      <c r="V55">
        <v>163.1</v>
      </c>
      <c r="W55">
        <v>162.30000000000001</v>
      </c>
      <c r="X55" t="s">
        <v>21</v>
      </c>
      <c r="Y55">
        <v>16.475000000000001</v>
      </c>
      <c r="Z55">
        <f t="shared" si="0"/>
        <v>16.822862068965517</v>
      </c>
      <c r="AA55">
        <v>0.16874603399999999</v>
      </c>
      <c r="AB55">
        <v>4.2752999999999997</v>
      </c>
      <c r="AC55">
        <f t="shared" si="1"/>
        <v>4.2752999999999999E-2</v>
      </c>
      <c r="AD55" s="8">
        <f t="shared" si="2"/>
        <v>8.2191780821917804E-2</v>
      </c>
      <c r="AE55">
        <f t="shared" si="3"/>
        <v>0.53503266098296764</v>
      </c>
      <c r="AF55">
        <f t="shared" si="4"/>
        <v>-0.46496733901703236</v>
      </c>
      <c r="AG55">
        <f t="shared" si="5"/>
        <v>7.006532196593529E-2</v>
      </c>
    </row>
    <row r="56" spans="1:33" x14ac:dyDescent="0.25">
      <c r="A56" s="1">
        <v>45740</v>
      </c>
      <c r="B56">
        <v>5767.57</v>
      </c>
      <c r="C56">
        <v>5770</v>
      </c>
      <c r="D56" s="1">
        <v>45764</v>
      </c>
      <c r="E56" s="1">
        <v>45793</v>
      </c>
      <c r="F56">
        <v>30</v>
      </c>
      <c r="G56">
        <v>24</v>
      </c>
      <c r="H56">
        <v>53</v>
      </c>
      <c r="I56">
        <v>0.7931034482758621</v>
      </c>
      <c r="J56">
        <v>0.20689655172413793</v>
      </c>
      <c r="K56" t="s">
        <v>19</v>
      </c>
      <c r="L56" t="s">
        <v>476</v>
      </c>
      <c r="M56">
        <v>99.15</v>
      </c>
      <c r="N56">
        <v>94.5</v>
      </c>
      <c r="O56">
        <v>95.8</v>
      </c>
      <c r="P56">
        <v>95.15</v>
      </c>
      <c r="Q56" t="s">
        <v>21</v>
      </c>
      <c r="R56">
        <v>14.872999999999999</v>
      </c>
      <c r="S56" t="s">
        <v>493</v>
      </c>
      <c r="T56">
        <v>149.91</v>
      </c>
      <c r="U56">
        <v>143.69999999999999</v>
      </c>
      <c r="V56">
        <v>145.19999999999999</v>
      </c>
      <c r="W56">
        <v>144.44999999999999</v>
      </c>
      <c r="X56" t="s">
        <v>21</v>
      </c>
      <c r="Y56">
        <v>14.875999999999999</v>
      </c>
      <c r="Z56">
        <f t="shared" si="0"/>
        <v>14.873620689655173</v>
      </c>
      <c r="AA56">
        <v>0.149143793</v>
      </c>
      <c r="AB56">
        <v>4.2824999999999998</v>
      </c>
      <c r="AC56">
        <f t="shared" si="1"/>
        <v>4.2824999999999995E-2</v>
      </c>
      <c r="AD56" s="8">
        <f t="shared" si="2"/>
        <v>8.2191780821917804E-2</v>
      </c>
      <c r="AE56">
        <f t="shared" si="3"/>
        <v>0.53738496492589083</v>
      </c>
      <c r="AF56">
        <f t="shared" si="4"/>
        <v>-0.46261503507410917</v>
      </c>
      <c r="AG56">
        <f t="shared" si="5"/>
        <v>7.4769929851781658E-2</v>
      </c>
    </row>
    <row r="57" spans="1:33" x14ac:dyDescent="0.25">
      <c r="A57" s="1">
        <v>45741</v>
      </c>
      <c r="B57">
        <v>5776.65</v>
      </c>
      <c r="C57">
        <v>5775</v>
      </c>
      <c r="D57" s="1">
        <v>45764</v>
      </c>
      <c r="E57" s="1">
        <v>45793</v>
      </c>
      <c r="F57">
        <v>30</v>
      </c>
      <c r="G57">
        <v>23</v>
      </c>
      <c r="H57">
        <v>52</v>
      </c>
      <c r="I57">
        <v>0.75862068965517238</v>
      </c>
      <c r="J57">
        <v>0.2413793103448276</v>
      </c>
      <c r="K57" t="s">
        <v>19</v>
      </c>
      <c r="L57" t="s">
        <v>494</v>
      </c>
      <c r="M57">
        <v>93.87</v>
      </c>
      <c r="N57">
        <v>98.6</v>
      </c>
      <c r="O57">
        <v>99.8</v>
      </c>
      <c r="P57">
        <v>99.199999999999989</v>
      </c>
      <c r="Q57" t="s">
        <v>21</v>
      </c>
      <c r="R57">
        <v>14.62</v>
      </c>
      <c r="S57" t="s">
        <v>495</v>
      </c>
      <c r="T57">
        <v>139.6</v>
      </c>
      <c r="U57">
        <v>150</v>
      </c>
      <c r="V57">
        <v>151.5</v>
      </c>
      <c r="W57">
        <v>150.75</v>
      </c>
      <c r="X57" t="s">
        <v>21</v>
      </c>
      <c r="Y57">
        <v>14.821</v>
      </c>
      <c r="Z57">
        <f t="shared" si="0"/>
        <v>14.668517241379309</v>
      </c>
      <c r="AA57">
        <v>0.147548966</v>
      </c>
      <c r="AB57">
        <v>4.2896000000000001</v>
      </c>
      <c r="AC57">
        <f t="shared" si="1"/>
        <v>4.2896000000000004E-2</v>
      </c>
      <c r="AD57" s="8">
        <f t="shared" si="2"/>
        <v>8.2191780821917804E-2</v>
      </c>
      <c r="AE57">
        <f t="shared" si="3"/>
        <v>0.54429165090963672</v>
      </c>
      <c r="AF57">
        <f t="shared" si="4"/>
        <v>-0.45570834909036328</v>
      </c>
      <c r="AG57">
        <f t="shared" si="5"/>
        <v>8.858330181927343E-2</v>
      </c>
    </row>
    <row r="58" spans="1:33" x14ac:dyDescent="0.25">
      <c r="A58" s="1">
        <v>45742</v>
      </c>
      <c r="B58">
        <v>5712.2</v>
      </c>
      <c r="C58">
        <v>5710</v>
      </c>
      <c r="D58" s="1">
        <v>45764</v>
      </c>
      <c r="E58" s="1">
        <v>45793</v>
      </c>
      <c r="F58">
        <v>30</v>
      </c>
      <c r="G58">
        <v>22</v>
      </c>
      <c r="H58">
        <v>51</v>
      </c>
      <c r="I58">
        <v>0.72413793103448276</v>
      </c>
      <c r="J58">
        <v>0.27586206896551724</v>
      </c>
      <c r="K58" t="s">
        <v>19</v>
      </c>
      <c r="L58" t="s">
        <v>496</v>
      </c>
      <c r="M58">
        <v>100.45</v>
      </c>
      <c r="N58">
        <v>96.6</v>
      </c>
      <c r="O58">
        <v>98.3</v>
      </c>
      <c r="P58">
        <v>97.449999999999989</v>
      </c>
      <c r="Q58" t="s">
        <v>21</v>
      </c>
      <c r="R58">
        <v>16.141999999999999</v>
      </c>
      <c r="S58" t="s">
        <v>497</v>
      </c>
      <c r="T58">
        <v>173.19</v>
      </c>
      <c r="U58">
        <v>148.4</v>
      </c>
      <c r="V58">
        <v>150.19999999999999</v>
      </c>
      <c r="W58">
        <v>149.30000000000001</v>
      </c>
      <c r="X58" t="s">
        <v>21</v>
      </c>
      <c r="Y58">
        <v>15.803000000000001</v>
      </c>
      <c r="Z58">
        <f t="shared" si="0"/>
        <v>16.04848275862069</v>
      </c>
      <c r="AA58">
        <v>0.161085172</v>
      </c>
      <c r="AB58">
        <v>4.2891000000000004</v>
      </c>
      <c r="AC58">
        <f t="shared" si="1"/>
        <v>4.2891000000000006E-2</v>
      </c>
      <c r="AD58" s="8">
        <f t="shared" si="2"/>
        <v>8.2191780821917804E-2</v>
      </c>
      <c r="AE58">
        <f t="shared" si="3"/>
        <v>0.54290986763322047</v>
      </c>
      <c r="AF58">
        <f t="shared" si="4"/>
        <v>-0.45709013236677953</v>
      </c>
      <c r="AG58">
        <f t="shared" si="5"/>
        <v>8.5819735266440933E-2</v>
      </c>
    </row>
    <row r="59" spans="1:33" x14ac:dyDescent="0.25">
      <c r="A59" s="1">
        <v>45743</v>
      </c>
      <c r="B59">
        <v>5693.31</v>
      </c>
      <c r="C59">
        <v>5695</v>
      </c>
      <c r="D59" s="1">
        <v>45764</v>
      </c>
      <c r="E59" s="1">
        <v>45793</v>
      </c>
      <c r="F59">
        <v>30</v>
      </c>
      <c r="G59">
        <v>21</v>
      </c>
      <c r="H59">
        <v>50</v>
      </c>
      <c r="I59">
        <v>0.68965517241379315</v>
      </c>
      <c r="J59">
        <v>0.31034482758620691</v>
      </c>
      <c r="K59" t="s">
        <v>19</v>
      </c>
      <c r="L59" t="s">
        <v>498</v>
      </c>
      <c r="M59">
        <v>100.39</v>
      </c>
      <c r="N59">
        <v>97.4</v>
      </c>
      <c r="O59">
        <v>98.9</v>
      </c>
      <c r="P59">
        <v>98.15</v>
      </c>
      <c r="Q59" t="s">
        <v>21</v>
      </c>
      <c r="R59">
        <v>16.63</v>
      </c>
      <c r="S59" t="s">
        <v>499</v>
      </c>
      <c r="T59">
        <v>149.72</v>
      </c>
      <c r="U59">
        <v>150</v>
      </c>
      <c r="V59">
        <v>151.6</v>
      </c>
      <c r="W59">
        <v>150.80000000000001</v>
      </c>
      <c r="X59" t="s">
        <v>21</v>
      </c>
      <c r="Y59">
        <v>16.097000000000001</v>
      </c>
      <c r="Z59">
        <f t="shared" si="0"/>
        <v>16.464586206896552</v>
      </c>
      <c r="AA59">
        <v>0.165721379</v>
      </c>
      <c r="AB59">
        <v>4.3064999999999998</v>
      </c>
      <c r="AC59">
        <f t="shared" si="1"/>
        <v>4.3064999999999999E-2</v>
      </c>
      <c r="AD59" s="8">
        <f t="shared" si="2"/>
        <v>8.2191780821917804E-2</v>
      </c>
      <c r="AE59">
        <f t="shared" si="3"/>
        <v>0.5366546259730014</v>
      </c>
      <c r="AF59">
        <f t="shared" si="4"/>
        <v>-0.4633453740269986</v>
      </c>
      <c r="AG59">
        <f t="shared" si="5"/>
        <v>7.3309251946002796E-2</v>
      </c>
    </row>
    <row r="60" spans="1:33" x14ac:dyDescent="0.25">
      <c r="A60" s="1">
        <v>45744</v>
      </c>
      <c r="B60">
        <v>5580.94</v>
      </c>
      <c r="C60">
        <v>5580</v>
      </c>
      <c r="D60" s="1">
        <v>45764</v>
      </c>
      <c r="E60" s="1">
        <v>45793</v>
      </c>
      <c r="F60">
        <v>30</v>
      </c>
      <c r="G60">
        <v>20</v>
      </c>
      <c r="H60">
        <v>49</v>
      </c>
      <c r="I60">
        <v>0.65517241379310343</v>
      </c>
      <c r="J60">
        <v>0.34482758620689657</v>
      </c>
      <c r="K60" t="s">
        <v>19</v>
      </c>
      <c r="L60" t="s">
        <v>500</v>
      </c>
      <c r="M60">
        <v>109.54</v>
      </c>
      <c r="N60">
        <v>97</v>
      </c>
      <c r="O60">
        <v>98.9</v>
      </c>
      <c r="P60">
        <v>97.95</v>
      </c>
      <c r="Q60" t="s">
        <v>21</v>
      </c>
      <c r="R60">
        <v>19.523</v>
      </c>
      <c r="S60" t="s">
        <v>501</v>
      </c>
      <c r="T60">
        <v>166.82</v>
      </c>
      <c r="U60">
        <v>153</v>
      </c>
      <c r="V60">
        <v>154.80000000000001</v>
      </c>
      <c r="W60">
        <v>153.9</v>
      </c>
      <c r="X60" t="s">
        <v>21</v>
      </c>
      <c r="Y60">
        <v>18.439</v>
      </c>
      <c r="Z60">
        <f t="shared" si="0"/>
        <v>19.149206896551725</v>
      </c>
      <c r="AA60">
        <v>0.191840862</v>
      </c>
      <c r="AB60">
        <v>4.26</v>
      </c>
      <c r="AC60">
        <f t="shared" si="1"/>
        <v>4.2599999999999999E-2</v>
      </c>
      <c r="AD60" s="8">
        <f t="shared" si="2"/>
        <v>8.2191780821917804E-2</v>
      </c>
      <c r="AE60">
        <f t="shared" si="3"/>
        <v>0.53753461443547024</v>
      </c>
      <c r="AF60">
        <f t="shared" si="4"/>
        <v>-0.46246538556452976</v>
      </c>
      <c r="AG60">
        <f t="shared" si="5"/>
        <v>7.5069228870940474E-2</v>
      </c>
    </row>
    <row r="61" spans="1:33" x14ac:dyDescent="0.25">
      <c r="A61" s="1">
        <v>45747</v>
      </c>
      <c r="B61">
        <v>5611.85</v>
      </c>
      <c r="C61">
        <v>5610</v>
      </c>
      <c r="D61" s="1">
        <v>45764</v>
      </c>
      <c r="E61" s="1">
        <v>45793</v>
      </c>
      <c r="F61">
        <v>30</v>
      </c>
      <c r="G61">
        <v>17</v>
      </c>
      <c r="H61">
        <v>46</v>
      </c>
      <c r="I61">
        <v>0.55172413793103448</v>
      </c>
      <c r="J61">
        <v>0.44827586206896552</v>
      </c>
      <c r="K61" t="s">
        <v>19</v>
      </c>
      <c r="L61" t="s">
        <v>502</v>
      </c>
      <c r="M61">
        <v>109</v>
      </c>
      <c r="N61">
        <v>97.2</v>
      </c>
      <c r="O61">
        <v>98.9</v>
      </c>
      <c r="P61">
        <v>98.050000000000011</v>
      </c>
      <c r="Q61" t="s">
        <v>21</v>
      </c>
      <c r="R61">
        <v>19.387</v>
      </c>
      <c r="S61" t="s">
        <v>503</v>
      </c>
      <c r="T61">
        <v>124.4</v>
      </c>
      <c r="U61">
        <v>153.6</v>
      </c>
      <c r="V61">
        <v>155.30000000000001</v>
      </c>
      <c r="W61">
        <v>154.44999999999999</v>
      </c>
      <c r="X61" t="s">
        <v>21</v>
      </c>
      <c r="Y61">
        <v>18.169</v>
      </c>
      <c r="Z61">
        <f t="shared" si="0"/>
        <v>18.841000000000001</v>
      </c>
      <c r="AA61">
        <v>0.188324828</v>
      </c>
      <c r="AB61">
        <v>4.2977999999999996</v>
      </c>
      <c r="AC61">
        <f t="shared" si="1"/>
        <v>4.2977999999999995E-2</v>
      </c>
      <c r="AD61" s="8">
        <f t="shared" si="2"/>
        <v>8.2191780821917804E-2</v>
      </c>
      <c r="AE61">
        <f t="shared" si="3"/>
        <v>0.53924376582480904</v>
      </c>
      <c r="AF61">
        <f t="shared" si="4"/>
        <v>-0.46075623417519096</v>
      </c>
      <c r="AG61">
        <f t="shared" si="5"/>
        <v>7.8487531649618081E-2</v>
      </c>
    </row>
    <row r="62" spans="1:33" x14ac:dyDescent="0.25">
      <c r="A62" s="1">
        <v>45748</v>
      </c>
      <c r="B62">
        <v>5633.07</v>
      </c>
      <c r="C62">
        <v>5635</v>
      </c>
      <c r="D62" s="1">
        <v>45764</v>
      </c>
      <c r="E62" s="1">
        <v>45793</v>
      </c>
      <c r="F62">
        <v>30</v>
      </c>
      <c r="G62">
        <v>16</v>
      </c>
      <c r="H62">
        <v>45</v>
      </c>
      <c r="I62">
        <v>0.51724137931034486</v>
      </c>
      <c r="J62">
        <v>0.48275862068965519</v>
      </c>
      <c r="K62" t="s">
        <v>19</v>
      </c>
      <c r="L62" t="s">
        <v>504</v>
      </c>
      <c r="M62">
        <v>90.9</v>
      </c>
      <c r="N62">
        <v>95.3</v>
      </c>
      <c r="O62">
        <v>97.4</v>
      </c>
      <c r="P62">
        <v>96.35</v>
      </c>
      <c r="Q62" t="s">
        <v>21</v>
      </c>
      <c r="R62">
        <v>19.222999999999999</v>
      </c>
      <c r="S62" t="s">
        <v>505</v>
      </c>
      <c r="T62">
        <v>153.9</v>
      </c>
      <c r="U62">
        <v>152</v>
      </c>
      <c r="V62">
        <v>154.30000000000001</v>
      </c>
      <c r="W62">
        <v>153.15</v>
      </c>
      <c r="X62" t="s">
        <v>21</v>
      </c>
      <c r="Y62">
        <v>17.800999999999998</v>
      </c>
      <c r="Z62">
        <f t="shared" si="0"/>
        <v>18.536517241379311</v>
      </c>
      <c r="AA62">
        <v>0.18690241399999999</v>
      </c>
      <c r="AB62">
        <v>4.3075000000000001</v>
      </c>
      <c r="AC62">
        <f t="shared" si="1"/>
        <v>4.3075000000000002E-2</v>
      </c>
      <c r="AD62" s="8">
        <f t="shared" si="2"/>
        <v>8.2191780821917804E-2</v>
      </c>
      <c r="AE62">
        <f t="shared" si="3"/>
        <v>0.53445425530527557</v>
      </c>
      <c r="AF62">
        <f t="shared" si="4"/>
        <v>-0.46554574469472443</v>
      </c>
      <c r="AG62">
        <f t="shared" si="5"/>
        <v>6.8908510610551144E-2</v>
      </c>
    </row>
    <row r="63" spans="1:33" x14ac:dyDescent="0.25">
      <c r="A63" s="1">
        <v>45749</v>
      </c>
      <c r="B63">
        <v>5670.97</v>
      </c>
      <c r="C63">
        <v>5670</v>
      </c>
      <c r="D63" s="1">
        <v>45764</v>
      </c>
      <c r="E63" s="1">
        <v>45793</v>
      </c>
      <c r="F63">
        <v>30</v>
      </c>
      <c r="G63">
        <v>15</v>
      </c>
      <c r="H63">
        <v>44</v>
      </c>
      <c r="I63">
        <v>0.48275862068965519</v>
      </c>
      <c r="J63">
        <v>0.51724137931034486</v>
      </c>
      <c r="K63" t="s">
        <v>19</v>
      </c>
      <c r="L63" t="s">
        <v>491</v>
      </c>
      <c r="M63">
        <v>97.7</v>
      </c>
      <c r="N63">
        <v>41.7</v>
      </c>
      <c r="O63">
        <v>47.6</v>
      </c>
      <c r="P63">
        <v>44.650000000000006</v>
      </c>
      <c r="Q63" t="s">
        <v>21</v>
      </c>
      <c r="R63">
        <v>19.367000000000001</v>
      </c>
      <c r="S63" t="s">
        <v>492</v>
      </c>
      <c r="T63" t="s">
        <v>21</v>
      </c>
      <c r="U63">
        <v>92</v>
      </c>
      <c r="V63">
        <v>102</v>
      </c>
      <c r="W63">
        <v>97</v>
      </c>
      <c r="X63" t="s">
        <v>21</v>
      </c>
      <c r="Y63">
        <v>17.634</v>
      </c>
      <c r="Z63">
        <f t="shared" si="0"/>
        <v>18.470620689655174</v>
      </c>
      <c r="AA63">
        <v>0.18502603400000001</v>
      </c>
      <c r="AB63">
        <v>4.3018999999999998</v>
      </c>
      <c r="AC63">
        <f t="shared" si="1"/>
        <v>4.3019000000000002E-2</v>
      </c>
      <c r="AD63" s="8">
        <f t="shared" si="2"/>
        <v>8.2191780821917804E-2</v>
      </c>
      <c r="AE63">
        <f t="shared" si="3"/>
        <v>0.53840007933286538</v>
      </c>
      <c r="AF63">
        <f t="shared" si="4"/>
        <v>-0.46159992066713462</v>
      </c>
      <c r="AG63">
        <f t="shared" si="5"/>
        <v>7.6800158665730756E-2</v>
      </c>
    </row>
    <row r="64" spans="1:33" x14ac:dyDescent="0.25">
      <c r="A64" s="1">
        <v>45750</v>
      </c>
      <c r="B64">
        <v>5396.52</v>
      </c>
      <c r="C64">
        <v>5395</v>
      </c>
      <c r="D64" s="1">
        <v>45764</v>
      </c>
      <c r="E64" s="1">
        <v>45793</v>
      </c>
      <c r="F64">
        <v>30</v>
      </c>
      <c r="G64">
        <v>14</v>
      </c>
      <c r="H64">
        <v>43</v>
      </c>
      <c r="I64">
        <v>0.44827586206896552</v>
      </c>
      <c r="J64">
        <v>0.55172413793103448</v>
      </c>
      <c r="K64" t="s">
        <v>19</v>
      </c>
      <c r="L64" t="s">
        <v>506</v>
      </c>
      <c r="M64">
        <v>129.6</v>
      </c>
      <c r="N64">
        <v>114.8</v>
      </c>
      <c r="O64">
        <v>118.1</v>
      </c>
      <c r="P64">
        <v>116.44999999999999</v>
      </c>
      <c r="Q64" t="s">
        <v>21</v>
      </c>
      <c r="R64">
        <v>27.170999999999999</v>
      </c>
      <c r="S64" t="s">
        <v>507</v>
      </c>
      <c r="T64">
        <v>203.85</v>
      </c>
      <c r="U64">
        <v>184.4</v>
      </c>
      <c r="V64">
        <v>187.9</v>
      </c>
      <c r="W64">
        <v>186.15</v>
      </c>
      <c r="X64" t="s">
        <v>21</v>
      </c>
      <c r="Y64">
        <v>24.100999999999999</v>
      </c>
      <c r="Z64">
        <f t="shared" si="0"/>
        <v>25.477206896551721</v>
      </c>
      <c r="AA64">
        <v>0.25583620699999998</v>
      </c>
      <c r="AB64">
        <v>4.3014000000000001</v>
      </c>
      <c r="AC64">
        <f t="shared" si="1"/>
        <v>4.3014000000000004E-2</v>
      </c>
      <c r="AD64" s="8">
        <f t="shared" si="2"/>
        <v>8.2191780821917804E-2</v>
      </c>
      <c r="AE64">
        <f t="shared" si="3"/>
        <v>0.53534594607109209</v>
      </c>
      <c r="AF64">
        <f t="shared" si="4"/>
        <v>-0.46465405392890791</v>
      </c>
      <c r="AG64">
        <f t="shared" si="5"/>
        <v>7.0691892142184187E-2</v>
      </c>
    </row>
    <row r="65" spans="1:33" x14ac:dyDescent="0.25">
      <c r="A65" s="1">
        <v>45751</v>
      </c>
      <c r="B65">
        <v>5074.08</v>
      </c>
      <c r="C65">
        <v>5075</v>
      </c>
      <c r="D65" s="1">
        <v>45764</v>
      </c>
      <c r="E65" s="1">
        <v>45793</v>
      </c>
      <c r="F65">
        <v>30</v>
      </c>
      <c r="G65">
        <v>13</v>
      </c>
      <c r="H65">
        <v>42</v>
      </c>
      <c r="I65">
        <v>0.41379310344827586</v>
      </c>
      <c r="J65">
        <v>0.58620689655172409</v>
      </c>
      <c r="K65" t="s">
        <v>19</v>
      </c>
      <c r="L65" t="s">
        <v>508</v>
      </c>
      <c r="M65">
        <v>169.86</v>
      </c>
      <c r="N65">
        <v>169.6</v>
      </c>
      <c r="O65">
        <v>175.5</v>
      </c>
      <c r="P65">
        <v>172.55</v>
      </c>
      <c r="Q65" t="s">
        <v>21</v>
      </c>
      <c r="R65">
        <v>44.277000000000001</v>
      </c>
      <c r="S65" t="s">
        <v>509</v>
      </c>
      <c r="T65" t="s">
        <v>21</v>
      </c>
      <c r="U65">
        <v>238</v>
      </c>
      <c r="V65">
        <v>247.8</v>
      </c>
      <c r="W65">
        <v>242.9</v>
      </c>
      <c r="X65" t="s">
        <v>21</v>
      </c>
      <c r="Y65">
        <v>34.15</v>
      </c>
      <c r="Z65">
        <f t="shared" si="0"/>
        <v>38.340482758620688</v>
      </c>
      <c r="AA65">
        <v>0.38442862100000003</v>
      </c>
      <c r="AB65">
        <v>4.2728000000000002</v>
      </c>
      <c r="AC65">
        <f t="shared" si="1"/>
        <v>4.2728000000000002E-2</v>
      </c>
      <c r="AD65" s="8">
        <f t="shared" si="2"/>
        <v>8.2191780821917804E-2</v>
      </c>
      <c r="AE65">
        <f t="shared" si="3"/>
        <v>0.53399886389723439</v>
      </c>
      <c r="AF65">
        <f t="shared" si="4"/>
        <v>-0.46600113610276561</v>
      </c>
      <c r="AG65">
        <f t="shared" si="5"/>
        <v>6.7997727794468776E-2</v>
      </c>
    </row>
    <row r="66" spans="1:33" x14ac:dyDescent="0.25">
      <c r="A66" s="1">
        <v>45754</v>
      </c>
      <c r="B66">
        <v>5062.25</v>
      </c>
      <c r="C66">
        <v>5060</v>
      </c>
      <c r="D66" s="1">
        <v>45764</v>
      </c>
      <c r="E66" s="1">
        <v>45793</v>
      </c>
      <c r="F66">
        <v>30</v>
      </c>
      <c r="G66">
        <v>10</v>
      </c>
      <c r="H66">
        <v>39</v>
      </c>
      <c r="I66">
        <v>0.31034482758620691</v>
      </c>
      <c r="J66">
        <v>0.68965517241379315</v>
      </c>
      <c r="K66" t="s">
        <v>19</v>
      </c>
      <c r="L66" t="s">
        <v>510</v>
      </c>
      <c r="M66">
        <v>187.7</v>
      </c>
      <c r="N66">
        <v>192.7</v>
      </c>
      <c r="O66">
        <v>198.1</v>
      </c>
      <c r="P66">
        <v>195.39999999999998</v>
      </c>
      <c r="Q66" t="s">
        <v>21</v>
      </c>
      <c r="R66">
        <v>50.368000000000002</v>
      </c>
      <c r="S66" t="s">
        <v>511</v>
      </c>
      <c r="T66">
        <v>241.28</v>
      </c>
      <c r="U66">
        <v>261.3</v>
      </c>
      <c r="V66">
        <v>267.5</v>
      </c>
      <c r="W66">
        <v>264.39999999999998</v>
      </c>
      <c r="X66" t="s">
        <v>21</v>
      </c>
      <c r="Y66">
        <v>35.945</v>
      </c>
      <c r="Z66">
        <f t="shared" si="0"/>
        <v>40.421103448275865</v>
      </c>
      <c r="AA66">
        <v>0.406497414</v>
      </c>
      <c r="AB66">
        <v>4.2977999999999996</v>
      </c>
      <c r="AC66">
        <f t="shared" si="1"/>
        <v>4.2977999999999995E-2</v>
      </c>
      <c r="AD66" s="8">
        <f t="shared" si="2"/>
        <v>8.2191780821917804E-2</v>
      </c>
      <c r="AE66">
        <f t="shared" si="3"/>
        <v>0.53680808636258903</v>
      </c>
      <c r="AF66">
        <f t="shared" si="4"/>
        <v>-0.46319191363741097</v>
      </c>
      <c r="AG66">
        <f t="shared" si="5"/>
        <v>7.3616172725178064E-2</v>
      </c>
    </row>
    <row r="67" spans="1:33" x14ac:dyDescent="0.25">
      <c r="A67" s="1">
        <v>45755</v>
      </c>
      <c r="B67">
        <v>4982.7700000000004</v>
      </c>
      <c r="C67">
        <v>4985</v>
      </c>
      <c r="D67" s="1">
        <v>45764</v>
      </c>
      <c r="E67" s="1">
        <v>45793</v>
      </c>
      <c r="F67">
        <v>30</v>
      </c>
      <c r="G67">
        <v>9</v>
      </c>
      <c r="H67">
        <v>38</v>
      </c>
      <c r="I67">
        <v>0.27586206896551724</v>
      </c>
      <c r="J67">
        <v>0.72413793103448276</v>
      </c>
      <c r="K67" t="s">
        <v>19</v>
      </c>
      <c r="L67" t="s">
        <v>512</v>
      </c>
      <c r="M67">
        <v>180.9</v>
      </c>
      <c r="N67">
        <v>177</v>
      </c>
      <c r="O67">
        <v>181.7</v>
      </c>
      <c r="P67">
        <v>179.35</v>
      </c>
      <c r="Q67" t="s">
        <v>21</v>
      </c>
      <c r="R67">
        <v>55.03</v>
      </c>
      <c r="S67" t="s">
        <v>513</v>
      </c>
      <c r="T67">
        <v>261.10000000000002</v>
      </c>
      <c r="U67">
        <v>258.89999999999998</v>
      </c>
      <c r="V67">
        <v>264.3</v>
      </c>
      <c r="W67">
        <v>261.60000000000002</v>
      </c>
      <c r="X67" t="s">
        <v>21</v>
      </c>
      <c r="Y67">
        <v>39.448999999999998</v>
      </c>
      <c r="Z67">
        <f t="shared" ref="Z67:Z130" si="6">I67*R67+Y67*J67</f>
        <v>43.747206896551724</v>
      </c>
      <c r="AA67">
        <v>0.43813068999999999</v>
      </c>
      <c r="AB67">
        <v>4.3075000000000001</v>
      </c>
      <c r="AC67">
        <f t="shared" ref="AC67:AC130" si="7">AB67/100</f>
        <v>4.3075000000000002E-2</v>
      </c>
      <c r="AD67" s="8">
        <f t="shared" ref="AD67:AD130" si="8">30/365</f>
        <v>8.2191780821917804E-2</v>
      </c>
      <c r="AE67">
        <f t="shared" ref="AE67:AE130" si="9">_xlfn.NORM.S.DIST((LN(B67/C67)+(AC67+0.5*(AA67)^2)*(30/365))/(AA67*SQRT(30/365)),TRUE)</f>
        <v>0.53483435495801013</v>
      </c>
      <c r="AF67">
        <f t="shared" ref="AF67:AF130" si="10">AE67-1</f>
        <v>-0.46516564504198987</v>
      </c>
      <c r="AG67">
        <f t="shared" ref="AG67:AG130" si="11">AE67+AF67</f>
        <v>6.9668709916020255E-2</v>
      </c>
    </row>
    <row r="68" spans="1:33" x14ac:dyDescent="0.25">
      <c r="A68" s="1">
        <v>45756</v>
      </c>
      <c r="B68">
        <v>5456.9</v>
      </c>
      <c r="C68">
        <v>5455</v>
      </c>
      <c r="D68" s="1">
        <v>45764</v>
      </c>
      <c r="E68" s="1">
        <v>45793</v>
      </c>
      <c r="F68">
        <v>30</v>
      </c>
      <c r="G68">
        <v>8</v>
      </c>
      <c r="H68">
        <v>37</v>
      </c>
      <c r="I68">
        <v>0.2413793103448276</v>
      </c>
      <c r="J68">
        <v>0.75862068965517238</v>
      </c>
      <c r="K68" t="s">
        <v>19</v>
      </c>
      <c r="L68" t="s">
        <v>514</v>
      </c>
      <c r="M68">
        <v>112.7</v>
      </c>
      <c r="N68">
        <v>121.9</v>
      </c>
      <c r="O68">
        <v>126.4</v>
      </c>
      <c r="P68">
        <v>124.15</v>
      </c>
      <c r="Q68" t="s">
        <v>21</v>
      </c>
      <c r="R68">
        <v>34.654000000000003</v>
      </c>
      <c r="S68" t="s">
        <v>515</v>
      </c>
      <c r="T68">
        <v>140.41</v>
      </c>
      <c r="U68">
        <v>197.3</v>
      </c>
      <c r="V68">
        <v>203.3</v>
      </c>
      <c r="W68">
        <v>200.3</v>
      </c>
      <c r="X68" t="s">
        <v>21</v>
      </c>
      <c r="Y68">
        <v>25.925999999999998</v>
      </c>
      <c r="Z68">
        <f t="shared" si="6"/>
        <v>28.032758620689656</v>
      </c>
      <c r="AA68">
        <v>0.27596999999999999</v>
      </c>
      <c r="AB68">
        <v>4.2942</v>
      </c>
      <c r="AC68">
        <f t="shared" si="7"/>
        <v>4.2942000000000001E-2</v>
      </c>
      <c r="AD68" s="8">
        <f t="shared" si="8"/>
        <v>8.2191780821917804E-2</v>
      </c>
      <c r="AE68">
        <f t="shared" si="9"/>
        <v>0.53528852360316725</v>
      </c>
      <c r="AF68">
        <f t="shared" si="10"/>
        <v>-0.46471147639683275</v>
      </c>
      <c r="AG68">
        <f t="shared" si="11"/>
        <v>7.0577047206334509E-2</v>
      </c>
    </row>
    <row r="69" spans="1:33" x14ac:dyDescent="0.25">
      <c r="A69" s="1">
        <v>45757</v>
      </c>
      <c r="B69">
        <v>5268.05</v>
      </c>
      <c r="C69">
        <v>5270</v>
      </c>
      <c r="D69" s="1">
        <v>45764</v>
      </c>
      <c r="E69" s="1">
        <v>45793</v>
      </c>
      <c r="F69">
        <v>30</v>
      </c>
      <c r="G69">
        <v>7</v>
      </c>
      <c r="H69">
        <v>36</v>
      </c>
      <c r="I69">
        <v>0.20689655172413793</v>
      </c>
      <c r="J69">
        <v>0.7931034482758621</v>
      </c>
      <c r="K69" t="s">
        <v>19</v>
      </c>
      <c r="L69" t="s">
        <v>516</v>
      </c>
      <c r="M69">
        <v>125.8</v>
      </c>
      <c r="N69">
        <v>132.9</v>
      </c>
      <c r="O69">
        <v>139</v>
      </c>
      <c r="P69">
        <v>135.94999999999999</v>
      </c>
      <c r="Q69" t="s">
        <v>21</v>
      </c>
      <c r="R69">
        <v>46.581000000000003</v>
      </c>
      <c r="S69" t="s">
        <v>517</v>
      </c>
      <c r="T69">
        <v>232.8</v>
      </c>
      <c r="U69">
        <v>226.6</v>
      </c>
      <c r="V69">
        <v>234.8</v>
      </c>
      <c r="W69">
        <v>230.7</v>
      </c>
      <c r="X69" t="s">
        <v>21</v>
      </c>
      <c r="Y69">
        <v>33.655000000000001</v>
      </c>
      <c r="Z69">
        <f t="shared" si="6"/>
        <v>36.329344827586212</v>
      </c>
      <c r="AA69">
        <v>0.36169672400000002</v>
      </c>
      <c r="AB69">
        <v>4.2911999999999999</v>
      </c>
      <c r="AC69">
        <f t="shared" si="7"/>
        <v>4.2911999999999999E-2</v>
      </c>
      <c r="AD69" s="8">
        <f t="shared" si="8"/>
        <v>8.2191780821917804E-2</v>
      </c>
      <c r="AE69">
        <f t="shared" si="9"/>
        <v>0.53279269871061419</v>
      </c>
      <c r="AF69">
        <f t="shared" si="10"/>
        <v>-0.46720730128938581</v>
      </c>
      <c r="AG69">
        <f t="shared" si="11"/>
        <v>6.5585397421228375E-2</v>
      </c>
    </row>
    <row r="70" spans="1:33" x14ac:dyDescent="0.25">
      <c r="A70" s="1">
        <v>45758</v>
      </c>
      <c r="B70">
        <v>5363.36</v>
      </c>
      <c r="C70">
        <v>5365</v>
      </c>
      <c r="D70" s="1">
        <v>45764</v>
      </c>
      <c r="E70" s="1">
        <v>45793</v>
      </c>
      <c r="F70">
        <v>30</v>
      </c>
      <c r="G70">
        <v>6</v>
      </c>
      <c r="H70">
        <v>35</v>
      </c>
      <c r="I70">
        <v>0.17241379310344829</v>
      </c>
      <c r="J70">
        <v>0.82758620689655171</v>
      </c>
      <c r="K70" t="s">
        <v>19</v>
      </c>
      <c r="L70" t="s">
        <v>518</v>
      </c>
      <c r="M70">
        <v>104</v>
      </c>
      <c r="N70">
        <v>104.5</v>
      </c>
      <c r="O70">
        <v>107.4</v>
      </c>
      <c r="P70">
        <v>105.95</v>
      </c>
      <c r="Q70" t="s">
        <v>21</v>
      </c>
      <c r="R70">
        <v>39.954000000000001</v>
      </c>
      <c r="S70" t="s">
        <v>519</v>
      </c>
      <c r="T70">
        <v>214.42</v>
      </c>
      <c r="U70">
        <v>210.8</v>
      </c>
      <c r="V70">
        <v>214.6</v>
      </c>
      <c r="W70">
        <v>212.7</v>
      </c>
      <c r="X70" t="s">
        <v>21</v>
      </c>
      <c r="Y70">
        <v>31.359000000000002</v>
      </c>
      <c r="Z70">
        <f t="shared" si="6"/>
        <v>32.840896551724143</v>
      </c>
      <c r="AA70">
        <v>0.32767569000000002</v>
      </c>
      <c r="AB70">
        <v>4.2752999999999997</v>
      </c>
      <c r="AC70">
        <f t="shared" si="7"/>
        <v>4.2752999999999999E-2</v>
      </c>
      <c r="AD70" s="8">
        <f t="shared" si="8"/>
        <v>8.2191780821917804E-2</v>
      </c>
      <c r="AE70">
        <f t="shared" si="9"/>
        <v>0.53232751981745807</v>
      </c>
      <c r="AF70">
        <f t="shared" si="10"/>
        <v>-0.46767248018254193</v>
      </c>
      <c r="AG70">
        <f t="shared" si="11"/>
        <v>6.4655039634916145E-2</v>
      </c>
    </row>
    <row r="71" spans="1:33" x14ac:dyDescent="0.25">
      <c r="A71" s="1">
        <v>45761</v>
      </c>
      <c r="B71">
        <v>5405.97</v>
      </c>
      <c r="C71">
        <v>5405</v>
      </c>
      <c r="D71" s="1">
        <v>45764</v>
      </c>
      <c r="E71" s="1">
        <v>45793</v>
      </c>
      <c r="F71">
        <v>30</v>
      </c>
      <c r="G71">
        <v>3</v>
      </c>
      <c r="H71">
        <v>32</v>
      </c>
      <c r="I71">
        <v>6.8965517241379309E-2</v>
      </c>
      <c r="J71">
        <v>0.93103448275862066</v>
      </c>
      <c r="K71" t="s">
        <v>19</v>
      </c>
      <c r="L71" t="s">
        <v>520</v>
      </c>
      <c r="M71">
        <v>60.97</v>
      </c>
      <c r="N71">
        <v>58.1</v>
      </c>
      <c r="O71">
        <v>60.2</v>
      </c>
      <c r="P71">
        <v>59.150000000000006</v>
      </c>
      <c r="Q71" t="s">
        <v>21</v>
      </c>
      <c r="R71">
        <v>26.62</v>
      </c>
      <c r="S71" t="s">
        <v>521</v>
      </c>
      <c r="T71">
        <v>169</v>
      </c>
      <c r="U71">
        <v>170.3</v>
      </c>
      <c r="V71">
        <v>173.4</v>
      </c>
      <c r="W71">
        <v>171.85000000000002</v>
      </c>
      <c r="X71" t="s">
        <v>21</v>
      </c>
      <c r="Y71">
        <v>25.565000000000001</v>
      </c>
      <c r="Z71">
        <f t="shared" si="6"/>
        <v>25.637758620689656</v>
      </c>
      <c r="AA71">
        <v>0.257250172</v>
      </c>
      <c r="AB71">
        <v>4.2850000000000001</v>
      </c>
      <c r="AC71">
        <f t="shared" si="7"/>
        <v>4.2849999999999999E-2</v>
      </c>
      <c r="AD71" s="8">
        <f t="shared" si="8"/>
        <v>8.2191780821917804E-2</v>
      </c>
      <c r="AE71">
        <f t="shared" si="9"/>
        <v>0.53468918763799855</v>
      </c>
      <c r="AF71">
        <f t="shared" si="10"/>
        <v>-0.46531081236200145</v>
      </c>
      <c r="AG71">
        <f t="shared" si="11"/>
        <v>6.9378375275997106E-2</v>
      </c>
    </row>
    <row r="72" spans="1:33" x14ac:dyDescent="0.25">
      <c r="A72" s="1">
        <v>45762</v>
      </c>
      <c r="B72">
        <v>5396.63</v>
      </c>
      <c r="C72">
        <v>5395</v>
      </c>
      <c r="D72" s="1">
        <v>45764</v>
      </c>
      <c r="E72" s="1">
        <v>45793</v>
      </c>
      <c r="F72">
        <v>30</v>
      </c>
      <c r="G72">
        <v>2</v>
      </c>
      <c r="H72">
        <v>31</v>
      </c>
      <c r="I72">
        <v>3.4482758620689655E-2</v>
      </c>
      <c r="J72">
        <v>0.96551724137931039</v>
      </c>
      <c r="K72" t="s">
        <v>19</v>
      </c>
      <c r="L72" t="s">
        <v>506</v>
      </c>
      <c r="M72">
        <v>41.8</v>
      </c>
      <c r="N72">
        <v>37.9</v>
      </c>
      <c r="O72">
        <v>39.700000000000003</v>
      </c>
      <c r="P72">
        <v>38.799999999999997</v>
      </c>
      <c r="Q72" t="s">
        <v>21</v>
      </c>
      <c r="R72">
        <v>21.292000000000002</v>
      </c>
      <c r="S72" t="s">
        <v>507</v>
      </c>
      <c r="T72">
        <v>165.8</v>
      </c>
      <c r="U72">
        <v>163.19999999999999</v>
      </c>
      <c r="V72">
        <v>165.1</v>
      </c>
      <c r="W72">
        <v>164.14999999999998</v>
      </c>
      <c r="X72" t="s">
        <v>21</v>
      </c>
      <c r="Y72">
        <v>24.754999999999999</v>
      </c>
      <c r="Z72">
        <f t="shared" si="6"/>
        <v>24.635586206896555</v>
      </c>
      <c r="AA72">
        <v>0.24702017200000001</v>
      </c>
      <c r="AB72">
        <v>4.2896000000000001</v>
      </c>
      <c r="AC72">
        <f t="shared" si="7"/>
        <v>4.2896000000000004E-2</v>
      </c>
      <c r="AD72" s="8">
        <f t="shared" si="8"/>
        <v>8.2191780821917804E-2</v>
      </c>
      <c r="AE72">
        <f t="shared" si="9"/>
        <v>0.53564178378551852</v>
      </c>
      <c r="AF72">
        <f t="shared" si="10"/>
        <v>-0.46435821621448148</v>
      </c>
      <c r="AG72">
        <f t="shared" si="11"/>
        <v>7.1283567571037043E-2</v>
      </c>
    </row>
    <row r="73" spans="1:33" x14ac:dyDescent="0.25">
      <c r="A73" s="1">
        <v>45763</v>
      </c>
      <c r="B73">
        <v>5275.7</v>
      </c>
      <c r="C73">
        <v>5275</v>
      </c>
      <c r="D73" s="1">
        <v>45764</v>
      </c>
      <c r="E73" s="1">
        <v>45793</v>
      </c>
      <c r="F73">
        <v>30</v>
      </c>
      <c r="G73">
        <v>1</v>
      </c>
      <c r="H73">
        <v>30</v>
      </c>
      <c r="I73">
        <v>0</v>
      </c>
      <c r="J73">
        <v>1</v>
      </c>
      <c r="K73" t="s">
        <v>19</v>
      </c>
      <c r="L73" t="s">
        <v>522</v>
      </c>
      <c r="M73">
        <v>37.17</v>
      </c>
      <c r="N73">
        <v>28.9</v>
      </c>
      <c r="O73">
        <v>30.9</v>
      </c>
      <c r="P73">
        <v>29.9</v>
      </c>
      <c r="Q73" t="s">
        <v>21</v>
      </c>
      <c r="R73">
        <v>28.268999999999998</v>
      </c>
      <c r="S73" t="s">
        <v>523</v>
      </c>
      <c r="T73">
        <v>176.76</v>
      </c>
      <c r="U73">
        <v>173</v>
      </c>
      <c r="V73">
        <v>176.5</v>
      </c>
      <c r="W73">
        <v>174.75</v>
      </c>
      <c r="X73" t="s">
        <v>21</v>
      </c>
      <c r="Y73">
        <v>27.847000000000001</v>
      </c>
      <c r="Z73">
        <f t="shared" si="6"/>
        <v>27.847000000000001</v>
      </c>
      <c r="AA73">
        <v>0.27918999999999999</v>
      </c>
      <c r="AB73">
        <v>4.2839999999999998</v>
      </c>
      <c r="AC73">
        <f t="shared" si="7"/>
        <v>4.2839999999999996E-2</v>
      </c>
      <c r="AD73" s="8">
        <f t="shared" si="8"/>
        <v>8.2191780821917804E-2</v>
      </c>
      <c r="AE73">
        <f t="shared" si="9"/>
        <v>0.53413540240813506</v>
      </c>
      <c r="AF73">
        <f t="shared" si="10"/>
        <v>-0.46586459759186494</v>
      </c>
      <c r="AG73">
        <f t="shared" si="11"/>
        <v>6.8270804816270125E-2</v>
      </c>
    </row>
    <row r="74" spans="1:33" x14ac:dyDescent="0.25">
      <c r="A74" s="1">
        <v>45764</v>
      </c>
      <c r="B74">
        <v>5282.7</v>
      </c>
      <c r="C74">
        <v>5285</v>
      </c>
      <c r="D74" s="1">
        <v>45793</v>
      </c>
      <c r="E74" s="1">
        <v>45828</v>
      </c>
      <c r="F74">
        <v>30</v>
      </c>
      <c r="G74">
        <v>29</v>
      </c>
      <c r="H74">
        <v>64</v>
      </c>
      <c r="I74">
        <v>0</v>
      </c>
      <c r="J74">
        <v>1</v>
      </c>
      <c r="K74" t="s">
        <v>19</v>
      </c>
      <c r="L74" t="s">
        <v>524</v>
      </c>
      <c r="M74">
        <v>168.4</v>
      </c>
      <c r="N74">
        <v>165.2</v>
      </c>
      <c r="O74">
        <v>168.2</v>
      </c>
      <c r="P74">
        <v>166.7</v>
      </c>
      <c r="Q74" t="s">
        <v>21</v>
      </c>
      <c r="R74">
        <v>26.012</v>
      </c>
      <c r="S74" t="s">
        <v>525</v>
      </c>
      <c r="T74">
        <v>238.9</v>
      </c>
      <c r="U74">
        <v>237.1</v>
      </c>
      <c r="V74">
        <v>240.2</v>
      </c>
      <c r="W74">
        <v>238.64999999999998</v>
      </c>
      <c r="X74" t="s">
        <v>21</v>
      </c>
      <c r="Y74">
        <v>24.928999999999998</v>
      </c>
      <c r="Z74">
        <f t="shared" si="6"/>
        <v>24.928999999999998</v>
      </c>
      <c r="AA74">
        <v>0.25080999999999998</v>
      </c>
      <c r="AB74">
        <v>4.2744</v>
      </c>
      <c r="AC74">
        <f t="shared" si="7"/>
        <v>4.2743999999999997E-2</v>
      </c>
      <c r="AD74" s="8">
        <f t="shared" si="8"/>
        <v>8.2191780821917804E-2</v>
      </c>
      <c r="AE74">
        <f t="shared" si="9"/>
        <v>0.53138737454542306</v>
      </c>
      <c r="AF74">
        <f t="shared" si="10"/>
        <v>-0.46861262545457694</v>
      </c>
      <c r="AG74">
        <f t="shared" si="11"/>
        <v>6.2774749090846127E-2</v>
      </c>
    </row>
    <row r="75" spans="1:33" x14ac:dyDescent="0.25">
      <c r="A75" s="1">
        <v>45768</v>
      </c>
      <c r="B75">
        <v>5158.2</v>
      </c>
      <c r="C75">
        <v>5160</v>
      </c>
      <c r="D75" s="1">
        <v>45793</v>
      </c>
      <c r="E75" s="1">
        <v>45828</v>
      </c>
      <c r="F75">
        <v>30</v>
      </c>
      <c r="G75">
        <v>25</v>
      </c>
      <c r="H75">
        <v>60</v>
      </c>
      <c r="I75">
        <v>0.8571428571428571</v>
      </c>
      <c r="J75">
        <v>0.14285714285714285</v>
      </c>
      <c r="K75" t="s">
        <v>19</v>
      </c>
      <c r="L75" t="s">
        <v>526</v>
      </c>
      <c r="M75">
        <v>166.69</v>
      </c>
      <c r="N75">
        <v>167.5</v>
      </c>
      <c r="O75">
        <v>169.6</v>
      </c>
      <c r="P75">
        <v>168.55</v>
      </c>
      <c r="Q75" t="s">
        <v>21</v>
      </c>
      <c r="R75">
        <v>29.085000000000001</v>
      </c>
      <c r="S75" t="s">
        <v>527</v>
      </c>
      <c r="T75">
        <v>236.27</v>
      </c>
      <c r="U75">
        <v>238.8</v>
      </c>
      <c r="V75">
        <v>241</v>
      </c>
      <c r="W75">
        <v>239.9</v>
      </c>
      <c r="X75" t="s">
        <v>21</v>
      </c>
      <c r="Y75">
        <v>27.047999999999998</v>
      </c>
      <c r="Z75">
        <f t="shared" si="6"/>
        <v>28.794</v>
      </c>
      <c r="AA75">
        <v>0.28958428600000002</v>
      </c>
      <c r="AB75">
        <v>4.3003999999999998</v>
      </c>
      <c r="AC75">
        <f t="shared" si="7"/>
        <v>4.3004000000000001E-2</v>
      </c>
      <c r="AD75" s="8">
        <f t="shared" si="8"/>
        <v>8.2191780821917804E-2</v>
      </c>
      <c r="AE75">
        <f t="shared" si="9"/>
        <v>0.531834627633329</v>
      </c>
      <c r="AF75">
        <f t="shared" si="10"/>
        <v>-0.468165372366671</v>
      </c>
      <c r="AG75">
        <f t="shared" si="11"/>
        <v>6.3669255266658009E-2</v>
      </c>
    </row>
    <row r="76" spans="1:33" x14ac:dyDescent="0.25">
      <c r="A76" s="1">
        <v>45769</v>
      </c>
      <c r="B76">
        <v>5287.76</v>
      </c>
      <c r="C76">
        <v>5290</v>
      </c>
      <c r="D76" s="1">
        <v>45793</v>
      </c>
      <c r="E76" s="1">
        <v>45828</v>
      </c>
      <c r="F76">
        <v>30</v>
      </c>
      <c r="G76">
        <v>24</v>
      </c>
      <c r="H76">
        <v>59</v>
      </c>
      <c r="I76">
        <v>0.82857142857142863</v>
      </c>
      <c r="J76">
        <v>0.17142857142857143</v>
      </c>
      <c r="K76" t="s">
        <v>19</v>
      </c>
      <c r="L76" t="s">
        <v>528</v>
      </c>
      <c r="M76">
        <v>155.32</v>
      </c>
      <c r="N76">
        <v>151.19999999999999</v>
      </c>
      <c r="O76">
        <v>153.5</v>
      </c>
      <c r="P76">
        <v>152.35</v>
      </c>
      <c r="Q76" t="s">
        <v>21</v>
      </c>
      <c r="R76">
        <v>25.571000000000002</v>
      </c>
      <c r="S76" t="s">
        <v>529</v>
      </c>
      <c r="T76">
        <v>228</v>
      </c>
      <c r="U76">
        <v>225.3</v>
      </c>
      <c r="V76">
        <v>227.6</v>
      </c>
      <c r="W76">
        <v>226.45</v>
      </c>
      <c r="X76" t="s">
        <v>21</v>
      </c>
      <c r="Y76">
        <v>25.241</v>
      </c>
      <c r="Z76">
        <f t="shared" si="6"/>
        <v>25.514428571428574</v>
      </c>
      <c r="AA76">
        <v>0.25571571399999998</v>
      </c>
      <c r="AB76">
        <v>4.2667000000000002</v>
      </c>
      <c r="AC76">
        <f t="shared" si="7"/>
        <v>4.2667000000000004E-2</v>
      </c>
      <c r="AD76" s="8">
        <f t="shared" si="8"/>
        <v>8.2191780821917804E-2</v>
      </c>
      <c r="AE76">
        <f t="shared" si="9"/>
        <v>0.53136991066388461</v>
      </c>
      <c r="AF76">
        <f t="shared" si="10"/>
        <v>-0.46863008933611539</v>
      </c>
      <c r="AG76">
        <f t="shared" si="11"/>
        <v>6.273982132776923E-2</v>
      </c>
    </row>
    <row r="77" spans="1:33" x14ac:dyDescent="0.25">
      <c r="A77" s="1">
        <v>45770</v>
      </c>
      <c r="B77">
        <v>5375.86</v>
      </c>
      <c r="C77">
        <v>5375</v>
      </c>
      <c r="D77" s="1">
        <v>45793</v>
      </c>
      <c r="E77" s="1">
        <v>45828</v>
      </c>
      <c r="F77">
        <v>30</v>
      </c>
      <c r="G77">
        <v>23</v>
      </c>
      <c r="H77">
        <v>58</v>
      </c>
      <c r="I77">
        <v>0.8</v>
      </c>
      <c r="J77">
        <v>0.2</v>
      </c>
      <c r="K77" t="s">
        <v>19</v>
      </c>
      <c r="L77" t="s">
        <v>530</v>
      </c>
      <c r="M77">
        <v>140</v>
      </c>
      <c r="N77">
        <v>143.80000000000001</v>
      </c>
      <c r="O77">
        <v>154.30000000000001</v>
      </c>
      <c r="P77">
        <v>149.05000000000001</v>
      </c>
      <c r="Q77" t="s">
        <v>21</v>
      </c>
      <c r="R77">
        <v>24.91</v>
      </c>
      <c r="S77" t="s">
        <v>531</v>
      </c>
      <c r="T77">
        <v>221.2</v>
      </c>
      <c r="U77">
        <v>219.3</v>
      </c>
      <c r="V77">
        <v>229.5</v>
      </c>
      <c r="W77">
        <v>224.4</v>
      </c>
      <c r="X77" t="s">
        <v>21</v>
      </c>
      <c r="Y77">
        <v>23.972999999999999</v>
      </c>
      <c r="Z77">
        <f t="shared" si="6"/>
        <v>24.7226</v>
      </c>
      <c r="AA77">
        <v>0.24693699999999999</v>
      </c>
      <c r="AB77">
        <v>4.2636000000000003</v>
      </c>
      <c r="AC77">
        <f t="shared" si="7"/>
        <v>4.2636E-2</v>
      </c>
      <c r="AD77" s="8">
        <f t="shared" si="8"/>
        <v>8.2191780821917804E-2</v>
      </c>
      <c r="AE77">
        <f t="shared" si="9"/>
        <v>0.5347266863168646</v>
      </c>
      <c r="AF77">
        <f t="shared" si="10"/>
        <v>-0.4652733136831354</v>
      </c>
      <c r="AG77">
        <f t="shared" si="11"/>
        <v>6.9453372633729193E-2</v>
      </c>
    </row>
    <row r="78" spans="1:33" x14ac:dyDescent="0.25">
      <c r="A78" s="1">
        <v>45771</v>
      </c>
      <c r="B78">
        <v>5484.77</v>
      </c>
      <c r="C78">
        <v>5485</v>
      </c>
      <c r="D78" s="1">
        <v>45793</v>
      </c>
      <c r="E78" s="1">
        <v>45828</v>
      </c>
      <c r="F78">
        <v>30</v>
      </c>
      <c r="G78">
        <v>22</v>
      </c>
      <c r="H78">
        <v>57</v>
      </c>
      <c r="I78">
        <v>0.77142857142857146</v>
      </c>
      <c r="J78">
        <v>0.22857142857142856</v>
      </c>
      <c r="K78" t="s">
        <v>19</v>
      </c>
      <c r="L78" t="s">
        <v>532</v>
      </c>
      <c r="M78">
        <v>125.53</v>
      </c>
      <c r="N78">
        <v>133.6</v>
      </c>
      <c r="O78">
        <v>136.30000000000001</v>
      </c>
      <c r="P78">
        <v>134.94999999999999</v>
      </c>
      <c r="Q78" t="s">
        <v>21</v>
      </c>
      <c r="R78">
        <v>22.927</v>
      </c>
      <c r="S78" t="s">
        <v>533</v>
      </c>
      <c r="T78">
        <v>197.48</v>
      </c>
      <c r="U78">
        <v>208.5</v>
      </c>
      <c r="V78">
        <v>211.3</v>
      </c>
      <c r="W78">
        <v>209.9</v>
      </c>
      <c r="X78" t="s">
        <v>21</v>
      </c>
      <c r="Y78">
        <v>22.24</v>
      </c>
      <c r="Z78">
        <f t="shared" si="6"/>
        <v>22.769971428571427</v>
      </c>
      <c r="AA78">
        <v>0.229158</v>
      </c>
      <c r="AB78">
        <v>4.2529000000000003</v>
      </c>
      <c r="AC78">
        <f t="shared" si="7"/>
        <v>4.2529000000000004E-2</v>
      </c>
      <c r="AD78" s="8">
        <f t="shared" si="8"/>
        <v>8.2191780821917804E-2</v>
      </c>
      <c r="AE78">
        <f t="shared" si="9"/>
        <v>0.53403504320995432</v>
      </c>
      <c r="AF78">
        <f t="shared" si="10"/>
        <v>-0.46596495679004568</v>
      </c>
      <c r="AG78">
        <f t="shared" si="11"/>
        <v>6.8070086419908638E-2</v>
      </c>
    </row>
    <row r="79" spans="1:33" x14ac:dyDescent="0.25">
      <c r="A79" s="1">
        <v>45772</v>
      </c>
      <c r="B79">
        <v>5525.21</v>
      </c>
      <c r="C79">
        <v>5525</v>
      </c>
      <c r="D79" s="1">
        <v>45793</v>
      </c>
      <c r="E79" s="1">
        <v>45828</v>
      </c>
      <c r="F79">
        <v>30</v>
      </c>
      <c r="G79">
        <v>21</v>
      </c>
      <c r="H79">
        <v>56</v>
      </c>
      <c r="I79">
        <v>0.74285714285714288</v>
      </c>
      <c r="J79">
        <v>0.25714285714285712</v>
      </c>
      <c r="K79" t="s">
        <v>19</v>
      </c>
      <c r="L79" t="s">
        <v>534</v>
      </c>
      <c r="M79">
        <v>120</v>
      </c>
      <c r="N79">
        <v>118.8</v>
      </c>
      <c r="O79">
        <v>120.8</v>
      </c>
      <c r="P79">
        <v>119.8</v>
      </c>
      <c r="Q79" t="s">
        <v>21</v>
      </c>
      <c r="R79">
        <v>21.5</v>
      </c>
      <c r="S79" t="s">
        <v>535</v>
      </c>
      <c r="T79">
        <v>195.45</v>
      </c>
      <c r="U79">
        <v>195</v>
      </c>
      <c r="V79">
        <v>196.9</v>
      </c>
      <c r="W79">
        <v>195.95</v>
      </c>
      <c r="X79" t="s">
        <v>21</v>
      </c>
      <c r="Y79">
        <v>21.283000000000001</v>
      </c>
      <c r="Z79">
        <f t="shared" si="6"/>
        <v>21.444199999999999</v>
      </c>
      <c r="AA79">
        <v>0.21431014300000001</v>
      </c>
      <c r="AB79">
        <v>4.2575000000000003</v>
      </c>
      <c r="AC79">
        <f t="shared" si="7"/>
        <v>4.2575000000000002E-2</v>
      </c>
      <c r="AD79" s="8">
        <f t="shared" si="8"/>
        <v>8.2191780821917804E-2</v>
      </c>
      <c r="AE79">
        <f t="shared" si="9"/>
        <v>0.53517820595230514</v>
      </c>
      <c r="AF79">
        <f t="shared" si="10"/>
        <v>-0.46482179404769486</v>
      </c>
      <c r="AG79">
        <f t="shared" si="11"/>
        <v>7.0356411904610283E-2</v>
      </c>
    </row>
    <row r="80" spans="1:33" x14ac:dyDescent="0.25">
      <c r="A80" s="1">
        <v>45775</v>
      </c>
      <c r="B80">
        <v>5528.75</v>
      </c>
      <c r="C80">
        <v>5530</v>
      </c>
      <c r="D80" s="1">
        <v>45793</v>
      </c>
      <c r="E80" s="1">
        <v>45828</v>
      </c>
      <c r="F80">
        <v>30</v>
      </c>
      <c r="G80">
        <v>18</v>
      </c>
      <c r="H80">
        <v>53</v>
      </c>
      <c r="I80">
        <v>0.65714285714285714</v>
      </c>
      <c r="J80">
        <v>0.34285714285714286</v>
      </c>
      <c r="K80" t="s">
        <v>19</v>
      </c>
      <c r="L80" t="s">
        <v>536</v>
      </c>
      <c r="M80">
        <v>109.25</v>
      </c>
      <c r="N80">
        <v>107.4</v>
      </c>
      <c r="O80">
        <v>109.2</v>
      </c>
      <c r="P80">
        <v>108.30000000000001</v>
      </c>
      <c r="Q80" t="s">
        <v>21</v>
      </c>
      <c r="R80">
        <v>21.09</v>
      </c>
      <c r="S80" t="s">
        <v>537</v>
      </c>
      <c r="T80">
        <v>194.37</v>
      </c>
      <c r="U80">
        <v>185.7</v>
      </c>
      <c r="V80">
        <v>187.5</v>
      </c>
      <c r="W80">
        <v>186.6</v>
      </c>
      <c r="X80" t="s">
        <v>21</v>
      </c>
      <c r="Y80">
        <v>21.158999999999999</v>
      </c>
      <c r="Z80">
        <f t="shared" si="6"/>
        <v>21.113657142857143</v>
      </c>
      <c r="AA80">
        <v>0.211943571</v>
      </c>
      <c r="AB80">
        <v>4.2927</v>
      </c>
      <c r="AC80">
        <f t="shared" si="7"/>
        <v>4.2927E-2</v>
      </c>
      <c r="AD80" s="8">
        <f t="shared" si="8"/>
        <v>8.2191780821917804E-2</v>
      </c>
      <c r="AE80">
        <f t="shared" si="9"/>
        <v>0.53376079535835497</v>
      </c>
      <c r="AF80">
        <f t="shared" si="10"/>
        <v>-0.46623920464164503</v>
      </c>
      <c r="AG80">
        <f t="shared" si="11"/>
        <v>6.7521590716709934E-2</v>
      </c>
    </row>
    <row r="81" spans="1:33" x14ac:dyDescent="0.25">
      <c r="A81" s="1">
        <v>45776</v>
      </c>
      <c r="B81">
        <v>5560.83</v>
      </c>
      <c r="C81">
        <v>5560</v>
      </c>
      <c r="D81" s="1">
        <v>45793</v>
      </c>
      <c r="E81" s="1">
        <v>45828</v>
      </c>
      <c r="F81">
        <v>30</v>
      </c>
      <c r="G81">
        <v>17</v>
      </c>
      <c r="H81">
        <v>52</v>
      </c>
      <c r="I81">
        <v>0.62857142857142856</v>
      </c>
      <c r="J81">
        <v>0.37142857142857144</v>
      </c>
      <c r="K81" t="s">
        <v>19</v>
      </c>
      <c r="L81" t="s">
        <v>538</v>
      </c>
      <c r="M81">
        <v>105.62</v>
      </c>
      <c r="N81">
        <v>103.6</v>
      </c>
      <c r="O81">
        <v>105.4</v>
      </c>
      <c r="P81">
        <v>104.5</v>
      </c>
      <c r="Q81" t="s">
        <v>21</v>
      </c>
      <c r="R81">
        <v>20.484000000000002</v>
      </c>
      <c r="S81" t="s">
        <v>539</v>
      </c>
      <c r="T81">
        <v>178</v>
      </c>
      <c r="U81">
        <v>184.5</v>
      </c>
      <c r="V81">
        <v>186.4</v>
      </c>
      <c r="W81">
        <v>185.45</v>
      </c>
      <c r="X81" t="s">
        <v>21</v>
      </c>
      <c r="Y81">
        <v>20.78</v>
      </c>
      <c r="Z81">
        <f t="shared" si="6"/>
        <v>20.593942857142856</v>
      </c>
      <c r="AA81">
        <v>0.20586385700000001</v>
      </c>
      <c r="AB81">
        <v>4.2946999999999997</v>
      </c>
      <c r="AC81">
        <f t="shared" si="7"/>
        <v>4.2946999999999999E-2</v>
      </c>
      <c r="AD81" s="8">
        <f t="shared" si="8"/>
        <v>8.2191780821917804E-2</v>
      </c>
      <c r="AE81">
        <f t="shared" si="9"/>
        <v>0.53659054929595329</v>
      </c>
      <c r="AF81">
        <f t="shared" si="10"/>
        <v>-0.46340945070404671</v>
      </c>
      <c r="AG81">
        <f t="shared" si="11"/>
        <v>7.3181098591906579E-2</v>
      </c>
    </row>
    <row r="82" spans="1:33" x14ac:dyDescent="0.25">
      <c r="A82" s="1">
        <v>45777</v>
      </c>
      <c r="B82">
        <v>5569.06</v>
      </c>
      <c r="C82">
        <v>5570</v>
      </c>
      <c r="D82" s="1">
        <v>45793</v>
      </c>
      <c r="E82" s="1">
        <v>45828</v>
      </c>
      <c r="F82">
        <v>30</v>
      </c>
      <c r="G82">
        <v>16</v>
      </c>
      <c r="H82">
        <v>51</v>
      </c>
      <c r="I82">
        <v>0.6</v>
      </c>
      <c r="J82">
        <v>0.4</v>
      </c>
      <c r="K82" t="s">
        <v>19</v>
      </c>
      <c r="L82" t="s">
        <v>540</v>
      </c>
      <c r="M82">
        <v>107</v>
      </c>
      <c r="N82">
        <v>118.7</v>
      </c>
      <c r="O82">
        <v>121.1</v>
      </c>
      <c r="P82">
        <v>119.9</v>
      </c>
      <c r="Q82" t="s">
        <v>21</v>
      </c>
      <c r="R82">
        <v>21.231999999999999</v>
      </c>
      <c r="S82" t="s">
        <v>541</v>
      </c>
      <c r="T82">
        <v>165.1</v>
      </c>
      <c r="U82">
        <v>201.8</v>
      </c>
      <c r="V82">
        <v>204.6</v>
      </c>
      <c r="W82">
        <v>203.2</v>
      </c>
      <c r="X82" t="s">
        <v>21</v>
      </c>
      <c r="Y82">
        <v>21.021000000000001</v>
      </c>
      <c r="Z82">
        <f t="shared" si="6"/>
        <v>21.147599999999997</v>
      </c>
      <c r="AA82">
        <v>0.21263099999999999</v>
      </c>
      <c r="AB82">
        <v>4.2891000000000004</v>
      </c>
      <c r="AC82">
        <f t="shared" si="7"/>
        <v>4.2891000000000006E-2</v>
      </c>
      <c r="AD82" s="8">
        <f t="shared" si="8"/>
        <v>8.2191780821917804E-2</v>
      </c>
      <c r="AE82">
        <f t="shared" si="9"/>
        <v>0.53408440185407313</v>
      </c>
      <c r="AF82">
        <f t="shared" si="10"/>
        <v>-0.46591559814592687</v>
      </c>
      <c r="AG82">
        <f t="shared" si="11"/>
        <v>6.8168803708146264E-2</v>
      </c>
    </row>
    <row r="83" spans="1:33" x14ac:dyDescent="0.25">
      <c r="A83" s="1">
        <v>45778</v>
      </c>
      <c r="B83">
        <v>5604.14</v>
      </c>
      <c r="C83">
        <v>5605</v>
      </c>
      <c r="D83" s="1">
        <v>45793</v>
      </c>
      <c r="E83" s="1">
        <v>45828</v>
      </c>
      <c r="F83">
        <v>30</v>
      </c>
      <c r="G83">
        <v>15</v>
      </c>
      <c r="H83">
        <v>50</v>
      </c>
      <c r="I83">
        <v>0.5714285714285714</v>
      </c>
      <c r="J83">
        <v>0.42857142857142855</v>
      </c>
      <c r="K83" t="s">
        <v>19</v>
      </c>
      <c r="L83" t="s">
        <v>542</v>
      </c>
      <c r="M83">
        <v>116.8</v>
      </c>
      <c r="N83">
        <v>88.8</v>
      </c>
      <c r="O83">
        <v>91.2</v>
      </c>
      <c r="P83">
        <v>90</v>
      </c>
      <c r="Q83" t="s">
        <v>21</v>
      </c>
      <c r="R83">
        <v>20.91</v>
      </c>
      <c r="S83" t="s">
        <v>543</v>
      </c>
      <c r="T83">
        <v>174</v>
      </c>
      <c r="U83">
        <v>172.8</v>
      </c>
      <c r="V83">
        <v>175.6</v>
      </c>
      <c r="W83">
        <v>174.2</v>
      </c>
      <c r="X83" t="s">
        <v>21</v>
      </c>
      <c r="Y83">
        <v>20.983000000000001</v>
      </c>
      <c r="Z83">
        <f t="shared" si="6"/>
        <v>20.941285714285712</v>
      </c>
      <c r="AA83">
        <v>0.20842928599999999</v>
      </c>
      <c r="AB83">
        <v>4.2885999999999997</v>
      </c>
      <c r="AC83">
        <f t="shared" si="7"/>
        <v>4.2886000000000001E-2</v>
      </c>
      <c r="AD83" s="8">
        <f t="shared" si="8"/>
        <v>8.2191780821917804E-2</v>
      </c>
      <c r="AE83">
        <f t="shared" si="9"/>
        <v>0.5343854242846876</v>
      </c>
      <c r="AF83">
        <f t="shared" si="10"/>
        <v>-0.4656145757153124</v>
      </c>
      <c r="AG83">
        <f t="shared" si="11"/>
        <v>6.8770848569375209E-2</v>
      </c>
    </row>
    <row r="84" spans="1:33" x14ac:dyDescent="0.25">
      <c r="A84" s="1">
        <v>45779</v>
      </c>
      <c r="B84">
        <v>5686.67</v>
      </c>
      <c r="C84">
        <v>5685</v>
      </c>
      <c r="D84" s="1">
        <v>45793</v>
      </c>
      <c r="E84" s="1">
        <v>45828</v>
      </c>
      <c r="F84">
        <v>30</v>
      </c>
      <c r="G84">
        <v>14</v>
      </c>
      <c r="H84">
        <v>49</v>
      </c>
      <c r="I84">
        <v>0.54285714285714282</v>
      </c>
      <c r="J84">
        <v>0.45714285714285713</v>
      </c>
      <c r="K84" t="s">
        <v>19</v>
      </c>
      <c r="L84" t="s">
        <v>544</v>
      </c>
      <c r="M84">
        <v>88.36</v>
      </c>
      <c r="N84">
        <v>85.4</v>
      </c>
      <c r="O84">
        <v>87.1</v>
      </c>
      <c r="P84">
        <v>86.25</v>
      </c>
      <c r="Q84" t="s">
        <v>21</v>
      </c>
      <c r="R84">
        <v>18.350000000000001</v>
      </c>
      <c r="S84" t="s">
        <v>545</v>
      </c>
      <c r="T84">
        <v>172.35</v>
      </c>
      <c r="U84">
        <v>172.4</v>
      </c>
      <c r="V84">
        <v>174</v>
      </c>
      <c r="W84">
        <v>173.2</v>
      </c>
      <c r="X84" t="s">
        <v>21</v>
      </c>
      <c r="Y84">
        <v>19.364000000000001</v>
      </c>
      <c r="Z84">
        <f t="shared" si="6"/>
        <v>18.813542857142856</v>
      </c>
      <c r="AA84">
        <v>0.18940257099999999</v>
      </c>
      <c r="AB84">
        <v>4.2830000000000004</v>
      </c>
      <c r="AC84">
        <f t="shared" si="7"/>
        <v>4.2830000000000007E-2</v>
      </c>
      <c r="AD84" s="8">
        <f t="shared" si="8"/>
        <v>8.2191780821917804E-2</v>
      </c>
      <c r="AE84">
        <f t="shared" si="9"/>
        <v>0.53879131387556334</v>
      </c>
      <c r="AF84">
        <f t="shared" si="10"/>
        <v>-0.46120868612443666</v>
      </c>
      <c r="AG84">
        <f t="shared" si="11"/>
        <v>7.7582627751126676E-2</v>
      </c>
    </row>
    <row r="85" spans="1:33" x14ac:dyDescent="0.25">
      <c r="A85" s="1">
        <v>45782</v>
      </c>
      <c r="B85">
        <v>5650.38</v>
      </c>
      <c r="C85">
        <v>5650</v>
      </c>
      <c r="D85" s="1">
        <v>45793</v>
      </c>
      <c r="E85" s="1">
        <v>45828</v>
      </c>
      <c r="F85">
        <v>30</v>
      </c>
      <c r="G85">
        <v>11</v>
      </c>
      <c r="H85">
        <v>46</v>
      </c>
      <c r="I85">
        <v>0.45714285714285713</v>
      </c>
      <c r="J85">
        <v>0.54285714285714282</v>
      </c>
      <c r="K85" t="s">
        <v>19</v>
      </c>
      <c r="L85" t="s">
        <v>546</v>
      </c>
      <c r="M85">
        <v>82.7</v>
      </c>
      <c r="N85">
        <v>78.099999999999994</v>
      </c>
      <c r="O85">
        <v>79.3</v>
      </c>
      <c r="P85">
        <v>78.699999999999989</v>
      </c>
      <c r="Q85" t="s">
        <v>21</v>
      </c>
      <c r="R85">
        <v>18.442</v>
      </c>
      <c r="S85" t="s">
        <v>547</v>
      </c>
      <c r="T85">
        <v>171.3</v>
      </c>
      <c r="U85">
        <v>168.5</v>
      </c>
      <c r="V85">
        <v>169.9</v>
      </c>
      <c r="W85">
        <v>169.2</v>
      </c>
      <c r="X85" t="s">
        <v>21</v>
      </c>
      <c r="Y85">
        <v>19.757000000000001</v>
      </c>
      <c r="Z85">
        <f t="shared" si="6"/>
        <v>19.155857142857144</v>
      </c>
      <c r="AA85">
        <v>0.19162742899999999</v>
      </c>
      <c r="AB85">
        <v>4.3029000000000002</v>
      </c>
      <c r="AC85">
        <f t="shared" si="7"/>
        <v>4.3029000000000005E-2</v>
      </c>
      <c r="AD85" s="8">
        <f t="shared" si="8"/>
        <v>8.2191780821917804E-2</v>
      </c>
      <c r="AE85">
        <f t="shared" si="9"/>
        <v>0.53707531247516438</v>
      </c>
      <c r="AF85">
        <f t="shared" si="10"/>
        <v>-0.46292468752483562</v>
      </c>
      <c r="AG85">
        <f t="shared" si="11"/>
        <v>7.4150624950328758E-2</v>
      </c>
    </row>
    <row r="86" spans="1:33" x14ac:dyDescent="0.25">
      <c r="A86" s="1">
        <v>45783</v>
      </c>
      <c r="B86">
        <v>5606.91</v>
      </c>
      <c r="C86">
        <v>5605</v>
      </c>
      <c r="D86" s="1">
        <v>45793</v>
      </c>
      <c r="E86" s="1">
        <v>45828</v>
      </c>
      <c r="F86">
        <v>30</v>
      </c>
      <c r="G86">
        <v>10</v>
      </c>
      <c r="H86">
        <v>45</v>
      </c>
      <c r="I86">
        <v>0.42857142857142855</v>
      </c>
      <c r="J86">
        <v>0.5714285714285714</v>
      </c>
      <c r="K86" t="s">
        <v>19</v>
      </c>
      <c r="L86" t="s">
        <v>542</v>
      </c>
      <c r="M86">
        <v>90</v>
      </c>
      <c r="N86">
        <v>75</v>
      </c>
      <c r="O86">
        <v>76.8</v>
      </c>
      <c r="P86">
        <v>75.900000000000006</v>
      </c>
      <c r="Q86" t="s">
        <v>21</v>
      </c>
      <c r="R86">
        <v>19.795999999999999</v>
      </c>
      <c r="S86" t="s">
        <v>543</v>
      </c>
      <c r="T86">
        <v>183.1</v>
      </c>
      <c r="U86">
        <v>168.4</v>
      </c>
      <c r="V86">
        <v>170.6</v>
      </c>
      <c r="W86">
        <v>169.5</v>
      </c>
      <c r="X86" t="s">
        <v>21</v>
      </c>
      <c r="Y86">
        <v>20.734000000000002</v>
      </c>
      <c r="Z86">
        <f t="shared" si="6"/>
        <v>20.332000000000001</v>
      </c>
      <c r="AA86">
        <v>0.204667143</v>
      </c>
      <c r="AB86">
        <v>4.2946999999999997</v>
      </c>
      <c r="AC86">
        <f t="shared" si="7"/>
        <v>4.2946999999999999E-2</v>
      </c>
      <c r="AD86" s="8">
        <f t="shared" si="8"/>
        <v>8.2191780821917804E-2</v>
      </c>
      <c r="AE86">
        <f t="shared" si="9"/>
        <v>0.53796311078446368</v>
      </c>
      <c r="AF86">
        <f t="shared" si="10"/>
        <v>-0.46203688921553632</v>
      </c>
      <c r="AG86">
        <f t="shared" si="11"/>
        <v>7.5926221568927366E-2</v>
      </c>
    </row>
    <row r="87" spans="1:33" x14ac:dyDescent="0.25">
      <c r="A87" s="1">
        <v>45784</v>
      </c>
      <c r="B87">
        <v>5631.28</v>
      </c>
      <c r="C87">
        <v>5630</v>
      </c>
      <c r="D87" s="1">
        <v>45793</v>
      </c>
      <c r="E87" s="1">
        <v>45828</v>
      </c>
      <c r="F87">
        <v>30</v>
      </c>
      <c r="G87">
        <v>9</v>
      </c>
      <c r="H87">
        <v>44</v>
      </c>
      <c r="I87">
        <v>0.4</v>
      </c>
      <c r="J87">
        <v>0.6</v>
      </c>
      <c r="K87" t="s">
        <v>19</v>
      </c>
      <c r="L87" t="s">
        <v>548</v>
      </c>
      <c r="M87">
        <v>67.22</v>
      </c>
      <c r="N87">
        <v>69.2</v>
      </c>
      <c r="O87">
        <v>71.3</v>
      </c>
      <c r="P87">
        <v>70.25</v>
      </c>
      <c r="Q87" t="s">
        <v>21</v>
      </c>
      <c r="R87">
        <v>19.170999999999999</v>
      </c>
      <c r="S87" t="s">
        <v>549</v>
      </c>
      <c r="T87">
        <v>165.93</v>
      </c>
      <c r="U87">
        <v>163</v>
      </c>
      <c r="V87">
        <v>165.5</v>
      </c>
      <c r="W87">
        <v>164.25</v>
      </c>
      <c r="X87" t="s">
        <v>21</v>
      </c>
      <c r="Y87">
        <v>20.131</v>
      </c>
      <c r="Z87">
        <f t="shared" si="6"/>
        <v>19.747</v>
      </c>
      <c r="AA87">
        <v>0.19869000000000001</v>
      </c>
      <c r="AB87">
        <v>4.2789000000000001</v>
      </c>
      <c r="AC87">
        <f t="shared" si="7"/>
        <v>4.2789000000000001E-2</v>
      </c>
      <c r="AD87" s="8">
        <f t="shared" si="8"/>
        <v>8.2191780821917804E-2</v>
      </c>
      <c r="AE87">
        <f t="shared" si="9"/>
        <v>0.53752989008857388</v>
      </c>
      <c r="AF87">
        <f t="shared" si="10"/>
        <v>-0.46247010991142612</v>
      </c>
      <c r="AG87">
        <f t="shared" si="11"/>
        <v>7.5059780177147761E-2</v>
      </c>
    </row>
    <row r="88" spans="1:33" x14ac:dyDescent="0.25">
      <c r="A88" s="1">
        <v>45785</v>
      </c>
      <c r="B88">
        <v>5663.94</v>
      </c>
      <c r="C88">
        <v>5665</v>
      </c>
      <c r="D88" s="1">
        <v>45793</v>
      </c>
      <c r="E88" s="1">
        <v>45828</v>
      </c>
      <c r="F88">
        <v>30</v>
      </c>
      <c r="G88">
        <v>8</v>
      </c>
      <c r="H88">
        <v>43</v>
      </c>
      <c r="I88">
        <v>0.37142857142857144</v>
      </c>
      <c r="J88">
        <v>0.62857142857142856</v>
      </c>
      <c r="K88" t="s">
        <v>19</v>
      </c>
      <c r="L88" t="s">
        <v>550</v>
      </c>
      <c r="M88">
        <v>99.7</v>
      </c>
      <c r="N88">
        <v>64.599999999999994</v>
      </c>
      <c r="O88">
        <v>66</v>
      </c>
      <c r="P88">
        <v>65.3</v>
      </c>
      <c r="Q88" t="s">
        <v>21</v>
      </c>
      <c r="R88">
        <v>18.887</v>
      </c>
      <c r="S88" t="s">
        <v>551</v>
      </c>
      <c r="T88">
        <v>160.75</v>
      </c>
      <c r="U88">
        <v>157.9</v>
      </c>
      <c r="V88">
        <v>159.80000000000001</v>
      </c>
      <c r="W88">
        <v>158.85000000000002</v>
      </c>
      <c r="X88" t="s">
        <v>21</v>
      </c>
      <c r="Y88">
        <v>19.375</v>
      </c>
      <c r="Z88">
        <f t="shared" si="6"/>
        <v>19.193742857142858</v>
      </c>
      <c r="AA88">
        <v>0.19303557099999999</v>
      </c>
      <c r="AB88">
        <v>4.2809999999999997</v>
      </c>
      <c r="AC88">
        <f t="shared" si="7"/>
        <v>4.2809999999999994E-2</v>
      </c>
      <c r="AD88" s="8">
        <f t="shared" si="8"/>
        <v>8.2191780821917804E-2</v>
      </c>
      <c r="AE88">
        <f t="shared" si="9"/>
        <v>0.53500985188605177</v>
      </c>
      <c r="AF88">
        <f t="shared" si="10"/>
        <v>-0.46499014811394823</v>
      </c>
      <c r="AG88">
        <f t="shared" si="11"/>
        <v>7.0019703772103536E-2</v>
      </c>
    </row>
    <row r="89" spans="1:33" x14ac:dyDescent="0.25">
      <c r="A89" s="1">
        <v>45786</v>
      </c>
      <c r="B89">
        <v>5659.91</v>
      </c>
      <c r="C89">
        <v>5660</v>
      </c>
      <c r="D89" s="1">
        <v>45793</v>
      </c>
      <c r="E89" s="1">
        <v>45828</v>
      </c>
      <c r="F89">
        <v>30</v>
      </c>
      <c r="G89">
        <v>7</v>
      </c>
      <c r="H89">
        <v>42</v>
      </c>
      <c r="I89">
        <v>0.34285714285714286</v>
      </c>
      <c r="J89">
        <v>0.65714285714285714</v>
      </c>
      <c r="K89" t="s">
        <v>19</v>
      </c>
      <c r="L89" t="s">
        <v>552</v>
      </c>
      <c r="M89">
        <v>59.96</v>
      </c>
      <c r="N89">
        <v>63</v>
      </c>
      <c r="O89">
        <v>64.5</v>
      </c>
      <c r="P89">
        <v>63.75</v>
      </c>
      <c r="Q89" t="s">
        <v>21</v>
      </c>
      <c r="R89">
        <v>19.532</v>
      </c>
      <c r="S89" t="s">
        <v>553</v>
      </c>
      <c r="T89">
        <v>154.61000000000001</v>
      </c>
      <c r="U89">
        <v>156.4</v>
      </c>
      <c r="V89">
        <v>158.4</v>
      </c>
      <c r="W89">
        <v>157.4</v>
      </c>
      <c r="X89" t="s">
        <v>21</v>
      </c>
      <c r="Y89">
        <v>19.262</v>
      </c>
      <c r="Z89">
        <f t="shared" si="6"/>
        <v>19.354571428571429</v>
      </c>
      <c r="AA89">
        <v>0.19431728600000001</v>
      </c>
      <c r="AB89">
        <v>4.2752999999999997</v>
      </c>
      <c r="AC89">
        <f t="shared" si="7"/>
        <v>4.2752999999999999E-2</v>
      </c>
      <c r="AD89" s="8">
        <f t="shared" si="8"/>
        <v>8.2191780821917804E-2</v>
      </c>
      <c r="AE89">
        <f t="shared" si="9"/>
        <v>0.53611299700533555</v>
      </c>
      <c r="AF89">
        <f t="shared" si="10"/>
        <v>-0.46388700299466445</v>
      </c>
      <c r="AG89">
        <f t="shared" si="11"/>
        <v>7.2225994010671091E-2</v>
      </c>
    </row>
    <row r="90" spans="1:33" x14ac:dyDescent="0.25">
      <c r="A90" s="1">
        <v>45789</v>
      </c>
      <c r="B90">
        <v>5844.19</v>
      </c>
      <c r="C90">
        <v>5845</v>
      </c>
      <c r="D90" s="1">
        <v>45793</v>
      </c>
      <c r="E90" s="1">
        <v>45828</v>
      </c>
      <c r="F90">
        <v>30</v>
      </c>
      <c r="G90">
        <v>4</v>
      </c>
      <c r="H90">
        <v>39</v>
      </c>
      <c r="I90">
        <v>0.25714285714285712</v>
      </c>
      <c r="J90">
        <v>0.74285714285714288</v>
      </c>
      <c r="K90" t="s">
        <v>19</v>
      </c>
      <c r="L90" t="s">
        <v>554</v>
      </c>
      <c r="M90">
        <v>43</v>
      </c>
      <c r="N90">
        <v>42.1</v>
      </c>
      <c r="O90">
        <v>43.5</v>
      </c>
      <c r="P90">
        <v>42.8</v>
      </c>
      <c r="Q90" t="s">
        <v>21</v>
      </c>
      <c r="R90">
        <v>14.156000000000001</v>
      </c>
      <c r="S90" t="s">
        <v>555</v>
      </c>
      <c r="T90">
        <v>128.13</v>
      </c>
      <c r="U90">
        <v>128.19999999999999</v>
      </c>
      <c r="V90">
        <v>129.80000000000001</v>
      </c>
      <c r="W90">
        <v>129</v>
      </c>
      <c r="X90" t="s">
        <v>21</v>
      </c>
      <c r="Y90">
        <v>15.162000000000001</v>
      </c>
      <c r="Z90">
        <f t="shared" si="6"/>
        <v>14.903314285714288</v>
      </c>
      <c r="AA90">
        <v>0.15064085699999999</v>
      </c>
      <c r="AB90">
        <v>4.3079999999999998</v>
      </c>
      <c r="AC90">
        <f t="shared" si="7"/>
        <v>4.308E-2</v>
      </c>
      <c r="AD90" s="8">
        <f t="shared" si="8"/>
        <v>8.2191780821917804E-2</v>
      </c>
      <c r="AE90">
        <f t="shared" si="9"/>
        <v>0.53997552724291364</v>
      </c>
      <c r="AF90">
        <f t="shared" si="10"/>
        <v>-0.46002447275708636</v>
      </c>
      <c r="AG90">
        <f t="shared" si="11"/>
        <v>7.9951054485827289E-2</v>
      </c>
    </row>
    <row r="91" spans="1:33" x14ac:dyDescent="0.25">
      <c r="A91" s="1">
        <v>45790</v>
      </c>
      <c r="B91">
        <v>5886.55</v>
      </c>
      <c r="C91">
        <v>5885</v>
      </c>
      <c r="D91" s="1">
        <v>45793</v>
      </c>
      <c r="E91" s="1">
        <v>45828</v>
      </c>
      <c r="F91">
        <v>30</v>
      </c>
      <c r="G91">
        <v>3</v>
      </c>
      <c r="H91">
        <v>38</v>
      </c>
      <c r="I91">
        <v>0.22857142857142856</v>
      </c>
      <c r="J91">
        <v>0.77142857142857146</v>
      </c>
      <c r="K91" t="s">
        <v>19</v>
      </c>
      <c r="L91" t="s">
        <v>556</v>
      </c>
      <c r="M91">
        <v>31.87</v>
      </c>
      <c r="N91">
        <v>30.3</v>
      </c>
      <c r="O91">
        <v>31.4</v>
      </c>
      <c r="P91">
        <v>30.85</v>
      </c>
      <c r="Q91" t="s">
        <v>21</v>
      </c>
      <c r="R91">
        <v>13.048</v>
      </c>
      <c r="S91" t="s">
        <v>557</v>
      </c>
      <c r="T91">
        <v>132.97</v>
      </c>
      <c r="U91">
        <v>119.1</v>
      </c>
      <c r="V91">
        <v>120.9</v>
      </c>
      <c r="W91">
        <v>120</v>
      </c>
      <c r="X91" t="s">
        <v>21</v>
      </c>
      <c r="Y91">
        <v>14.769</v>
      </c>
      <c r="Z91">
        <f t="shared" si="6"/>
        <v>14.375628571428573</v>
      </c>
      <c r="AA91">
        <v>0.14456728599999999</v>
      </c>
      <c r="AB91">
        <v>4.3101000000000003</v>
      </c>
      <c r="AC91">
        <f t="shared" si="7"/>
        <v>4.3101E-2</v>
      </c>
      <c r="AD91" s="8">
        <f t="shared" si="8"/>
        <v>8.2191780821917804E-2</v>
      </c>
      <c r="AE91">
        <f t="shared" si="9"/>
        <v>0.54480654719042132</v>
      </c>
      <c r="AF91">
        <f t="shared" si="10"/>
        <v>-0.45519345280957868</v>
      </c>
      <c r="AG91">
        <f t="shared" si="11"/>
        <v>8.9613094380842639E-2</v>
      </c>
    </row>
    <row r="92" spans="1:33" x14ac:dyDescent="0.25">
      <c r="A92" s="1">
        <v>45791</v>
      </c>
      <c r="B92">
        <v>5892.58</v>
      </c>
      <c r="C92">
        <v>5895</v>
      </c>
      <c r="D92" s="1">
        <v>45793</v>
      </c>
      <c r="E92" s="1">
        <v>45828</v>
      </c>
      <c r="F92">
        <v>30</v>
      </c>
      <c r="G92">
        <v>2</v>
      </c>
      <c r="H92">
        <v>37</v>
      </c>
      <c r="I92">
        <v>0.2</v>
      </c>
      <c r="J92">
        <v>0.8</v>
      </c>
      <c r="K92" t="s">
        <v>19</v>
      </c>
      <c r="L92" t="s">
        <v>558</v>
      </c>
      <c r="M92">
        <v>23.4</v>
      </c>
      <c r="N92">
        <v>20.6</v>
      </c>
      <c r="O92">
        <v>21.8</v>
      </c>
      <c r="P92">
        <v>21.200000000000003</v>
      </c>
      <c r="Q92" t="s">
        <v>21</v>
      </c>
      <c r="R92">
        <v>12.978</v>
      </c>
      <c r="S92" t="s">
        <v>559</v>
      </c>
      <c r="T92">
        <v>120.5</v>
      </c>
      <c r="U92">
        <v>118.2</v>
      </c>
      <c r="V92">
        <v>120</v>
      </c>
      <c r="W92">
        <v>119.1</v>
      </c>
      <c r="X92" t="s">
        <v>21</v>
      </c>
      <c r="Y92">
        <v>15.226000000000001</v>
      </c>
      <c r="Z92">
        <f t="shared" si="6"/>
        <v>14.776400000000002</v>
      </c>
      <c r="AA92">
        <v>0.14896699999999999</v>
      </c>
      <c r="AB92">
        <v>4.3121</v>
      </c>
      <c r="AC92">
        <f t="shared" si="7"/>
        <v>4.3121E-2</v>
      </c>
      <c r="AD92" s="8">
        <f t="shared" si="8"/>
        <v>8.2191780821917804E-2</v>
      </c>
      <c r="AE92">
        <f t="shared" si="9"/>
        <v>0.53773417757685205</v>
      </c>
      <c r="AF92">
        <f t="shared" si="10"/>
        <v>-0.46226582242314795</v>
      </c>
      <c r="AG92">
        <f t="shared" si="11"/>
        <v>7.5468355153704092E-2</v>
      </c>
    </row>
    <row r="93" spans="1:33" x14ac:dyDescent="0.25">
      <c r="A93" s="1">
        <v>45792</v>
      </c>
      <c r="B93">
        <v>5916.93</v>
      </c>
      <c r="C93">
        <v>5915</v>
      </c>
      <c r="D93" s="1">
        <v>45793</v>
      </c>
      <c r="E93" s="1">
        <v>45828</v>
      </c>
      <c r="F93">
        <v>30</v>
      </c>
      <c r="G93">
        <v>1</v>
      </c>
      <c r="H93">
        <v>36</v>
      </c>
      <c r="I93">
        <v>0.17142857142857143</v>
      </c>
      <c r="J93">
        <v>0.82857142857142863</v>
      </c>
      <c r="K93" t="s">
        <v>19</v>
      </c>
      <c r="L93" t="s">
        <v>560</v>
      </c>
      <c r="M93">
        <v>16.420000000000002</v>
      </c>
      <c r="N93">
        <v>13.7</v>
      </c>
      <c r="O93">
        <v>14.5</v>
      </c>
      <c r="P93">
        <v>14.1</v>
      </c>
      <c r="Q93" t="s">
        <v>21</v>
      </c>
      <c r="R93">
        <v>11.114000000000001</v>
      </c>
      <c r="S93" t="s">
        <v>561</v>
      </c>
      <c r="T93">
        <v>119.9</v>
      </c>
      <c r="U93">
        <v>117.8</v>
      </c>
      <c r="V93">
        <v>119.2</v>
      </c>
      <c r="W93">
        <v>118.5</v>
      </c>
      <c r="X93" t="s">
        <v>21</v>
      </c>
      <c r="Y93">
        <v>14.875999999999999</v>
      </c>
      <c r="Z93">
        <f t="shared" si="6"/>
        <v>14.231085714285715</v>
      </c>
      <c r="AA93">
        <v>0.14267685699999999</v>
      </c>
      <c r="AB93">
        <v>4.3064999999999998</v>
      </c>
      <c r="AC93">
        <f t="shared" si="7"/>
        <v>4.3064999999999999E-2</v>
      </c>
      <c r="AD93" s="8">
        <f t="shared" si="8"/>
        <v>8.2191780821917804E-2</v>
      </c>
      <c r="AE93">
        <f t="shared" si="9"/>
        <v>0.54576212985386752</v>
      </c>
      <c r="AF93">
        <f t="shared" si="10"/>
        <v>-0.45423787014613248</v>
      </c>
      <c r="AG93">
        <f t="shared" si="11"/>
        <v>9.1524259707735034E-2</v>
      </c>
    </row>
    <row r="94" spans="1:33" x14ac:dyDescent="0.25">
      <c r="A94" s="1">
        <v>45793</v>
      </c>
      <c r="B94">
        <v>5958.38</v>
      </c>
      <c r="C94">
        <v>5960</v>
      </c>
      <c r="D94" s="1">
        <v>45828</v>
      </c>
      <c r="E94" s="1">
        <v>45856</v>
      </c>
      <c r="F94">
        <v>30</v>
      </c>
      <c r="G94">
        <v>35</v>
      </c>
      <c r="H94">
        <v>63</v>
      </c>
      <c r="I94">
        <v>1</v>
      </c>
      <c r="J94">
        <v>0</v>
      </c>
      <c r="K94" t="s">
        <v>19</v>
      </c>
      <c r="L94" t="s">
        <v>562</v>
      </c>
      <c r="M94">
        <v>104.5</v>
      </c>
      <c r="N94">
        <v>100.1</v>
      </c>
      <c r="O94">
        <v>102.7</v>
      </c>
      <c r="P94">
        <v>101.4</v>
      </c>
      <c r="Q94" t="s">
        <v>21</v>
      </c>
      <c r="R94">
        <v>14.609</v>
      </c>
      <c r="S94" t="s">
        <v>563</v>
      </c>
      <c r="T94">
        <v>164.15</v>
      </c>
      <c r="U94">
        <v>151.5</v>
      </c>
      <c r="V94">
        <v>154.69999999999999</v>
      </c>
      <c r="W94">
        <v>153.1</v>
      </c>
      <c r="X94" t="s">
        <v>21</v>
      </c>
      <c r="Y94">
        <v>15.398</v>
      </c>
      <c r="Z94">
        <f t="shared" si="6"/>
        <v>14.609</v>
      </c>
      <c r="AA94">
        <v>0.14706</v>
      </c>
      <c r="AB94">
        <v>4.2752999999999997</v>
      </c>
      <c r="AC94">
        <f t="shared" si="7"/>
        <v>4.2752999999999999E-2</v>
      </c>
      <c r="AD94" s="8">
        <f t="shared" si="8"/>
        <v>8.2191780821917804E-2</v>
      </c>
      <c r="AE94">
        <f t="shared" si="9"/>
        <v>0.53902542289247579</v>
      </c>
      <c r="AF94">
        <f t="shared" si="10"/>
        <v>-0.46097457710752421</v>
      </c>
      <c r="AG94">
        <f t="shared" si="11"/>
        <v>7.8050845784951584E-2</v>
      </c>
    </row>
    <row r="95" spans="1:33" x14ac:dyDescent="0.25">
      <c r="A95" s="1">
        <v>45796</v>
      </c>
      <c r="B95">
        <v>5963.6</v>
      </c>
      <c r="C95">
        <v>5965</v>
      </c>
      <c r="D95" s="1">
        <v>45828</v>
      </c>
      <c r="E95" s="1">
        <v>45856</v>
      </c>
      <c r="F95">
        <v>30</v>
      </c>
      <c r="G95">
        <v>32</v>
      </c>
      <c r="H95">
        <v>60</v>
      </c>
      <c r="I95">
        <v>1</v>
      </c>
      <c r="J95">
        <v>0</v>
      </c>
      <c r="K95" t="s">
        <v>19</v>
      </c>
      <c r="L95" t="s">
        <v>564</v>
      </c>
      <c r="M95">
        <v>108</v>
      </c>
      <c r="N95">
        <v>112.8</v>
      </c>
      <c r="O95">
        <v>114.5</v>
      </c>
      <c r="P95">
        <v>113.65</v>
      </c>
      <c r="Q95" t="s">
        <v>21</v>
      </c>
      <c r="R95">
        <v>14.951000000000001</v>
      </c>
      <c r="S95" t="s">
        <v>565</v>
      </c>
      <c r="T95">
        <v>168.5</v>
      </c>
      <c r="U95">
        <v>166.3</v>
      </c>
      <c r="V95">
        <v>168.4</v>
      </c>
      <c r="W95">
        <v>167.35000000000002</v>
      </c>
      <c r="X95" t="s">
        <v>21</v>
      </c>
      <c r="Y95">
        <v>15.641</v>
      </c>
      <c r="Z95">
        <f t="shared" si="6"/>
        <v>14.951000000000001</v>
      </c>
      <c r="AA95">
        <v>0.15040999999999999</v>
      </c>
      <c r="AB95">
        <v>4.2977999999999996</v>
      </c>
      <c r="AC95">
        <f t="shared" si="7"/>
        <v>4.2977999999999995E-2</v>
      </c>
      <c r="AD95" s="8">
        <f t="shared" si="8"/>
        <v>8.2191780821917804E-2</v>
      </c>
      <c r="AE95">
        <f t="shared" si="9"/>
        <v>0.53904811867683577</v>
      </c>
      <c r="AF95">
        <f t="shared" si="10"/>
        <v>-0.46095188132316423</v>
      </c>
      <c r="AG95">
        <f t="shared" si="11"/>
        <v>7.8096237353671549E-2</v>
      </c>
    </row>
    <row r="96" spans="1:33" x14ac:dyDescent="0.25">
      <c r="A96" s="1">
        <v>45797</v>
      </c>
      <c r="B96">
        <v>5940.46</v>
      </c>
      <c r="C96">
        <v>5940</v>
      </c>
      <c r="D96" s="1">
        <v>45828</v>
      </c>
      <c r="E96" s="1">
        <v>45856</v>
      </c>
      <c r="F96">
        <v>30</v>
      </c>
      <c r="G96">
        <v>31</v>
      </c>
      <c r="H96">
        <v>59</v>
      </c>
      <c r="I96">
        <v>1</v>
      </c>
      <c r="J96">
        <v>0</v>
      </c>
      <c r="K96" t="s">
        <v>19</v>
      </c>
      <c r="L96" t="s">
        <v>566</v>
      </c>
      <c r="M96">
        <v>111.86</v>
      </c>
      <c r="N96">
        <v>110.5</v>
      </c>
      <c r="O96">
        <v>111.9</v>
      </c>
      <c r="P96">
        <v>111.2</v>
      </c>
      <c r="Q96" t="s">
        <v>21</v>
      </c>
      <c r="R96">
        <v>15.146000000000001</v>
      </c>
      <c r="S96" t="s">
        <v>567</v>
      </c>
      <c r="T96">
        <v>168.5</v>
      </c>
      <c r="U96">
        <v>165</v>
      </c>
      <c r="V96">
        <v>166.4</v>
      </c>
      <c r="W96">
        <v>165.7</v>
      </c>
      <c r="X96" t="s">
        <v>21</v>
      </c>
      <c r="Y96">
        <v>15.824</v>
      </c>
      <c r="Z96">
        <f t="shared" si="6"/>
        <v>15.146000000000001</v>
      </c>
      <c r="AA96">
        <v>0.15259</v>
      </c>
      <c r="AB96">
        <v>4.2793999999999999</v>
      </c>
      <c r="AC96">
        <f t="shared" si="7"/>
        <v>4.2793999999999999E-2</v>
      </c>
      <c r="AD96" s="8">
        <f t="shared" si="8"/>
        <v>8.2191780821917804E-2</v>
      </c>
      <c r="AE96">
        <f t="shared" si="9"/>
        <v>0.54143359101312805</v>
      </c>
      <c r="AF96">
        <f t="shared" si="10"/>
        <v>-0.45856640898687195</v>
      </c>
      <c r="AG96">
        <f t="shared" si="11"/>
        <v>8.2867182026256092E-2</v>
      </c>
    </row>
    <row r="97" spans="1:33" x14ac:dyDescent="0.25">
      <c r="A97" s="1">
        <v>45798</v>
      </c>
      <c r="B97">
        <v>5844.61</v>
      </c>
      <c r="C97">
        <v>5845</v>
      </c>
      <c r="D97" s="1">
        <v>45828</v>
      </c>
      <c r="E97" s="1">
        <v>45856</v>
      </c>
      <c r="F97">
        <v>30</v>
      </c>
      <c r="G97">
        <v>30</v>
      </c>
      <c r="H97">
        <v>58</v>
      </c>
      <c r="I97">
        <v>1</v>
      </c>
      <c r="J97">
        <v>0</v>
      </c>
      <c r="K97" t="s">
        <v>19</v>
      </c>
      <c r="L97" t="s">
        <v>555</v>
      </c>
      <c r="M97">
        <v>129.9</v>
      </c>
      <c r="N97">
        <v>121</v>
      </c>
      <c r="O97">
        <v>122.6</v>
      </c>
      <c r="P97">
        <v>121.8</v>
      </c>
      <c r="Q97" t="s">
        <v>21</v>
      </c>
      <c r="R97">
        <v>17.469000000000001</v>
      </c>
      <c r="S97" t="s">
        <v>568</v>
      </c>
      <c r="T97">
        <v>188.3</v>
      </c>
      <c r="U97">
        <v>177</v>
      </c>
      <c r="V97">
        <v>178.6</v>
      </c>
      <c r="W97">
        <v>177.8</v>
      </c>
      <c r="X97" t="s">
        <v>21</v>
      </c>
      <c r="Y97">
        <v>17.672000000000001</v>
      </c>
      <c r="Z97">
        <f t="shared" si="6"/>
        <v>17.469000000000001</v>
      </c>
      <c r="AA97">
        <v>0.175455</v>
      </c>
      <c r="AB97">
        <v>4.2610999999999999</v>
      </c>
      <c r="AC97">
        <f t="shared" si="7"/>
        <v>4.2610999999999996E-2</v>
      </c>
      <c r="AD97" s="8">
        <f t="shared" si="8"/>
        <v>8.2191780821917804E-2</v>
      </c>
      <c r="AE97">
        <f t="shared" si="9"/>
        <v>0.53722695144421995</v>
      </c>
      <c r="AF97">
        <f t="shared" si="10"/>
        <v>-0.46277304855578005</v>
      </c>
      <c r="AG97">
        <f t="shared" si="11"/>
        <v>7.4453902888439893E-2</v>
      </c>
    </row>
    <row r="98" spans="1:33" x14ac:dyDescent="0.25">
      <c r="A98" s="1">
        <v>45799</v>
      </c>
      <c r="B98">
        <v>5842.01</v>
      </c>
      <c r="C98">
        <v>5840</v>
      </c>
      <c r="D98" s="1">
        <v>45828</v>
      </c>
      <c r="E98" s="1">
        <v>45856</v>
      </c>
      <c r="F98">
        <v>30</v>
      </c>
      <c r="G98">
        <v>29</v>
      </c>
      <c r="H98">
        <v>57</v>
      </c>
      <c r="I98">
        <v>0.9642857142857143</v>
      </c>
      <c r="J98">
        <v>3.5714285714285712E-2</v>
      </c>
      <c r="K98" t="s">
        <v>19</v>
      </c>
      <c r="L98" t="s">
        <v>569</v>
      </c>
      <c r="M98">
        <v>137.91</v>
      </c>
      <c r="N98">
        <v>124.8</v>
      </c>
      <c r="O98">
        <v>126.2</v>
      </c>
      <c r="P98">
        <v>125.5</v>
      </c>
      <c r="Q98" t="s">
        <v>21</v>
      </c>
      <c r="R98">
        <v>17.32</v>
      </c>
      <c r="S98" t="s">
        <v>570</v>
      </c>
      <c r="T98">
        <v>180.8</v>
      </c>
      <c r="U98">
        <v>181.7</v>
      </c>
      <c r="V98">
        <v>183.3</v>
      </c>
      <c r="W98">
        <v>182.5</v>
      </c>
      <c r="X98" t="s">
        <v>21</v>
      </c>
      <c r="Y98">
        <v>17.614000000000001</v>
      </c>
      <c r="Z98">
        <f t="shared" si="6"/>
        <v>17.330500000000001</v>
      </c>
      <c r="AA98">
        <v>0.17434875</v>
      </c>
      <c r="AB98">
        <v>4.2606000000000002</v>
      </c>
      <c r="AC98">
        <f t="shared" si="7"/>
        <v>4.2606000000000005E-2</v>
      </c>
      <c r="AD98" s="8">
        <f t="shared" si="8"/>
        <v>8.2191780821917804E-2</v>
      </c>
      <c r="AE98">
        <f t="shared" si="9"/>
        <v>0.54059626948524064</v>
      </c>
      <c r="AF98">
        <f t="shared" si="10"/>
        <v>-0.45940373051475936</v>
      </c>
      <c r="AG98">
        <f t="shared" si="11"/>
        <v>8.1192538970481287E-2</v>
      </c>
    </row>
    <row r="99" spans="1:33" x14ac:dyDescent="0.25">
      <c r="A99" s="1">
        <v>45800</v>
      </c>
      <c r="B99">
        <v>5802.82</v>
      </c>
      <c r="C99">
        <v>5805</v>
      </c>
      <c r="D99" s="1">
        <v>45828</v>
      </c>
      <c r="E99" s="1">
        <v>45856</v>
      </c>
      <c r="F99">
        <v>30</v>
      </c>
      <c r="G99">
        <v>28</v>
      </c>
      <c r="H99">
        <v>56</v>
      </c>
      <c r="I99">
        <v>0.9285714285714286</v>
      </c>
      <c r="J99">
        <v>7.1428571428571425E-2</v>
      </c>
      <c r="K99" t="s">
        <v>19</v>
      </c>
      <c r="L99" t="s">
        <v>571</v>
      </c>
      <c r="M99">
        <v>122</v>
      </c>
      <c r="N99">
        <v>121.4</v>
      </c>
      <c r="O99">
        <v>123.1</v>
      </c>
      <c r="P99">
        <v>122.25</v>
      </c>
      <c r="Q99" t="s">
        <v>21</v>
      </c>
      <c r="R99">
        <v>19.103999999999999</v>
      </c>
      <c r="S99" t="s">
        <v>572</v>
      </c>
      <c r="T99">
        <v>183.15</v>
      </c>
      <c r="U99">
        <v>180.5</v>
      </c>
      <c r="V99">
        <v>182.3</v>
      </c>
      <c r="W99">
        <v>181.4</v>
      </c>
      <c r="X99" t="s">
        <v>21</v>
      </c>
      <c r="Y99">
        <v>19.07</v>
      </c>
      <c r="Z99">
        <f t="shared" si="6"/>
        <v>19.101571428571429</v>
      </c>
      <c r="AA99">
        <v>0.190894286</v>
      </c>
      <c r="AB99">
        <v>4.2774000000000001</v>
      </c>
      <c r="AC99">
        <f t="shared" si="7"/>
        <v>4.2774E-2</v>
      </c>
      <c r="AD99" s="8">
        <f t="shared" si="8"/>
        <v>8.2191780821917804E-2</v>
      </c>
      <c r="AE99">
        <f t="shared" si="9"/>
        <v>0.5337659374495054</v>
      </c>
      <c r="AF99">
        <f t="shared" si="10"/>
        <v>-0.4662340625504946</v>
      </c>
      <c r="AG99">
        <f t="shared" si="11"/>
        <v>6.7531874899010802E-2</v>
      </c>
    </row>
    <row r="100" spans="1:33" x14ac:dyDescent="0.25">
      <c r="A100" s="1">
        <v>45804</v>
      </c>
      <c r="B100">
        <v>5921.54</v>
      </c>
      <c r="C100">
        <v>5920</v>
      </c>
      <c r="D100" s="1">
        <v>45828</v>
      </c>
      <c r="E100" s="1">
        <v>45856</v>
      </c>
      <c r="F100">
        <v>30</v>
      </c>
      <c r="G100">
        <v>24</v>
      </c>
      <c r="H100">
        <v>52</v>
      </c>
      <c r="I100">
        <v>0.7857142857142857</v>
      </c>
      <c r="J100">
        <v>0.21428571428571427</v>
      </c>
      <c r="K100" t="s">
        <v>19</v>
      </c>
      <c r="L100" t="s">
        <v>573</v>
      </c>
      <c r="M100">
        <v>100.1</v>
      </c>
      <c r="N100">
        <v>102.5</v>
      </c>
      <c r="O100">
        <v>103.8</v>
      </c>
      <c r="P100">
        <v>103.15</v>
      </c>
      <c r="Q100" t="s">
        <v>21</v>
      </c>
      <c r="R100">
        <v>15.366</v>
      </c>
      <c r="S100" t="s">
        <v>574</v>
      </c>
      <c r="T100">
        <v>159</v>
      </c>
      <c r="U100">
        <v>161.4</v>
      </c>
      <c r="V100">
        <v>162.80000000000001</v>
      </c>
      <c r="W100">
        <v>162.10000000000002</v>
      </c>
      <c r="X100" t="s">
        <v>21</v>
      </c>
      <c r="Y100">
        <v>15.962999999999999</v>
      </c>
      <c r="Z100">
        <f t="shared" si="6"/>
        <v>15.493928571428571</v>
      </c>
      <c r="AA100">
        <v>0.155891786</v>
      </c>
      <c r="AB100">
        <v>4.2667000000000002</v>
      </c>
      <c r="AC100">
        <f t="shared" si="7"/>
        <v>4.2667000000000004E-2</v>
      </c>
      <c r="AD100" s="8">
        <f t="shared" si="8"/>
        <v>8.2191780821917804E-2</v>
      </c>
      <c r="AE100">
        <f t="shared" si="9"/>
        <v>0.54245970690242928</v>
      </c>
      <c r="AF100">
        <f t="shared" si="10"/>
        <v>-0.45754029309757072</v>
      </c>
      <c r="AG100">
        <f t="shared" si="11"/>
        <v>8.4919413804858568E-2</v>
      </c>
    </row>
    <row r="101" spans="1:33" x14ac:dyDescent="0.25">
      <c r="A101" s="1">
        <v>45805</v>
      </c>
      <c r="B101">
        <v>5888.55</v>
      </c>
      <c r="C101">
        <v>5890</v>
      </c>
      <c r="D101" s="1">
        <v>45828</v>
      </c>
      <c r="E101" s="1">
        <v>45856</v>
      </c>
      <c r="F101">
        <v>30</v>
      </c>
      <c r="G101">
        <v>23</v>
      </c>
      <c r="H101">
        <v>51</v>
      </c>
      <c r="I101">
        <v>0.75</v>
      </c>
      <c r="J101">
        <v>0.25</v>
      </c>
      <c r="K101" t="s">
        <v>19</v>
      </c>
      <c r="L101" t="s">
        <v>575</v>
      </c>
      <c r="M101">
        <v>100</v>
      </c>
      <c r="N101">
        <v>110.2</v>
      </c>
      <c r="O101">
        <v>112.4</v>
      </c>
      <c r="P101">
        <v>111.30000000000001</v>
      </c>
      <c r="Q101" t="s">
        <v>21</v>
      </c>
      <c r="R101">
        <v>15.768000000000001</v>
      </c>
      <c r="S101" t="s">
        <v>576</v>
      </c>
      <c r="T101">
        <v>169.3</v>
      </c>
      <c r="U101">
        <v>170.8</v>
      </c>
      <c r="V101">
        <v>173.1</v>
      </c>
      <c r="W101">
        <v>171.95</v>
      </c>
      <c r="X101" t="s">
        <v>21</v>
      </c>
      <c r="Y101">
        <v>16.507000000000001</v>
      </c>
      <c r="Z101">
        <f t="shared" si="6"/>
        <v>15.952750000000002</v>
      </c>
      <c r="AA101">
        <v>0.15990375000000001</v>
      </c>
      <c r="AB101">
        <v>4.2737999999999996</v>
      </c>
      <c r="AC101">
        <f t="shared" si="7"/>
        <v>4.2737999999999998E-2</v>
      </c>
      <c r="AD101" s="8">
        <f t="shared" si="8"/>
        <v>8.2191780821917804E-2</v>
      </c>
      <c r="AE101">
        <f t="shared" si="9"/>
        <v>0.53751517777328228</v>
      </c>
      <c r="AF101">
        <f t="shared" si="10"/>
        <v>-0.46248482222671772</v>
      </c>
      <c r="AG101">
        <f t="shared" si="11"/>
        <v>7.5030355546564564E-2</v>
      </c>
    </row>
    <row r="102" spans="1:33" x14ac:dyDescent="0.25">
      <c r="A102" s="1">
        <v>45806</v>
      </c>
      <c r="B102">
        <v>5912.17</v>
      </c>
      <c r="C102">
        <v>5910</v>
      </c>
      <c r="D102" s="1">
        <v>45828</v>
      </c>
      <c r="E102" s="1">
        <v>45856</v>
      </c>
      <c r="F102">
        <v>30</v>
      </c>
      <c r="G102">
        <v>22</v>
      </c>
      <c r="H102">
        <v>50</v>
      </c>
      <c r="I102">
        <v>0.7142857142857143</v>
      </c>
      <c r="J102">
        <v>0.2857142857142857</v>
      </c>
      <c r="K102" t="s">
        <v>19</v>
      </c>
      <c r="L102" t="s">
        <v>577</v>
      </c>
      <c r="M102">
        <v>95</v>
      </c>
      <c r="N102">
        <v>92.9</v>
      </c>
      <c r="O102">
        <v>94.4</v>
      </c>
      <c r="P102">
        <v>93.65</v>
      </c>
      <c r="Q102" t="s">
        <v>21</v>
      </c>
      <c r="R102">
        <v>15.627000000000001</v>
      </c>
      <c r="S102" t="s">
        <v>578</v>
      </c>
      <c r="T102">
        <v>149.1</v>
      </c>
      <c r="U102">
        <v>153.1</v>
      </c>
      <c r="V102">
        <v>154.69999999999999</v>
      </c>
      <c r="W102">
        <v>153.89999999999998</v>
      </c>
      <c r="X102" t="s">
        <v>21</v>
      </c>
      <c r="Y102">
        <v>16.361000000000001</v>
      </c>
      <c r="Z102">
        <f t="shared" si="6"/>
        <v>15.836714285714287</v>
      </c>
      <c r="AA102">
        <v>0.15870642900000001</v>
      </c>
      <c r="AB102">
        <v>4.2732999999999999</v>
      </c>
      <c r="AC102">
        <f t="shared" si="7"/>
        <v>4.2733E-2</v>
      </c>
      <c r="AD102" s="8">
        <f t="shared" si="8"/>
        <v>8.2191780821917804E-2</v>
      </c>
      <c r="AE102">
        <f t="shared" si="9"/>
        <v>0.54300695539178934</v>
      </c>
      <c r="AF102">
        <f t="shared" si="10"/>
        <v>-0.45699304460821066</v>
      </c>
      <c r="AG102">
        <f t="shared" si="11"/>
        <v>8.6013910783578673E-2</v>
      </c>
    </row>
    <row r="103" spans="1:33" x14ac:dyDescent="0.25">
      <c r="A103" s="1">
        <v>45807</v>
      </c>
      <c r="B103">
        <v>5911.69</v>
      </c>
      <c r="C103">
        <v>5910</v>
      </c>
      <c r="D103" s="1">
        <v>45828</v>
      </c>
      <c r="E103" s="1">
        <v>45856</v>
      </c>
      <c r="F103">
        <v>30</v>
      </c>
      <c r="G103">
        <v>21</v>
      </c>
      <c r="H103">
        <v>49</v>
      </c>
      <c r="I103">
        <v>0.6785714285714286</v>
      </c>
      <c r="J103">
        <v>0.32142857142857145</v>
      </c>
      <c r="K103" t="s">
        <v>19</v>
      </c>
      <c r="L103" t="s">
        <v>577</v>
      </c>
      <c r="M103">
        <v>87</v>
      </c>
      <c r="N103">
        <v>87</v>
      </c>
      <c r="O103">
        <v>88.6</v>
      </c>
      <c r="P103">
        <v>87.8</v>
      </c>
      <c r="Q103" t="s">
        <v>21</v>
      </c>
      <c r="R103">
        <v>15.590999999999999</v>
      </c>
      <c r="S103" t="s">
        <v>578</v>
      </c>
      <c r="T103">
        <v>144.46</v>
      </c>
      <c r="U103">
        <v>147.1</v>
      </c>
      <c r="V103">
        <v>148.80000000000001</v>
      </c>
      <c r="W103">
        <v>147.94999999999999</v>
      </c>
      <c r="X103" t="s">
        <v>21</v>
      </c>
      <c r="Y103">
        <v>16.167000000000002</v>
      </c>
      <c r="Z103">
        <f t="shared" si="6"/>
        <v>15.776142857142858</v>
      </c>
      <c r="AA103">
        <v>0.157938571</v>
      </c>
      <c r="AB103">
        <v>4.2625999999999999</v>
      </c>
      <c r="AC103">
        <f t="shared" si="7"/>
        <v>4.2625999999999997E-2</v>
      </c>
      <c r="AD103" s="8">
        <f t="shared" si="8"/>
        <v>8.2191780821917804E-2</v>
      </c>
      <c r="AE103">
        <f t="shared" si="9"/>
        <v>0.54233942277085179</v>
      </c>
      <c r="AF103">
        <f t="shared" si="10"/>
        <v>-0.45766057722914821</v>
      </c>
      <c r="AG103">
        <f t="shared" si="11"/>
        <v>8.4678845541703573E-2</v>
      </c>
    </row>
    <row r="104" spans="1:33" x14ac:dyDescent="0.25">
      <c r="A104" s="1">
        <v>45810</v>
      </c>
      <c r="B104">
        <v>5935.94</v>
      </c>
      <c r="C104">
        <v>5935</v>
      </c>
      <c r="D104" s="1">
        <v>45828</v>
      </c>
      <c r="E104" s="1">
        <v>45856</v>
      </c>
      <c r="F104">
        <v>30</v>
      </c>
      <c r="G104">
        <v>18</v>
      </c>
      <c r="H104">
        <v>46</v>
      </c>
      <c r="I104">
        <v>0.5714285714285714</v>
      </c>
      <c r="J104">
        <v>0.42857142857142855</v>
      </c>
      <c r="K104" t="s">
        <v>19</v>
      </c>
      <c r="L104" t="s">
        <v>579</v>
      </c>
      <c r="M104">
        <v>80</v>
      </c>
      <c r="N104">
        <v>86.8</v>
      </c>
      <c r="O104">
        <v>87.9</v>
      </c>
      <c r="P104">
        <v>87.35</v>
      </c>
      <c r="Q104" t="s">
        <v>21</v>
      </c>
      <c r="R104">
        <v>14.888</v>
      </c>
      <c r="S104" t="s">
        <v>580</v>
      </c>
      <c r="T104">
        <v>132.19999999999999</v>
      </c>
      <c r="U104">
        <v>148.80000000000001</v>
      </c>
      <c r="V104">
        <v>150</v>
      </c>
      <c r="W104">
        <v>149.4</v>
      </c>
      <c r="X104" t="s">
        <v>21</v>
      </c>
      <c r="Y104">
        <v>15.755000000000001</v>
      </c>
      <c r="Z104">
        <f t="shared" si="6"/>
        <v>15.259571428571428</v>
      </c>
      <c r="AA104">
        <v>0.15318214299999999</v>
      </c>
      <c r="AB104">
        <v>4.2824999999999998</v>
      </c>
      <c r="AC104">
        <f t="shared" si="7"/>
        <v>4.2824999999999995E-2</v>
      </c>
      <c r="AD104" s="8">
        <f t="shared" si="8"/>
        <v>8.2191780821917804E-2</v>
      </c>
      <c r="AE104">
        <f t="shared" si="9"/>
        <v>0.54209542898482277</v>
      </c>
      <c r="AF104">
        <f t="shared" si="10"/>
        <v>-0.45790457101517723</v>
      </c>
      <c r="AG104">
        <f t="shared" si="11"/>
        <v>8.4190857969645538E-2</v>
      </c>
    </row>
    <row r="105" spans="1:33" x14ac:dyDescent="0.25">
      <c r="A105" s="1">
        <v>45811</v>
      </c>
      <c r="B105">
        <v>5970.37</v>
      </c>
      <c r="C105">
        <v>5970</v>
      </c>
      <c r="D105" s="1">
        <v>45828</v>
      </c>
      <c r="E105" s="1">
        <v>45856</v>
      </c>
      <c r="F105">
        <v>30</v>
      </c>
      <c r="G105">
        <v>17</v>
      </c>
      <c r="H105">
        <v>45</v>
      </c>
      <c r="I105">
        <v>0.5357142857142857</v>
      </c>
      <c r="J105">
        <v>0.4642857142857143</v>
      </c>
      <c r="K105" t="s">
        <v>19</v>
      </c>
      <c r="L105" t="s">
        <v>581</v>
      </c>
      <c r="M105">
        <v>79.099999999999994</v>
      </c>
      <c r="N105">
        <v>78.2</v>
      </c>
      <c r="O105">
        <v>79.400000000000006</v>
      </c>
      <c r="P105">
        <v>78.800000000000011</v>
      </c>
      <c r="Q105" t="s">
        <v>21</v>
      </c>
      <c r="R105">
        <v>14.002000000000001</v>
      </c>
      <c r="S105" t="s">
        <v>582</v>
      </c>
      <c r="T105">
        <v>140.6</v>
      </c>
      <c r="U105">
        <v>140.69999999999999</v>
      </c>
      <c r="V105">
        <v>142</v>
      </c>
      <c r="W105">
        <v>141.35</v>
      </c>
      <c r="X105" t="s">
        <v>21</v>
      </c>
      <c r="Y105">
        <v>15.202</v>
      </c>
      <c r="Z105">
        <f t="shared" si="6"/>
        <v>14.559142857142858</v>
      </c>
      <c r="AA105">
        <v>0.149686607</v>
      </c>
      <c r="AB105">
        <v>4.2743000000000002</v>
      </c>
      <c r="AC105">
        <f t="shared" si="7"/>
        <v>4.2743000000000003E-2</v>
      </c>
      <c r="AD105" s="8">
        <f t="shared" si="8"/>
        <v>8.2191780821917804E-2</v>
      </c>
      <c r="AE105">
        <f t="shared" si="9"/>
        <v>0.54171913355844314</v>
      </c>
      <c r="AF105">
        <f t="shared" si="10"/>
        <v>-0.45828086644155686</v>
      </c>
      <c r="AG105">
        <f t="shared" si="11"/>
        <v>8.3438267116886289E-2</v>
      </c>
    </row>
    <row r="106" spans="1:33" x14ac:dyDescent="0.25">
      <c r="A106" s="1">
        <v>45812</v>
      </c>
      <c r="B106">
        <v>5970.81</v>
      </c>
      <c r="C106">
        <v>5970</v>
      </c>
      <c r="D106" s="1">
        <v>45828</v>
      </c>
      <c r="E106" s="1">
        <v>45856</v>
      </c>
      <c r="F106">
        <v>30</v>
      </c>
      <c r="G106">
        <v>16</v>
      </c>
      <c r="H106">
        <v>44</v>
      </c>
      <c r="I106">
        <v>0.5</v>
      </c>
      <c r="J106">
        <v>0.5</v>
      </c>
      <c r="K106" t="s">
        <v>19</v>
      </c>
      <c r="L106" t="s">
        <v>581</v>
      </c>
      <c r="M106">
        <v>83.9</v>
      </c>
      <c r="N106">
        <v>73.599999999999994</v>
      </c>
      <c r="O106">
        <v>74.7</v>
      </c>
      <c r="P106">
        <v>74.150000000000006</v>
      </c>
      <c r="Q106" t="s">
        <v>21</v>
      </c>
      <c r="R106">
        <v>14.135999999999999</v>
      </c>
      <c r="S106" t="s">
        <v>582</v>
      </c>
      <c r="T106">
        <v>145.80000000000001</v>
      </c>
      <c r="U106">
        <v>137.6</v>
      </c>
      <c r="V106">
        <v>139.1</v>
      </c>
      <c r="W106">
        <v>138.35</v>
      </c>
      <c r="X106" t="s">
        <v>21</v>
      </c>
      <c r="Y106">
        <v>15.32</v>
      </c>
      <c r="Z106">
        <f t="shared" si="6"/>
        <v>14.728</v>
      </c>
      <c r="AA106">
        <v>0.14819499999999999</v>
      </c>
      <c r="AB106">
        <v>4.2686999999999999</v>
      </c>
      <c r="AC106">
        <f t="shared" si="7"/>
        <v>4.2687000000000003E-2</v>
      </c>
      <c r="AD106" s="8">
        <f t="shared" si="8"/>
        <v>8.2191780821917804E-2</v>
      </c>
      <c r="AE106">
        <f t="shared" si="9"/>
        <v>0.54261210001464999</v>
      </c>
      <c r="AF106">
        <f t="shared" si="10"/>
        <v>-0.45738789998535001</v>
      </c>
      <c r="AG106">
        <f t="shared" si="11"/>
        <v>8.5224200029299979E-2</v>
      </c>
    </row>
    <row r="107" spans="1:33" x14ac:dyDescent="0.25">
      <c r="A107" s="1">
        <v>45813</v>
      </c>
      <c r="B107">
        <v>5939.3</v>
      </c>
      <c r="C107">
        <v>5940</v>
      </c>
      <c r="D107" s="1">
        <v>45828</v>
      </c>
      <c r="E107" s="1">
        <v>45856</v>
      </c>
      <c r="F107">
        <v>30</v>
      </c>
      <c r="G107">
        <v>15</v>
      </c>
      <c r="H107">
        <v>43</v>
      </c>
      <c r="I107">
        <v>0.4642857142857143</v>
      </c>
      <c r="J107">
        <v>0.5357142857142857</v>
      </c>
      <c r="K107" t="s">
        <v>19</v>
      </c>
      <c r="L107" t="s">
        <v>566</v>
      </c>
      <c r="M107">
        <v>77.42</v>
      </c>
      <c r="N107">
        <v>70.400000000000006</v>
      </c>
      <c r="O107">
        <v>72.099999999999994</v>
      </c>
      <c r="P107">
        <v>71.25</v>
      </c>
      <c r="Q107" t="s">
        <v>21</v>
      </c>
      <c r="R107">
        <v>15.115</v>
      </c>
      <c r="S107" t="s">
        <v>567</v>
      </c>
      <c r="T107">
        <v>140</v>
      </c>
      <c r="U107">
        <v>134.5</v>
      </c>
      <c r="V107">
        <v>136.5</v>
      </c>
      <c r="W107">
        <v>135.5</v>
      </c>
      <c r="X107" t="s">
        <v>21</v>
      </c>
      <c r="Y107">
        <v>15.779</v>
      </c>
      <c r="Z107">
        <f t="shared" si="6"/>
        <v>15.470714285714287</v>
      </c>
      <c r="AA107">
        <v>0.155207857</v>
      </c>
      <c r="AB107">
        <v>4.2324999999999999</v>
      </c>
      <c r="AC107">
        <f t="shared" si="7"/>
        <v>4.2325000000000002E-2</v>
      </c>
      <c r="AD107" s="8">
        <f t="shared" si="8"/>
        <v>8.2191780821917804E-2</v>
      </c>
      <c r="AE107">
        <f t="shared" si="9"/>
        <v>0.53894655350477649</v>
      </c>
      <c r="AF107">
        <f t="shared" si="10"/>
        <v>-0.46105344649522351</v>
      </c>
      <c r="AG107">
        <f t="shared" si="11"/>
        <v>7.7893107009552986E-2</v>
      </c>
    </row>
    <row r="108" spans="1:33" x14ac:dyDescent="0.25">
      <c r="A108" s="1">
        <v>45814</v>
      </c>
      <c r="B108">
        <v>6000.36</v>
      </c>
      <c r="C108">
        <v>6000</v>
      </c>
      <c r="D108" s="1">
        <v>45828</v>
      </c>
      <c r="E108" s="1">
        <v>45856</v>
      </c>
      <c r="F108">
        <v>30</v>
      </c>
      <c r="G108">
        <v>14</v>
      </c>
      <c r="H108">
        <v>42</v>
      </c>
      <c r="I108">
        <v>0.42857142857142855</v>
      </c>
      <c r="J108">
        <v>0.5714285714285714</v>
      </c>
      <c r="K108" t="s">
        <v>19</v>
      </c>
      <c r="L108" t="s">
        <v>583</v>
      </c>
      <c r="M108">
        <v>64.25</v>
      </c>
      <c r="N108">
        <v>64.400000000000006</v>
      </c>
      <c r="O108">
        <v>65.599999999999994</v>
      </c>
      <c r="P108">
        <v>65</v>
      </c>
      <c r="Q108" t="s">
        <v>21</v>
      </c>
      <c r="R108">
        <v>12.83</v>
      </c>
      <c r="S108" t="s">
        <v>584</v>
      </c>
      <c r="T108">
        <v>132.80000000000001</v>
      </c>
      <c r="U108">
        <v>130.4</v>
      </c>
      <c r="V108">
        <v>131.80000000000001</v>
      </c>
      <c r="W108">
        <v>131.10000000000002</v>
      </c>
      <c r="X108" t="s">
        <v>21</v>
      </c>
      <c r="Y108">
        <v>14.313000000000001</v>
      </c>
      <c r="Z108">
        <f t="shared" si="6"/>
        <v>13.677428571428571</v>
      </c>
      <c r="AA108">
        <v>0.13782071400000001</v>
      </c>
      <c r="AB108">
        <v>4.2191999999999998</v>
      </c>
      <c r="AC108">
        <f t="shared" si="7"/>
        <v>4.2192E-2</v>
      </c>
      <c r="AD108" s="8">
        <f t="shared" si="8"/>
        <v>8.2191780821917804E-2</v>
      </c>
      <c r="AE108">
        <f t="shared" si="9"/>
        <v>0.54341508417302109</v>
      </c>
      <c r="AF108">
        <f t="shared" si="10"/>
        <v>-0.45658491582697891</v>
      </c>
      <c r="AG108">
        <f t="shared" si="11"/>
        <v>8.683016834604218E-2</v>
      </c>
    </row>
    <row r="109" spans="1:33" x14ac:dyDescent="0.25">
      <c r="A109" s="1">
        <v>45817</v>
      </c>
      <c r="B109">
        <v>6005.88</v>
      </c>
      <c r="C109">
        <v>6005</v>
      </c>
      <c r="D109" s="1">
        <v>45828</v>
      </c>
      <c r="E109" s="1">
        <v>45856</v>
      </c>
      <c r="F109">
        <v>30</v>
      </c>
      <c r="G109">
        <v>11</v>
      </c>
      <c r="H109">
        <v>39</v>
      </c>
      <c r="I109">
        <v>0.32142857142857145</v>
      </c>
      <c r="J109">
        <v>0.6785714285714286</v>
      </c>
      <c r="K109" t="s">
        <v>19</v>
      </c>
      <c r="L109" t="s">
        <v>585</v>
      </c>
      <c r="M109">
        <v>63</v>
      </c>
      <c r="N109">
        <v>58.6</v>
      </c>
      <c r="O109">
        <v>59.7</v>
      </c>
      <c r="P109">
        <v>59.150000000000006</v>
      </c>
      <c r="Q109" t="s">
        <v>21</v>
      </c>
      <c r="R109">
        <v>12.896000000000001</v>
      </c>
      <c r="S109" t="s">
        <v>586</v>
      </c>
      <c r="T109" t="s">
        <v>21</v>
      </c>
      <c r="U109">
        <v>125</v>
      </c>
      <c r="V109">
        <v>126.3</v>
      </c>
      <c r="W109">
        <v>125.65</v>
      </c>
      <c r="X109" t="s">
        <v>21</v>
      </c>
      <c r="Y109">
        <v>14.371</v>
      </c>
      <c r="Z109">
        <f t="shared" si="6"/>
        <v>13.896892857142859</v>
      </c>
      <c r="AA109">
        <v>0.14002017899999999</v>
      </c>
      <c r="AB109">
        <v>4.2390999999999996</v>
      </c>
      <c r="AC109">
        <f t="shared" si="7"/>
        <v>4.2390999999999998E-2</v>
      </c>
      <c r="AD109" s="8">
        <f t="shared" si="8"/>
        <v>8.2191780821917804E-2</v>
      </c>
      <c r="AE109">
        <f t="shared" si="9"/>
        <v>0.54400035945434522</v>
      </c>
      <c r="AF109">
        <f t="shared" si="10"/>
        <v>-0.45599964054565478</v>
      </c>
      <c r="AG109">
        <f t="shared" si="11"/>
        <v>8.8000718908690434E-2</v>
      </c>
    </row>
    <row r="110" spans="1:33" x14ac:dyDescent="0.25">
      <c r="A110" s="1">
        <v>45818</v>
      </c>
      <c r="B110">
        <v>6038.81</v>
      </c>
      <c r="C110">
        <v>6040</v>
      </c>
      <c r="D110" s="1">
        <v>45828</v>
      </c>
      <c r="E110" s="1">
        <v>45856</v>
      </c>
      <c r="F110">
        <v>30</v>
      </c>
      <c r="G110">
        <v>10</v>
      </c>
      <c r="H110">
        <v>38</v>
      </c>
      <c r="I110">
        <v>0.2857142857142857</v>
      </c>
      <c r="J110">
        <v>0.7142857142857143</v>
      </c>
      <c r="K110" t="s">
        <v>19</v>
      </c>
      <c r="L110" t="s">
        <v>587</v>
      </c>
      <c r="M110">
        <v>51.5</v>
      </c>
      <c r="N110">
        <v>51.5</v>
      </c>
      <c r="O110">
        <v>52.7</v>
      </c>
      <c r="P110">
        <v>52.1</v>
      </c>
      <c r="Q110" t="s">
        <v>21</v>
      </c>
      <c r="R110">
        <v>12.757999999999999</v>
      </c>
      <c r="S110" t="s">
        <v>588</v>
      </c>
      <c r="T110">
        <v>120.26</v>
      </c>
      <c r="U110">
        <v>118.1</v>
      </c>
      <c r="V110">
        <v>119.4</v>
      </c>
      <c r="W110">
        <v>118.75</v>
      </c>
      <c r="X110" t="s">
        <v>21</v>
      </c>
      <c r="Y110">
        <v>14.159000000000001</v>
      </c>
      <c r="Z110">
        <f t="shared" si="6"/>
        <v>13.758714285714285</v>
      </c>
      <c r="AA110">
        <v>0.138305714</v>
      </c>
      <c r="AB110">
        <v>4.2283999999999997</v>
      </c>
      <c r="AC110">
        <f t="shared" si="7"/>
        <v>4.2283999999999995E-2</v>
      </c>
      <c r="AD110" s="8">
        <f t="shared" si="8"/>
        <v>8.2191780821917804E-2</v>
      </c>
      <c r="AE110">
        <f t="shared" si="9"/>
        <v>0.54082239943049271</v>
      </c>
      <c r="AF110">
        <f t="shared" si="10"/>
        <v>-0.45917760056950729</v>
      </c>
      <c r="AG110">
        <f t="shared" si="11"/>
        <v>8.1644798860985413E-2</v>
      </c>
    </row>
    <row r="111" spans="1:33" x14ac:dyDescent="0.25">
      <c r="A111" s="1">
        <v>45819</v>
      </c>
      <c r="B111">
        <v>6022.24</v>
      </c>
      <c r="C111">
        <v>6020</v>
      </c>
      <c r="D111" s="1">
        <v>45828</v>
      </c>
      <c r="E111" s="1">
        <v>45856</v>
      </c>
      <c r="F111">
        <v>30</v>
      </c>
      <c r="G111">
        <v>9</v>
      </c>
      <c r="H111">
        <v>37</v>
      </c>
      <c r="I111">
        <v>0.25</v>
      </c>
      <c r="J111">
        <v>0.75</v>
      </c>
      <c r="K111" t="s">
        <v>19</v>
      </c>
      <c r="L111" t="s">
        <v>589</v>
      </c>
      <c r="M111">
        <v>53.56</v>
      </c>
      <c r="N111">
        <v>53</v>
      </c>
      <c r="O111">
        <v>55.4</v>
      </c>
      <c r="P111">
        <v>54.2</v>
      </c>
      <c r="Q111" t="s">
        <v>21</v>
      </c>
      <c r="R111">
        <v>13.385</v>
      </c>
      <c r="S111" t="s">
        <v>590</v>
      </c>
      <c r="T111">
        <v>121</v>
      </c>
      <c r="U111">
        <v>122.2</v>
      </c>
      <c r="V111">
        <v>124.8</v>
      </c>
      <c r="W111">
        <v>123.5</v>
      </c>
      <c r="X111" t="s">
        <v>21</v>
      </c>
      <c r="Y111">
        <v>14.561999999999999</v>
      </c>
      <c r="Z111">
        <f t="shared" si="6"/>
        <v>14.267749999999999</v>
      </c>
      <c r="AA111">
        <v>0.14329375</v>
      </c>
      <c r="AB111">
        <v>4.2407000000000004</v>
      </c>
      <c r="AC111">
        <f t="shared" si="7"/>
        <v>4.2407E-2</v>
      </c>
      <c r="AD111" s="8">
        <f t="shared" si="8"/>
        <v>8.2191780821917804E-2</v>
      </c>
      <c r="AE111">
        <f t="shared" si="9"/>
        <v>0.54555590441409785</v>
      </c>
      <c r="AF111">
        <f t="shared" si="10"/>
        <v>-0.45444409558590215</v>
      </c>
      <c r="AG111">
        <f t="shared" si="11"/>
        <v>9.1111808828195695E-2</v>
      </c>
    </row>
    <row r="112" spans="1:33" x14ac:dyDescent="0.25">
      <c r="A112" s="1">
        <v>45820</v>
      </c>
      <c r="B112">
        <v>6045.26</v>
      </c>
      <c r="C112">
        <v>6045</v>
      </c>
      <c r="D112" s="1">
        <v>45828</v>
      </c>
      <c r="E112" s="1">
        <v>45856</v>
      </c>
      <c r="F112">
        <v>30</v>
      </c>
      <c r="G112">
        <v>8</v>
      </c>
      <c r="H112">
        <v>36</v>
      </c>
      <c r="I112">
        <v>0.21428571428571427</v>
      </c>
      <c r="J112">
        <v>0.7857142857142857</v>
      </c>
      <c r="K112" t="s">
        <v>19</v>
      </c>
      <c r="L112" t="s">
        <v>591</v>
      </c>
      <c r="M112">
        <v>46</v>
      </c>
      <c r="N112">
        <v>44.6</v>
      </c>
      <c r="O112">
        <v>45.6</v>
      </c>
      <c r="P112">
        <v>45.1</v>
      </c>
      <c r="Q112" t="s">
        <v>21</v>
      </c>
      <c r="R112">
        <v>13.401999999999999</v>
      </c>
      <c r="S112" t="s">
        <v>592</v>
      </c>
      <c r="T112">
        <v>104.9</v>
      </c>
      <c r="U112">
        <v>117.2</v>
      </c>
      <c r="V112">
        <v>118.5</v>
      </c>
      <c r="W112">
        <v>117.85</v>
      </c>
      <c r="X112" t="s">
        <v>21</v>
      </c>
      <c r="Y112">
        <v>14.706</v>
      </c>
      <c r="Z112">
        <f t="shared" si="6"/>
        <v>14.426571428571428</v>
      </c>
      <c r="AA112">
        <v>0.14583571400000001</v>
      </c>
      <c r="AB112">
        <v>4.1867000000000001</v>
      </c>
      <c r="AC112">
        <f t="shared" si="7"/>
        <v>4.1867000000000001E-2</v>
      </c>
      <c r="AD112" s="8">
        <f t="shared" si="8"/>
        <v>8.2191780821917804E-2</v>
      </c>
      <c r="AE112">
        <f t="shared" si="9"/>
        <v>0.54150969321212594</v>
      </c>
      <c r="AF112">
        <f t="shared" si="10"/>
        <v>-0.45849030678787406</v>
      </c>
      <c r="AG112">
        <f t="shared" si="11"/>
        <v>8.3019386424251884E-2</v>
      </c>
    </row>
    <row r="113" spans="1:33" x14ac:dyDescent="0.25">
      <c r="A113" s="1">
        <v>45821</v>
      </c>
      <c r="B113">
        <v>5976.97</v>
      </c>
      <c r="C113">
        <v>5975</v>
      </c>
      <c r="D113" s="1">
        <v>45828</v>
      </c>
      <c r="E113" s="1">
        <v>45856</v>
      </c>
      <c r="F113">
        <v>30</v>
      </c>
      <c r="G113">
        <v>7</v>
      </c>
      <c r="H113">
        <v>35</v>
      </c>
      <c r="I113">
        <v>0.17857142857142858</v>
      </c>
      <c r="J113">
        <v>0.8214285714285714</v>
      </c>
      <c r="K113" t="s">
        <v>19</v>
      </c>
      <c r="L113" t="s">
        <v>593</v>
      </c>
      <c r="M113">
        <v>58.85</v>
      </c>
      <c r="N113">
        <v>54.1</v>
      </c>
      <c r="O113">
        <v>56.7</v>
      </c>
      <c r="P113">
        <v>55.400000000000006</v>
      </c>
      <c r="Q113" t="s">
        <v>21</v>
      </c>
      <c r="R113">
        <v>18.053999999999998</v>
      </c>
      <c r="S113" t="s">
        <v>594</v>
      </c>
      <c r="T113">
        <v>130.02000000000001</v>
      </c>
      <c r="U113">
        <v>130.19999999999999</v>
      </c>
      <c r="V113">
        <v>134.80000000000001</v>
      </c>
      <c r="W113">
        <v>132.5</v>
      </c>
      <c r="X113" t="s">
        <v>21</v>
      </c>
      <c r="Y113">
        <v>16.82</v>
      </c>
      <c r="Z113">
        <f t="shared" si="6"/>
        <v>17.04035714285714</v>
      </c>
      <c r="AA113">
        <v>0.171137857</v>
      </c>
      <c r="AB113">
        <v>4.1809000000000003</v>
      </c>
      <c r="AC113">
        <f t="shared" si="7"/>
        <v>4.1809000000000006E-2</v>
      </c>
      <c r="AD113" s="8">
        <f t="shared" si="8"/>
        <v>8.2191780821917804E-2</v>
      </c>
      <c r="AE113">
        <f t="shared" si="9"/>
        <v>0.54033963150692976</v>
      </c>
      <c r="AF113">
        <f t="shared" si="10"/>
        <v>-0.45966036849307024</v>
      </c>
      <c r="AG113">
        <f t="shared" si="11"/>
        <v>8.0679263013859526E-2</v>
      </c>
    </row>
    <row r="114" spans="1:33" x14ac:dyDescent="0.25">
      <c r="A114" s="1">
        <v>45824</v>
      </c>
      <c r="B114">
        <v>6033.11</v>
      </c>
      <c r="C114">
        <v>6035</v>
      </c>
      <c r="D114" s="1">
        <v>45828</v>
      </c>
      <c r="E114" s="1">
        <v>45856</v>
      </c>
      <c r="F114">
        <v>30</v>
      </c>
      <c r="G114">
        <v>4</v>
      </c>
      <c r="H114">
        <v>32</v>
      </c>
      <c r="I114">
        <v>7.1428571428571425E-2</v>
      </c>
      <c r="J114">
        <v>0.9285714285714286</v>
      </c>
      <c r="K114" t="s">
        <v>19</v>
      </c>
      <c r="L114" t="s">
        <v>595</v>
      </c>
      <c r="M114">
        <v>38.799999999999997</v>
      </c>
      <c r="N114">
        <v>35.799999999999997</v>
      </c>
      <c r="O114">
        <v>36.6</v>
      </c>
      <c r="P114">
        <v>36.200000000000003</v>
      </c>
      <c r="Q114" t="s">
        <v>21</v>
      </c>
      <c r="R114">
        <v>13.301</v>
      </c>
      <c r="S114" t="s">
        <v>596</v>
      </c>
      <c r="T114">
        <v>114.6</v>
      </c>
      <c r="U114">
        <v>114.8</v>
      </c>
      <c r="V114">
        <v>116.3</v>
      </c>
      <c r="W114">
        <v>115.55</v>
      </c>
      <c r="X114" t="s">
        <v>21</v>
      </c>
      <c r="Y114">
        <v>14.846</v>
      </c>
      <c r="Z114">
        <f t="shared" si="6"/>
        <v>14.735642857142858</v>
      </c>
      <c r="AA114">
        <v>0.14859035700000001</v>
      </c>
      <c r="AB114">
        <v>4.1829999999999998</v>
      </c>
      <c r="AC114">
        <f t="shared" si="7"/>
        <v>4.1829999999999999E-2</v>
      </c>
      <c r="AD114" s="8">
        <f t="shared" si="8"/>
        <v>8.2191780821917804E-2</v>
      </c>
      <c r="AE114">
        <f t="shared" si="9"/>
        <v>0.53770520885239403</v>
      </c>
      <c r="AF114">
        <f t="shared" si="10"/>
        <v>-0.46229479114760597</v>
      </c>
      <c r="AG114">
        <f t="shared" si="11"/>
        <v>7.5410417704788069E-2</v>
      </c>
    </row>
    <row r="115" spans="1:33" x14ac:dyDescent="0.25">
      <c r="A115" s="1">
        <v>45825</v>
      </c>
      <c r="B115">
        <v>5982.72</v>
      </c>
      <c r="C115">
        <v>5985</v>
      </c>
      <c r="D115" s="1">
        <v>45828</v>
      </c>
      <c r="E115" s="1">
        <v>45856</v>
      </c>
      <c r="F115">
        <v>30</v>
      </c>
      <c r="G115">
        <v>3</v>
      </c>
      <c r="H115">
        <v>31</v>
      </c>
      <c r="I115">
        <v>3.5714285714285712E-2</v>
      </c>
      <c r="J115">
        <v>0.9642857142857143</v>
      </c>
      <c r="K115" t="s">
        <v>19</v>
      </c>
      <c r="L115" t="s">
        <v>597</v>
      </c>
      <c r="M115">
        <v>42.82</v>
      </c>
      <c r="N115">
        <v>41.4</v>
      </c>
      <c r="O115">
        <v>42.6</v>
      </c>
      <c r="P115">
        <v>42</v>
      </c>
      <c r="Q115" t="s">
        <v>21</v>
      </c>
      <c r="R115">
        <v>19.561</v>
      </c>
      <c r="S115" t="s">
        <v>598</v>
      </c>
      <c r="T115">
        <v>127.5</v>
      </c>
      <c r="U115">
        <v>124.3</v>
      </c>
      <c r="V115">
        <v>127</v>
      </c>
      <c r="W115">
        <v>125.65</v>
      </c>
      <c r="X115" t="s">
        <v>21</v>
      </c>
      <c r="Y115">
        <v>17.065999999999999</v>
      </c>
      <c r="Z115">
        <f t="shared" si="6"/>
        <v>17.15510714285714</v>
      </c>
      <c r="AA115">
        <v>0.172253929</v>
      </c>
      <c r="AB115">
        <v>4.1698000000000004</v>
      </c>
      <c r="AC115">
        <f t="shared" si="7"/>
        <v>4.1698000000000006E-2</v>
      </c>
      <c r="AD115" s="8">
        <f t="shared" si="8"/>
        <v>8.2191780821917804E-2</v>
      </c>
      <c r="AE115">
        <f t="shared" si="9"/>
        <v>0.53441637917283935</v>
      </c>
      <c r="AF115">
        <f t="shared" si="10"/>
        <v>-0.46558362082716065</v>
      </c>
      <c r="AG115">
        <f t="shared" si="11"/>
        <v>6.8832758345678702E-2</v>
      </c>
    </row>
    <row r="116" spans="1:33" x14ac:dyDescent="0.25">
      <c r="A116" s="1">
        <v>45826</v>
      </c>
      <c r="B116">
        <v>5980.87</v>
      </c>
      <c r="C116">
        <v>5980</v>
      </c>
      <c r="D116" s="1">
        <v>45828</v>
      </c>
      <c r="E116" s="1">
        <v>45856</v>
      </c>
      <c r="F116">
        <v>30</v>
      </c>
      <c r="G116">
        <v>2</v>
      </c>
      <c r="H116">
        <v>30</v>
      </c>
      <c r="I116">
        <v>0</v>
      </c>
      <c r="J116">
        <v>1</v>
      </c>
      <c r="K116" t="s">
        <v>19</v>
      </c>
      <c r="L116" t="s">
        <v>599</v>
      </c>
      <c r="M116">
        <v>28.13</v>
      </c>
      <c r="N116">
        <v>25.6</v>
      </c>
      <c r="O116">
        <v>27.4</v>
      </c>
      <c r="P116">
        <v>26.5</v>
      </c>
      <c r="Q116" t="s">
        <v>21</v>
      </c>
      <c r="R116">
        <v>16.097000000000001</v>
      </c>
      <c r="S116" t="s">
        <v>600</v>
      </c>
      <c r="T116">
        <v>121.78</v>
      </c>
      <c r="U116">
        <v>120</v>
      </c>
      <c r="V116">
        <v>122.4</v>
      </c>
      <c r="W116">
        <v>121.2</v>
      </c>
      <c r="X116" t="s">
        <v>21</v>
      </c>
      <c r="Y116">
        <v>16.472999999999999</v>
      </c>
      <c r="Z116">
        <f t="shared" si="6"/>
        <v>16.472999999999999</v>
      </c>
      <c r="AA116">
        <v>0.165295</v>
      </c>
      <c r="AB116">
        <v>4.1637000000000004</v>
      </c>
      <c r="AC116">
        <f t="shared" si="7"/>
        <v>4.1637000000000007E-2</v>
      </c>
      <c r="AD116" s="8">
        <f t="shared" si="8"/>
        <v>8.2191780821917804E-2</v>
      </c>
      <c r="AE116">
        <f t="shared" si="9"/>
        <v>0.5394230041385204</v>
      </c>
      <c r="AF116">
        <f t="shared" si="10"/>
        <v>-0.4605769958614796</v>
      </c>
      <c r="AG116">
        <f t="shared" si="11"/>
        <v>7.8846008277040802E-2</v>
      </c>
    </row>
    <row r="117" spans="1:33" x14ac:dyDescent="0.25">
      <c r="A117" s="1">
        <v>45828</v>
      </c>
      <c r="B117">
        <v>5967.84</v>
      </c>
      <c r="C117">
        <v>5970</v>
      </c>
      <c r="D117" s="1">
        <v>45856</v>
      </c>
      <c r="E117" s="1">
        <v>45884</v>
      </c>
      <c r="F117">
        <v>30</v>
      </c>
      <c r="G117">
        <v>28</v>
      </c>
      <c r="H117">
        <v>56</v>
      </c>
      <c r="I117">
        <v>0.9285714285714286</v>
      </c>
      <c r="J117">
        <v>7.1428571428571425E-2</v>
      </c>
      <c r="K117" t="s">
        <v>19</v>
      </c>
      <c r="L117" t="s">
        <v>582</v>
      </c>
      <c r="M117">
        <v>118.2</v>
      </c>
      <c r="N117">
        <v>117</v>
      </c>
      <c r="O117">
        <v>119.3</v>
      </c>
      <c r="P117">
        <v>118.15</v>
      </c>
      <c r="Q117" t="s">
        <v>21</v>
      </c>
      <c r="R117">
        <v>16.457000000000001</v>
      </c>
      <c r="S117" t="s">
        <v>601</v>
      </c>
      <c r="T117">
        <v>175.22</v>
      </c>
      <c r="U117">
        <v>174.7</v>
      </c>
      <c r="V117">
        <v>177.6</v>
      </c>
      <c r="W117">
        <v>176.14999999999998</v>
      </c>
      <c r="X117" t="s">
        <v>21</v>
      </c>
      <c r="Y117">
        <v>16.768000000000001</v>
      </c>
      <c r="Z117">
        <f t="shared" si="6"/>
        <v>16.479214285714288</v>
      </c>
      <c r="AA117">
        <v>0.16576285700000001</v>
      </c>
      <c r="AB117">
        <v>4.1502999999999997</v>
      </c>
      <c r="AC117">
        <f t="shared" si="7"/>
        <v>4.1502999999999998E-2</v>
      </c>
      <c r="AD117" s="8">
        <f t="shared" si="8"/>
        <v>8.2191780821917804E-2</v>
      </c>
      <c r="AE117">
        <f t="shared" si="9"/>
        <v>0.53503269050715052</v>
      </c>
      <c r="AF117">
        <f t="shared" si="10"/>
        <v>-0.46496730949284948</v>
      </c>
      <c r="AG117">
        <f t="shared" si="11"/>
        <v>7.0065381014301042E-2</v>
      </c>
    </row>
    <row r="118" spans="1:33" x14ac:dyDescent="0.25">
      <c r="A118" s="1">
        <v>45831</v>
      </c>
      <c r="B118">
        <v>6025.17</v>
      </c>
      <c r="C118">
        <v>6025</v>
      </c>
      <c r="D118" s="1">
        <v>45856</v>
      </c>
      <c r="E118" s="1">
        <v>45884</v>
      </c>
      <c r="F118">
        <v>30</v>
      </c>
      <c r="G118">
        <v>25</v>
      </c>
      <c r="H118">
        <v>53</v>
      </c>
      <c r="I118">
        <v>0.8214285714285714</v>
      </c>
      <c r="J118">
        <v>0.17857142857142858</v>
      </c>
      <c r="K118" t="s">
        <v>19</v>
      </c>
      <c r="L118" t="s">
        <v>602</v>
      </c>
      <c r="M118">
        <v>103.27</v>
      </c>
      <c r="N118">
        <v>103.4</v>
      </c>
      <c r="O118">
        <v>104.7</v>
      </c>
      <c r="P118">
        <v>104.05000000000001</v>
      </c>
      <c r="Q118" t="s">
        <v>21</v>
      </c>
      <c r="R118">
        <v>14.997</v>
      </c>
      <c r="S118" t="s">
        <v>603</v>
      </c>
      <c r="T118">
        <v>163.87</v>
      </c>
      <c r="U118">
        <v>162.4</v>
      </c>
      <c r="V118">
        <v>164.2</v>
      </c>
      <c r="W118">
        <v>163.30000000000001</v>
      </c>
      <c r="X118" t="s">
        <v>21</v>
      </c>
      <c r="Y118">
        <v>15.675000000000001</v>
      </c>
      <c r="Z118">
        <f t="shared" si="6"/>
        <v>15.118071428571429</v>
      </c>
      <c r="AA118">
        <v>0.15138089299999999</v>
      </c>
      <c r="AB118">
        <v>4.1166999999999998</v>
      </c>
      <c r="AC118">
        <f t="shared" si="7"/>
        <v>4.1166999999999995E-2</v>
      </c>
      <c r="AD118" s="8">
        <f t="shared" si="8"/>
        <v>8.2191780821917804E-2</v>
      </c>
      <c r="AE118">
        <f t="shared" si="9"/>
        <v>0.53995231600754567</v>
      </c>
      <c r="AF118">
        <f t="shared" si="10"/>
        <v>-0.46004768399245433</v>
      </c>
      <c r="AG118">
        <f t="shared" si="11"/>
        <v>7.9904632015091348E-2</v>
      </c>
    </row>
    <row r="119" spans="1:33" x14ac:dyDescent="0.25">
      <c r="A119" s="1">
        <v>45832</v>
      </c>
      <c r="B119">
        <v>6092.18</v>
      </c>
      <c r="C119">
        <v>6090</v>
      </c>
      <c r="D119" s="1">
        <v>45856</v>
      </c>
      <c r="E119" s="1">
        <v>45884</v>
      </c>
      <c r="F119">
        <v>30</v>
      </c>
      <c r="G119">
        <v>24</v>
      </c>
      <c r="H119">
        <v>52</v>
      </c>
      <c r="I119">
        <v>0.7857142857142857</v>
      </c>
      <c r="J119">
        <v>0.21428571428571427</v>
      </c>
      <c r="K119" t="s">
        <v>19</v>
      </c>
      <c r="L119" t="s">
        <v>604</v>
      </c>
      <c r="M119">
        <v>95.6</v>
      </c>
      <c r="N119">
        <v>92.6</v>
      </c>
      <c r="O119">
        <v>93.8</v>
      </c>
      <c r="P119">
        <v>93.199999999999989</v>
      </c>
      <c r="Q119" t="s">
        <v>21</v>
      </c>
      <c r="R119">
        <v>13.545999999999999</v>
      </c>
      <c r="S119" t="s">
        <v>605</v>
      </c>
      <c r="T119">
        <v>155.69999999999999</v>
      </c>
      <c r="U119">
        <v>149.9</v>
      </c>
      <c r="V119">
        <v>151.5</v>
      </c>
      <c r="W119">
        <v>150.69999999999999</v>
      </c>
      <c r="X119" t="s">
        <v>21</v>
      </c>
      <c r="Y119">
        <v>14.363</v>
      </c>
      <c r="Z119">
        <f t="shared" si="6"/>
        <v>13.721071428571427</v>
      </c>
      <c r="AA119">
        <v>0.137442857</v>
      </c>
      <c r="AB119">
        <v>4.1035000000000004</v>
      </c>
      <c r="AC119">
        <f t="shared" si="7"/>
        <v>4.1035000000000002E-2</v>
      </c>
      <c r="AD119" s="8">
        <f t="shared" si="8"/>
        <v>8.2191780821917804E-2</v>
      </c>
      <c r="AE119">
        <f t="shared" si="9"/>
        <v>0.54553145914515966</v>
      </c>
      <c r="AF119">
        <f t="shared" si="10"/>
        <v>-0.45446854085484034</v>
      </c>
      <c r="AG119">
        <f t="shared" si="11"/>
        <v>9.1062918290319317E-2</v>
      </c>
    </row>
    <row r="120" spans="1:33" x14ac:dyDescent="0.25">
      <c r="A120" s="1">
        <v>45833</v>
      </c>
      <c r="B120">
        <v>6092.16</v>
      </c>
      <c r="C120">
        <v>6090</v>
      </c>
      <c r="D120" s="1">
        <v>45856</v>
      </c>
      <c r="E120" s="1">
        <v>45884</v>
      </c>
      <c r="F120">
        <v>30</v>
      </c>
      <c r="G120">
        <v>23</v>
      </c>
      <c r="H120">
        <v>51</v>
      </c>
      <c r="I120">
        <v>0.75</v>
      </c>
      <c r="J120">
        <v>0.25</v>
      </c>
      <c r="K120" t="s">
        <v>19</v>
      </c>
      <c r="L120" t="s">
        <v>604</v>
      </c>
      <c r="M120">
        <v>89.9</v>
      </c>
      <c r="N120">
        <v>90.1</v>
      </c>
      <c r="O120">
        <v>91.6</v>
      </c>
      <c r="P120">
        <v>90.85</v>
      </c>
      <c r="Q120" t="s">
        <v>21</v>
      </c>
      <c r="R120">
        <v>13.243</v>
      </c>
      <c r="S120" t="s">
        <v>605</v>
      </c>
      <c r="T120">
        <v>149</v>
      </c>
      <c r="U120">
        <v>148</v>
      </c>
      <c r="V120">
        <v>150.1</v>
      </c>
      <c r="W120">
        <v>149.05000000000001</v>
      </c>
      <c r="X120" t="s">
        <v>21</v>
      </c>
      <c r="Y120">
        <v>14.186999999999999</v>
      </c>
      <c r="Z120">
        <f t="shared" si="6"/>
        <v>13.478999999999999</v>
      </c>
      <c r="AA120">
        <v>0.13573125</v>
      </c>
      <c r="AB120">
        <v>4.1055000000000001</v>
      </c>
      <c r="AC120">
        <f t="shared" si="7"/>
        <v>4.1055000000000001E-2</v>
      </c>
      <c r="AD120" s="8">
        <f t="shared" si="8"/>
        <v>8.2191780821917804E-2</v>
      </c>
      <c r="AE120">
        <f t="shared" si="9"/>
        <v>0.54589069843556193</v>
      </c>
      <c r="AF120">
        <f t="shared" si="10"/>
        <v>-0.45410930156443807</v>
      </c>
      <c r="AG120">
        <f t="shared" si="11"/>
        <v>9.1781396871123855E-2</v>
      </c>
    </row>
    <row r="121" spans="1:33" x14ac:dyDescent="0.25">
      <c r="A121" s="1">
        <v>45834</v>
      </c>
      <c r="B121">
        <v>6141.02</v>
      </c>
      <c r="C121">
        <v>6140</v>
      </c>
      <c r="D121" s="1">
        <v>45856</v>
      </c>
      <c r="E121" s="1">
        <v>45884</v>
      </c>
      <c r="F121">
        <v>30</v>
      </c>
      <c r="G121">
        <v>22</v>
      </c>
      <c r="H121">
        <v>50</v>
      </c>
      <c r="I121">
        <v>0.7142857142857143</v>
      </c>
      <c r="J121">
        <v>0.2857142857142857</v>
      </c>
      <c r="K121" t="s">
        <v>19</v>
      </c>
      <c r="L121" t="s">
        <v>606</v>
      </c>
      <c r="M121">
        <v>83.55</v>
      </c>
      <c r="N121">
        <v>85.6</v>
      </c>
      <c r="O121">
        <v>88.2</v>
      </c>
      <c r="P121">
        <v>86.9</v>
      </c>
      <c r="Q121" t="s">
        <v>21</v>
      </c>
      <c r="R121">
        <v>12.952</v>
      </c>
      <c r="S121" t="s">
        <v>607</v>
      </c>
      <c r="T121">
        <v>146.65</v>
      </c>
      <c r="U121">
        <v>144.80000000000001</v>
      </c>
      <c r="V121">
        <v>148.19999999999999</v>
      </c>
      <c r="W121">
        <v>146.5</v>
      </c>
      <c r="X121" t="s">
        <v>21</v>
      </c>
      <c r="Y121">
        <v>13.986000000000001</v>
      </c>
      <c r="Z121">
        <f t="shared" si="6"/>
        <v>13.247428571428571</v>
      </c>
      <c r="AA121">
        <v>0.13306142900000001</v>
      </c>
      <c r="AB121">
        <v>4.0898000000000003</v>
      </c>
      <c r="AC121">
        <f t="shared" si="7"/>
        <v>4.0898000000000004E-2</v>
      </c>
      <c r="AD121" s="8">
        <f t="shared" si="8"/>
        <v>8.2191780821917804E-2</v>
      </c>
      <c r="AE121">
        <f t="shared" si="9"/>
        <v>0.54440832934856409</v>
      </c>
      <c r="AF121">
        <f t="shared" si="10"/>
        <v>-0.45559167065143591</v>
      </c>
      <c r="AG121">
        <f t="shared" si="11"/>
        <v>8.8816658697128181E-2</v>
      </c>
    </row>
    <row r="122" spans="1:33" x14ac:dyDescent="0.25">
      <c r="A122" s="1">
        <v>45835</v>
      </c>
      <c r="B122">
        <v>6173.07</v>
      </c>
      <c r="C122">
        <v>6175</v>
      </c>
      <c r="D122" s="1">
        <v>45856</v>
      </c>
      <c r="E122" s="1">
        <v>45884</v>
      </c>
      <c r="F122">
        <v>30</v>
      </c>
      <c r="G122">
        <v>21</v>
      </c>
      <c r="H122">
        <v>49</v>
      </c>
      <c r="I122">
        <v>0.6785714285714286</v>
      </c>
      <c r="J122">
        <v>0.32142857142857145</v>
      </c>
      <c r="K122" t="s">
        <v>19</v>
      </c>
      <c r="L122" t="s">
        <v>608</v>
      </c>
      <c r="M122">
        <v>75.7</v>
      </c>
      <c r="N122">
        <v>75.8</v>
      </c>
      <c r="O122">
        <v>79.900000000000006</v>
      </c>
      <c r="P122">
        <v>77.849999999999994</v>
      </c>
      <c r="Q122" t="s">
        <v>21</v>
      </c>
      <c r="R122">
        <v>12.712</v>
      </c>
      <c r="S122" t="s">
        <v>609</v>
      </c>
      <c r="T122">
        <v>127.89</v>
      </c>
      <c r="U122">
        <v>137.4</v>
      </c>
      <c r="V122">
        <v>142.5</v>
      </c>
      <c r="W122">
        <v>139.94999999999999</v>
      </c>
      <c r="X122" t="s">
        <v>21</v>
      </c>
      <c r="Y122">
        <v>13.99</v>
      </c>
      <c r="Z122">
        <f t="shared" si="6"/>
        <v>13.122785714285715</v>
      </c>
      <c r="AA122">
        <v>0.13161732100000001</v>
      </c>
      <c r="AB122">
        <v>4.1273</v>
      </c>
      <c r="AC122">
        <f t="shared" si="7"/>
        <v>4.1272999999999997E-2</v>
      </c>
      <c r="AD122" s="8">
        <f t="shared" si="8"/>
        <v>8.2191780821917804E-2</v>
      </c>
      <c r="AE122">
        <f t="shared" si="9"/>
        <v>0.54001992167465507</v>
      </c>
      <c r="AF122">
        <f t="shared" si="10"/>
        <v>-0.45998007832534493</v>
      </c>
      <c r="AG122">
        <f t="shared" si="11"/>
        <v>8.0039843349310136E-2</v>
      </c>
    </row>
    <row r="123" spans="1:33" x14ac:dyDescent="0.25">
      <c r="A123" s="1">
        <v>45838</v>
      </c>
      <c r="B123">
        <v>6204.95</v>
      </c>
      <c r="C123">
        <v>6205</v>
      </c>
      <c r="D123" s="1">
        <v>45856</v>
      </c>
      <c r="E123" s="1">
        <v>45884</v>
      </c>
      <c r="F123">
        <v>30</v>
      </c>
      <c r="G123">
        <v>18</v>
      </c>
      <c r="H123">
        <v>46</v>
      </c>
      <c r="I123">
        <v>0.5714285714285714</v>
      </c>
      <c r="J123">
        <v>0.42857142857142855</v>
      </c>
      <c r="K123" t="s">
        <v>19</v>
      </c>
      <c r="L123" t="s">
        <v>610</v>
      </c>
      <c r="M123">
        <v>73.13</v>
      </c>
      <c r="N123">
        <v>71.099999999999994</v>
      </c>
      <c r="O123">
        <v>72.2</v>
      </c>
      <c r="P123">
        <v>71.650000000000006</v>
      </c>
      <c r="Q123" t="s">
        <v>21</v>
      </c>
      <c r="R123">
        <v>12.536</v>
      </c>
      <c r="S123" t="s">
        <v>611</v>
      </c>
      <c r="T123">
        <v>129.49</v>
      </c>
      <c r="U123">
        <v>133.19999999999999</v>
      </c>
      <c r="V123">
        <v>134.69999999999999</v>
      </c>
      <c r="W123">
        <v>133.94999999999999</v>
      </c>
      <c r="X123" t="s">
        <v>21</v>
      </c>
      <c r="Y123">
        <v>13.787000000000001</v>
      </c>
      <c r="Z123">
        <f t="shared" si="6"/>
        <v>13.072142857142858</v>
      </c>
      <c r="AA123">
        <v>0.13114500000000001</v>
      </c>
      <c r="AB123">
        <v>4.2084999999999999</v>
      </c>
      <c r="AC123">
        <f t="shared" si="7"/>
        <v>4.2084999999999997E-2</v>
      </c>
      <c r="AD123" s="8">
        <f t="shared" si="8"/>
        <v>8.2191780821917804E-2</v>
      </c>
      <c r="AE123">
        <f t="shared" si="9"/>
        <v>0.54402733665706804</v>
      </c>
      <c r="AF123">
        <f t="shared" si="10"/>
        <v>-0.45597266334293196</v>
      </c>
      <c r="AG123">
        <f t="shared" si="11"/>
        <v>8.8054673314136078E-2</v>
      </c>
    </row>
    <row r="124" spans="1:33" x14ac:dyDescent="0.25">
      <c r="A124" s="1">
        <v>45839</v>
      </c>
      <c r="B124">
        <v>6198.01</v>
      </c>
      <c r="C124">
        <v>6200</v>
      </c>
      <c r="D124" s="1">
        <v>45856</v>
      </c>
      <c r="E124" s="1">
        <v>45884</v>
      </c>
      <c r="F124">
        <v>30</v>
      </c>
      <c r="G124">
        <v>17</v>
      </c>
      <c r="H124">
        <v>45</v>
      </c>
      <c r="I124">
        <v>0.5357142857142857</v>
      </c>
      <c r="J124">
        <v>0.4642857142857143</v>
      </c>
      <c r="K124" t="s">
        <v>19</v>
      </c>
      <c r="L124" t="s">
        <v>612</v>
      </c>
      <c r="M124">
        <v>72.8</v>
      </c>
      <c r="N124">
        <v>73.400000000000006</v>
      </c>
      <c r="O124">
        <v>74.400000000000006</v>
      </c>
      <c r="P124">
        <v>73.900000000000006</v>
      </c>
      <c r="Q124" t="s">
        <v>21</v>
      </c>
      <c r="R124">
        <v>12.8</v>
      </c>
      <c r="S124" t="s">
        <v>613</v>
      </c>
      <c r="T124">
        <v>137.65</v>
      </c>
      <c r="U124">
        <v>137.1</v>
      </c>
      <c r="V124">
        <v>138.5</v>
      </c>
      <c r="W124">
        <v>137.80000000000001</v>
      </c>
      <c r="X124" t="s">
        <v>21</v>
      </c>
      <c r="Y124">
        <v>14.006</v>
      </c>
      <c r="Z124">
        <f t="shared" si="6"/>
        <v>13.359928571428572</v>
      </c>
      <c r="AA124">
        <v>0.13393696399999999</v>
      </c>
      <c r="AB124">
        <v>4.2538999999999998</v>
      </c>
      <c r="AC124">
        <f t="shared" si="7"/>
        <v>4.2539E-2</v>
      </c>
      <c r="AD124" s="8">
        <f t="shared" si="8"/>
        <v>8.2191780821917804E-2</v>
      </c>
      <c r="AE124">
        <f t="shared" si="9"/>
        <v>0.54057939092790563</v>
      </c>
      <c r="AF124">
        <f t="shared" si="10"/>
        <v>-0.45942060907209437</v>
      </c>
      <c r="AG124">
        <f t="shared" si="11"/>
        <v>8.1158781855811268E-2</v>
      </c>
    </row>
    <row r="125" spans="1:33" x14ac:dyDescent="0.25">
      <c r="A125" s="1">
        <v>45840</v>
      </c>
      <c r="B125">
        <v>6227.42</v>
      </c>
      <c r="C125">
        <v>6225</v>
      </c>
      <c r="D125" s="1">
        <v>45856</v>
      </c>
      <c r="E125" s="1">
        <v>45884</v>
      </c>
      <c r="F125">
        <v>30</v>
      </c>
      <c r="G125">
        <v>16</v>
      </c>
      <c r="H125">
        <v>44</v>
      </c>
      <c r="I125">
        <v>0.5</v>
      </c>
      <c r="J125">
        <v>0.5</v>
      </c>
      <c r="K125" t="s">
        <v>19</v>
      </c>
      <c r="L125" t="s">
        <v>614</v>
      </c>
      <c r="M125">
        <v>71.27</v>
      </c>
      <c r="N125">
        <v>71.900000000000006</v>
      </c>
      <c r="O125">
        <v>72.900000000000006</v>
      </c>
      <c r="P125">
        <v>72.400000000000006</v>
      </c>
      <c r="Q125" t="s">
        <v>21</v>
      </c>
      <c r="R125">
        <v>12.554</v>
      </c>
      <c r="S125" t="s">
        <v>615</v>
      </c>
      <c r="T125">
        <v>136.72</v>
      </c>
      <c r="U125">
        <v>137.30000000000001</v>
      </c>
      <c r="V125">
        <v>138.6</v>
      </c>
      <c r="W125">
        <v>137.94999999999999</v>
      </c>
      <c r="X125" t="s">
        <v>21</v>
      </c>
      <c r="Y125">
        <v>13.912000000000001</v>
      </c>
      <c r="Z125">
        <f t="shared" si="6"/>
        <v>13.233000000000001</v>
      </c>
      <c r="AA125">
        <v>0.13301750000000001</v>
      </c>
      <c r="AB125">
        <v>4.2126000000000001</v>
      </c>
      <c r="AC125">
        <f t="shared" si="7"/>
        <v>4.2126000000000004E-2</v>
      </c>
      <c r="AD125" s="8">
        <f t="shared" si="8"/>
        <v>8.2191780821917804E-2</v>
      </c>
      <c r="AE125">
        <f t="shared" si="9"/>
        <v>0.54777956320717169</v>
      </c>
      <c r="AF125">
        <f t="shared" si="10"/>
        <v>-0.45222043679282831</v>
      </c>
      <c r="AG125">
        <f t="shared" si="11"/>
        <v>9.5559126414343387E-2</v>
      </c>
    </row>
    <row r="126" spans="1:33" x14ac:dyDescent="0.25">
      <c r="A126" s="1">
        <v>45841</v>
      </c>
      <c r="B126">
        <v>6279.35</v>
      </c>
      <c r="C126">
        <v>6280</v>
      </c>
      <c r="D126" s="1">
        <v>45856</v>
      </c>
      <c r="E126" s="1">
        <v>45884</v>
      </c>
      <c r="F126">
        <v>30</v>
      </c>
      <c r="G126">
        <v>15</v>
      </c>
      <c r="H126">
        <v>43</v>
      </c>
      <c r="I126">
        <v>0.4642857142857143</v>
      </c>
      <c r="J126">
        <v>0.5357142857142857</v>
      </c>
      <c r="K126" t="s">
        <v>19</v>
      </c>
      <c r="L126" t="s">
        <v>616</v>
      </c>
      <c r="M126">
        <v>64</v>
      </c>
      <c r="N126">
        <v>63.1</v>
      </c>
      <c r="O126">
        <v>64</v>
      </c>
      <c r="P126">
        <v>63.55</v>
      </c>
      <c r="Q126" t="s">
        <v>21</v>
      </c>
      <c r="R126">
        <v>12.342000000000001</v>
      </c>
      <c r="S126" t="s">
        <v>617</v>
      </c>
      <c r="T126">
        <v>134.22999999999999</v>
      </c>
      <c r="U126">
        <v>129.9</v>
      </c>
      <c r="V126">
        <v>131.30000000000001</v>
      </c>
      <c r="W126">
        <v>130.60000000000002</v>
      </c>
      <c r="X126" t="s">
        <v>21</v>
      </c>
      <c r="Y126">
        <v>13.765000000000001</v>
      </c>
      <c r="Z126">
        <f t="shared" si="6"/>
        <v>13.104321428571428</v>
      </c>
      <c r="AA126">
        <v>0.131907143</v>
      </c>
      <c r="AB126">
        <v>4.2183000000000002</v>
      </c>
      <c r="AC126">
        <f t="shared" si="7"/>
        <v>4.2182999999999998E-2</v>
      </c>
      <c r="AD126" s="8">
        <f t="shared" si="8"/>
        <v>8.2191780821917804E-2</v>
      </c>
      <c r="AE126">
        <f t="shared" si="9"/>
        <v>0.54294386072473222</v>
      </c>
      <c r="AF126">
        <f t="shared" si="10"/>
        <v>-0.45705613927526778</v>
      </c>
      <c r="AG126">
        <f t="shared" si="11"/>
        <v>8.5887721449464438E-2</v>
      </c>
    </row>
    <row r="127" spans="1:33" x14ac:dyDescent="0.25">
      <c r="A127" s="1">
        <v>45845</v>
      </c>
      <c r="B127">
        <v>6229.98</v>
      </c>
      <c r="C127">
        <v>6230</v>
      </c>
      <c r="D127" s="1">
        <v>45856</v>
      </c>
      <c r="E127" s="1">
        <v>45884</v>
      </c>
      <c r="F127">
        <v>30</v>
      </c>
      <c r="G127">
        <v>11</v>
      </c>
      <c r="H127">
        <v>39</v>
      </c>
      <c r="I127">
        <v>0.32142857142857145</v>
      </c>
      <c r="J127">
        <v>0.6785714285714286</v>
      </c>
      <c r="K127" t="s">
        <v>19</v>
      </c>
      <c r="L127" t="s">
        <v>618</v>
      </c>
      <c r="M127">
        <v>59.5</v>
      </c>
      <c r="N127">
        <v>55.9</v>
      </c>
      <c r="O127">
        <v>57.2</v>
      </c>
      <c r="P127">
        <v>56.55</v>
      </c>
      <c r="Q127" t="s">
        <v>21</v>
      </c>
      <c r="R127">
        <v>12.625999999999999</v>
      </c>
      <c r="S127" t="s">
        <v>619</v>
      </c>
      <c r="T127">
        <v>132.37</v>
      </c>
      <c r="U127">
        <v>125.8</v>
      </c>
      <c r="V127">
        <v>128.19999999999999</v>
      </c>
      <c r="W127">
        <v>127</v>
      </c>
      <c r="X127" t="s">
        <v>21</v>
      </c>
      <c r="Y127">
        <v>14.291</v>
      </c>
      <c r="Z127">
        <f t="shared" si="6"/>
        <v>13.75582142857143</v>
      </c>
      <c r="AA127">
        <v>0.13827482099999999</v>
      </c>
      <c r="AB127">
        <v>4.3055000000000003</v>
      </c>
      <c r="AC127">
        <f t="shared" si="7"/>
        <v>4.3055000000000003E-2</v>
      </c>
      <c r="AD127" s="8">
        <f t="shared" si="8"/>
        <v>8.2191780821917804E-2</v>
      </c>
      <c r="AE127">
        <f t="shared" si="9"/>
        <v>0.54340187500439541</v>
      </c>
      <c r="AF127">
        <f t="shared" si="10"/>
        <v>-0.45659812499560459</v>
      </c>
      <c r="AG127">
        <f t="shared" si="11"/>
        <v>8.6803750008790814E-2</v>
      </c>
    </row>
    <row r="128" spans="1:33" x14ac:dyDescent="0.25">
      <c r="A128" s="1">
        <v>45846</v>
      </c>
      <c r="B128">
        <v>6225.52</v>
      </c>
      <c r="C128">
        <v>6225</v>
      </c>
      <c r="D128" s="1">
        <v>45856</v>
      </c>
      <c r="E128" s="1">
        <v>45884</v>
      </c>
      <c r="F128">
        <v>30</v>
      </c>
      <c r="G128">
        <v>10</v>
      </c>
      <c r="H128">
        <v>38</v>
      </c>
      <c r="I128">
        <v>0.2857142857142857</v>
      </c>
      <c r="J128">
        <v>0.7142857142857143</v>
      </c>
      <c r="K128" t="s">
        <v>19</v>
      </c>
      <c r="L128" t="s">
        <v>614</v>
      </c>
      <c r="M128">
        <v>54</v>
      </c>
      <c r="N128">
        <v>53.6</v>
      </c>
      <c r="O128">
        <v>54.5</v>
      </c>
      <c r="P128">
        <v>54.05</v>
      </c>
      <c r="Q128" t="s">
        <v>21</v>
      </c>
      <c r="R128">
        <v>11.27</v>
      </c>
      <c r="S128" t="s">
        <v>615</v>
      </c>
      <c r="T128">
        <v>126.72</v>
      </c>
      <c r="U128">
        <v>126.5</v>
      </c>
      <c r="V128">
        <v>127.9</v>
      </c>
      <c r="W128">
        <v>127.2</v>
      </c>
      <c r="X128" t="s">
        <v>21</v>
      </c>
      <c r="Y128">
        <v>13.708</v>
      </c>
      <c r="Z128">
        <f t="shared" si="6"/>
        <v>13.011428571428571</v>
      </c>
      <c r="AA128">
        <v>0.13121142899999999</v>
      </c>
      <c r="AB128">
        <v>4.2896000000000001</v>
      </c>
      <c r="AC128">
        <f t="shared" si="7"/>
        <v>4.2896000000000004E-2</v>
      </c>
      <c r="AD128" s="8">
        <f t="shared" si="8"/>
        <v>8.2191780821917804E-2</v>
      </c>
      <c r="AE128">
        <f t="shared" si="9"/>
        <v>0.54568032414235779</v>
      </c>
      <c r="AF128">
        <f t="shared" si="10"/>
        <v>-0.45431967585764221</v>
      </c>
      <c r="AG128">
        <f t="shared" si="11"/>
        <v>9.1360648284715573E-2</v>
      </c>
    </row>
    <row r="129" spans="1:33" x14ac:dyDescent="0.25">
      <c r="A129" s="1">
        <v>45847</v>
      </c>
      <c r="B129">
        <v>6263.26</v>
      </c>
      <c r="C129">
        <v>6265</v>
      </c>
      <c r="D129" s="1">
        <v>45856</v>
      </c>
      <c r="E129" s="1">
        <v>45884</v>
      </c>
      <c r="F129">
        <v>30</v>
      </c>
      <c r="G129">
        <v>9</v>
      </c>
      <c r="H129">
        <v>37</v>
      </c>
      <c r="I129">
        <v>0.25</v>
      </c>
      <c r="J129">
        <v>0.75</v>
      </c>
      <c r="K129" t="s">
        <v>19</v>
      </c>
      <c r="L129" t="s">
        <v>620</v>
      </c>
      <c r="M129">
        <v>44.6</v>
      </c>
      <c r="N129">
        <v>43.6</v>
      </c>
      <c r="O129">
        <v>45.1</v>
      </c>
      <c r="P129">
        <v>44.35</v>
      </c>
      <c r="Q129" t="s">
        <v>21</v>
      </c>
      <c r="R129">
        <v>10.379</v>
      </c>
      <c r="S129" t="s">
        <v>621</v>
      </c>
      <c r="T129">
        <v>115.17</v>
      </c>
      <c r="U129">
        <v>116.6</v>
      </c>
      <c r="V129">
        <v>118.1</v>
      </c>
      <c r="W129">
        <v>117.35</v>
      </c>
      <c r="X129" t="s">
        <v>21</v>
      </c>
      <c r="Y129">
        <v>12.989000000000001</v>
      </c>
      <c r="Z129">
        <f t="shared" si="6"/>
        <v>12.336499999999999</v>
      </c>
      <c r="AA129">
        <v>0.12396125</v>
      </c>
      <c r="AB129">
        <v>4.2942</v>
      </c>
      <c r="AC129">
        <f t="shared" si="7"/>
        <v>4.2942000000000001E-2</v>
      </c>
      <c r="AD129" s="8">
        <f t="shared" si="8"/>
        <v>8.2191780821917804E-2</v>
      </c>
      <c r="AE129">
        <f t="shared" si="9"/>
        <v>0.54350473284196066</v>
      </c>
      <c r="AF129">
        <f t="shared" si="10"/>
        <v>-0.45649526715803934</v>
      </c>
      <c r="AG129">
        <f t="shared" si="11"/>
        <v>8.7009465683921317E-2</v>
      </c>
    </row>
    <row r="130" spans="1:33" x14ac:dyDescent="0.25">
      <c r="A130" s="1">
        <v>45848</v>
      </c>
      <c r="B130">
        <v>6280.46</v>
      </c>
      <c r="C130">
        <v>6280</v>
      </c>
      <c r="D130" s="1">
        <v>45856</v>
      </c>
      <c r="E130" s="1">
        <v>45884</v>
      </c>
      <c r="F130">
        <v>30</v>
      </c>
      <c r="G130">
        <v>8</v>
      </c>
      <c r="H130">
        <v>36</v>
      </c>
      <c r="I130">
        <v>0.21428571428571427</v>
      </c>
      <c r="J130">
        <v>0.7857142857142857</v>
      </c>
      <c r="K130" t="s">
        <v>19</v>
      </c>
      <c r="L130" t="s">
        <v>616</v>
      </c>
      <c r="M130">
        <v>41.2</v>
      </c>
      <c r="N130">
        <v>39.5</v>
      </c>
      <c r="O130">
        <v>40.4</v>
      </c>
      <c r="P130">
        <v>39.950000000000003</v>
      </c>
      <c r="Q130" t="s">
        <v>21</v>
      </c>
      <c r="R130">
        <v>10.113</v>
      </c>
      <c r="S130" t="s">
        <v>617</v>
      </c>
      <c r="T130">
        <v>115.02</v>
      </c>
      <c r="U130">
        <v>112.8</v>
      </c>
      <c r="V130">
        <v>113.9</v>
      </c>
      <c r="W130">
        <v>113.35</v>
      </c>
      <c r="X130" t="s">
        <v>21</v>
      </c>
      <c r="Y130">
        <v>12.769</v>
      </c>
      <c r="Z130">
        <f t="shared" si="6"/>
        <v>12.199857142857143</v>
      </c>
      <c r="AA130">
        <v>0.123027857</v>
      </c>
      <c r="AB130">
        <v>4.2988</v>
      </c>
      <c r="AC130">
        <f t="shared" si="7"/>
        <v>4.2987999999999998E-2</v>
      </c>
      <c r="AD130" s="8">
        <f t="shared" si="8"/>
        <v>8.2191780821917804E-2</v>
      </c>
      <c r="AE130">
        <f t="shared" si="9"/>
        <v>0.5477136030452423</v>
      </c>
      <c r="AF130">
        <f t="shared" si="10"/>
        <v>-0.4522863969547577</v>
      </c>
      <c r="AG130">
        <f t="shared" si="11"/>
        <v>9.5427206090484606E-2</v>
      </c>
    </row>
    <row r="131" spans="1:33" x14ac:dyDescent="0.25">
      <c r="A131" s="1">
        <v>45849</v>
      </c>
      <c r="B131">
        <v>6259.75</v>
      </c>
      <c r="C131">
        <v>6260</v>
      </c>
      <c r="D131" s="1">
        <v>45856</v>
      </c>
      <c r="E131" s="1">
        <v>45884</v>
      </c>
      <c r="F131">
        <v>30</v>
      </c>
      <c r="G131">
        <v>7</v>
      </c>
      <c r="H131">
        <v>35</v>
      </c>
      <c r="I131">
        <v>0.17857142857142858</v>
      </c>
      <c r="J131">
        <v>0.8214285714285714</v>
      </c>
      <c r="K131" t="s">
        <v>19</v>
      </c>
      <c r="L131" t="s">
        <v>622</v>
      </c>
      <c r="M131">
        <v>37.04</v>
      </c>
      <c r="N131">
        <v>35</v>
      </c>
      <c r="O131">
        <v>36</v>
      </c>
      <c r="P131">
        <v>35.5</v>
      </c>
      <c r="Q131" t="s">
        <v>21</v>
      </c>
      <c r="R131">
        <v>10.804</v>
      </c>
      <c r="S131" t="s">
        <v>623</v>
      </c>
      <c r="T131">
        <v>113.86</v>
      </c>
      <c r="U131">
        <v>110.8</v>
      </c>
      <c r="V131">
        <v>112.3</v>
      </c>
      <c r="W131">
        <v>111.55</v>
      </c>
      <c r="X131" t="s">
        <v>21</v>
      </c>
      <c r="Y131">
        <v>13.271000000000001</v>
      </c>
      <c r="Z131">
        <f t="shared" ref="Z131:Z194" si="12">I131*R131+Y131*J131</f>
        <v>12.830464285714285</v>
      </c>
      <c r="AA131">
        <v>0.128415</v>
      </c>
      <c r="AB131">
        <v>4.2907000000000002</v>
      </c>
      <c r="AC131">
        <f t="shared" ref="AC131:AC194" si="13">AB131/100</f>
        <v>4.2907000000000001E-2</v>
      </c>
      <c r="AD131" s="8">
        <f t="shared" ref="AD131:AD194" si="14">30/365</f>
        <v>8.2191780821917804E-2</v>
      </c>
      <c r="AE131">
        <f t="shared" ref="AE131:AE194" si="15">_xlfn.NORM.S.DIST((LN(B131/C131)+(AC131+0.5*(AA131)^2)*(30/365))/(AA131*SQRT(30/365)),TRUE)</f>
        <v>0.54503004943096756</v>
      </c>
      <c r="AF131">
        <f t="shared" ref="AF131:AF194" si="16">AE131-1</f>
        <v>-0.45496995056903244</v>
      </c>
      <c r="AG131">
        <f t="shared" ref="AG131:AG194" si="17">AE131+AF131</f>
        <v>9.0060098861935112E-2</v>
      </c>
    </row>
    <row r="132" spans="1:33" x14ac:dyDescent="0.25">
      <c r="A132" s="1">
        <v>45852</v>
      </c>
      <c r="B132">
        <v>6268.56</v>
      </c>
      <c r="C132">
        <v>6270</v>
      </c>
      <c r="D132" s="1">
        <v>45856</v>
      </c>
      <c r="E132" s="1">
        <v>45884</v>
      </c>
      <c r="F132">
        <v>30</v>
      </c>
      <c r="G132">
        <v>4</v>
      </c>
      <c r="H132">
        <v>32</v>
      </c>
      <c r="I132">
        <v>7.1428571428571425E-2</v>
      </c>
      <c r="J132">
        <v>0.9285714285714286</v>
      </c>
      <c r="K132" t="s">
        <v>19</v>
      </c>
      <c r="L132" t="s">
        <v>624</v>
      </c>
      <c r="M132">
        <v>34.18</v>
      </c>
      <c r="N132">
        <v>32.5</v>
      </c>
      <c r="O132">
        <v>33.200000000000003</v>
      </c>
      <c r="P132">
        <v>32.85</v>
      </c>
      <c r="Q132" t="s">
        <v>21</v>
      </c>
      <c r="R132">
        <v>10.587999999999999</v>
      </c>
      <c r="S132" t="s">
        <v>625</v>
      </c>
      <c r="T132">
        <v>114</v>
      </c>
      <c r="U132">
        <v>112.4</v>
      </c>
      <c r="V132">
        <v>113.7</v>
      </c>
      <c r="W132">
        <v>113.05000000000001</v>
      </c>
      <c r="X132" t="s">
        <v>21</v>
      </c>
      <c r="Y132">
        <v>13.45</v>
      </c>
      <c r="Z132">
        <f t="shared" si="12"/>
        <v>13.245571428571427</v>
      </c>
      <c r="AA132">
        <v>0.13280500000000001</v>
      </c>
      <c r="AB132">
        <v>4.3055000000000003</v>
      </c>
      <c r="AC132">
        <f t="shared" si="13"/>
        <v>4.3055000000000003E-2</v>
      </c>
      <c r="AD132" s="8">
        <f t="shared" si="14"/>
        <v>8.2191780821917804E-2</v>
      </c>
      <c r="AE132">
        <f t="shared" si="15"/>
        <v>0.54218846151295963</v>
      </c>
      <c r="AF132">
        <f t="shared" si="16"/>
        <v>-0.45781153848704037</v>
      </c>
      <c r="AG132">
        <f t="shared" si="17"/>
        <v>8.4376923025919259E-2</v>
      </c>
    </row>
    <row r="133" spans="1:33" x14ac:dyDescent="0.25">
      <c r="A133" s="1">
        <v>45853</v>
      </c>
      <c r="B133">
        <v>6243.76</v>
      </c>
      <c r="C133">
        <v>6245</v>
      </c>
      <c r="D133" s="1">
        <v>45856</v>
      </c>
      <c r="E133" s="1">
        <v>45884</v>
      </c>
      <c r="F133">
        <v>30</v>
      </c>
      <c r="G133">
        <v>3</v>
      </c>
      <c r="H133">
        <v>31</v>
      </c>
      <c r="I133">
        <v>3.5714285714285712E-2</v>
      </c>
      <c r="J133">
        <v>0.9642857142857143</v>
      </c>
      <c r="K133" t="s">
        <v>19</v>
      </c>
      <c r="L133" t="s">
        <v>626</v>
      </c>
      <c r="M133">
        <v>26.81</v>
      </c>
      <c r="N133">
        <v>23.7</v>
      </c>
      <c r="O133">
        <v>24.6</v>
      </c>
      <c r="P133">
        <v>24.15</v>
      </c>
      <c r="Q133" t="s">
        <v>21</v>
      </c>
      <c r="R133">
        <v>11.239000000000001</v>
      </c>
      <c r="S133" t="s">
        <v>627</v>
      </c>
      <c r="T133">
        <v>109.64</v>
      </c>
      <c r="U133">
        <v>107</v>
      </c>
      <c r="V133">
        <v>108.7</v>
      </c>
      <c r="W133">
        <v>107.85</v>
      </c>
      <c r="X133" t="s">
        <v>21</v>
      </c>
      <c r="Y133">
        <v>13.859</v>
      </c>
      <c r="Z133">
        <f t="shared" si="12"/>
        <v>13.765428571428572</v>
      </c>
      <c r="AA133">
        <v>0.1372775</v>
      </c>
      <c r="AB133">
        <v>4.2998000000000003</v>
      </c>
      <c r="AC133">
        <f t="shared" si="13"/>
        <v>4.2998000000000001E-2</v>
      </c>
      <c r="AD133" s="8">
        <f t="shared" si="14"/>
        <v>8.2191780821917804E-2</v>
      </c>
      <c r="AE133">
        <f t="shared" si="15"/>
        <v>0.54158582649849407</v>
      </c>
      <c r="AF133">
        <f t="shared" si="16"/>
        <v>-0.45841417350150593</v>
      </c>
      <c r="AG133">
        <f t="shared" si="17"/>
        <v>8.3171652996988144E-2</v>
      </c>
    </row>
    <row r="134" spans="1:33" x14ac:dyDescent="0.25">
      <c r="A134" s="1">
        <v>45854</v>
      </c>
      <c r="B134">
        <v>6263.7</v>
      </c>
      <c r="C134">
        <v>6265</v>
      </c>
      <c r="D134" s="1">
        <v>45856</v>
      </c>
      <c r="E134" s="1">
        <v>45884</v>
      </c>
      <c r="F134">
        <v>30</v>
      </c>
      <c r="G134">
        <v>2</v>
      </c>
      <c r="H134">
        <v>30</v>
      </c>
      <c r="I134">
        <v>0</v>
      </c>
      <c r="J134">
        <v>1</v>
      </c>
      <c r="K134" t="s">
        <v>19</v>
      </c>
      <c r="L134" t="s">
        <v>620</v>
      </c>
      <c r="M134">
        <v>18.25</v>
      </c>
      <c r="N134">
        <v>17.8</v>
      </c>
      <c r="O134">
        <v>18.399999999999999</v>
      </c>
      <c r="P134">
        <v>18.100000000000001</v>
      </c>
      <c r="Q134" t="s">
        <v>21</v>
      </c>
      <c r="R134">
        <v>9.6519999999999992</v>
      </c>
      <c r="S134" t="s">
        <v>621</v>
      </c>
      <c r="T134">
        <v>104.43</v>
      </c>
      <c r="U134">
        <v>106.3</v>
      </c>
      <c r="V134">
        <v>107.5</v>
      </c>
      <c r="W134">
        <v>106.9</v>
      </c>
      <c r="X134" t="s">
        <v>21</v>
      </c>
      <c r="Y134">
        <v>13.568</v>
      </c>
      <c r="Z134">
        <f t="shared" si="12"/>
        <v>13.568</v>
      </c>
      <c r="AA134">
        <v>0.13607</v>
      </c>
      <c r="AB134">
        <v>4.2968000000000002</v>
      </c>
      <c r="AC134">
        <f t="shared" si="13"/>
        <v>4.2967999999999999E-2</v>
      </c>
      <c r="AD134" s="8">
        <f t="shared" si="14"/>
        <v>8.2191780821917804E-2</v>
      </c>
      <c r="AE134">
        <f t="shared" si="15"/>
        <v>0.54169949943693052</v>
      </c>
      <c r="AF134">
        <f t="shared" si="16"/>
        <v>-0.45830050056306948</v>
      </c>
      <c r="AG134">
        <f t="shared" si="17"/>
        <v>8.3398998873861041E-2</v>
      </c>
    </row>
    <row r="135" spans="1:33" x14ac:dyDescent="0.25">
      <c r="A135" s="1">
        <v>45855</v>
      </c>
      <c r="B135">
        <v>6297.36</v>
      </c>
      <c r="C135">
        <v>6295</v>
      </c>
      <c r="D135" s="1">
        <v>45856</v>
      </c>
      <c r="E135" s="1">
        <v>45884</v>
      </c>
      <c r="F135">
        <v>30</v>
      </c>
      <c r="G135">
        <v>1</v>
      </c>
      <c r="H135">
        <v>29</v>
      </c>
      <c r="I135">
        <v>0</v>
      </c>
      <c r="J135">
        <v>1</v>
      </c>
      <c r="K135" t="s">
        <v>19</v>
      </c>
      <c r="L135" t="s">
        <v>628</v>
      </c>
      <c r="M135">
        <v>14.94</v>
      </c>
      <c r="N135">
        <v>14.8</v>
      </c>
      <c r="O135">
        <v>16.2</v>
      </c>
      <c r="P135">
        <v>15.5</v>
      </c>
      <c r="Q135" t="s">
        <v>21</v>
      </c>
      <c r="R135">
        <v>8.66</v>
      </c>
      <c r="S135" t="s">
        <v>629</v>
      </c>
      <c r="T135">
        <v>109.1</v>
      </c>
      <c r="U135">
        <v>107.1</v>
      </c>
      <c r="V135">
        <v>108.8</v>
      </c>
      <c r="W135">
        <v>107.94999999999999</v>
      </c>
      <c r="X135" t="s">
        <v>21</v>
      </c>
      <c r="Y135">
        <v>13.019</v>
      </c>
      <c r="Z135">
        <f t="shared" si="12"/>
        <v>13.019</v>
      </c>
      <c r="AA135">
        <v>0.13092999999999999</v>
      </c>
      <c r="AB135">
        <v>4.2937000000000003</v>
      </c>
      <c r="AC135">
        <f t="shared" si="13"/>
        <v>4.2937000000000003E-2</v>
      </c>
      <c r="AD135" s="8">
        <f t="shared" si="14"/>
        <v>8.2191780821917804E-2</v>
      </c>
      <c r="AE135">
        <f t="shared" si="15"/>
        <v>0.54885580957416202</v>
      </c>
      <c r="AF135">
        <f t="shared" si="16"/>
        <v>-0.45114419042583798</v>
      </c>
      <c r="AG135">
        <f t="shared" si="17"/>
        <v>9.7711619148324047E-2</v>
      </c>
    </row>
    <row r="136" spans="1:33" x14ac:dyDescent="0.25">
      <c r="A136" s="1">
        <v>45856</v>
      </c>
      <c r="B136">
        <v>6296.79</v>
      </c>
      <c r="C136">
        <v>6295</v>
      </c>
      <c r="D136" s="1">
        <v>45884</v>
      </c>
      <c r="E136" s="1">
        <v>45919</v>
      </c>
      <c r="F136">
        <v>30</v>
      </c>
      <c r="G136">
        <v>28</v>
      </c>
      <c r="H136">
        <v>63</v>
      </c>
      <c r="I136">
        <v>0.94285714285714284</v>
      </c>
      <c r="J136">
        <v>5.7142857142857141E-2</v>
      </c>
      <c r="K136" t="s">
        <v>19</v>
      </c>
      <c r="L136" t="s">
        <v>629</v>
      </c>
      <c r="M136">
        <v>101.5</v>
      </c>
      <c r="N136">
        <v>100.7</v>
      </c>
      <c r="O136">
        <v>101.9</v>
      </c>
      <c r="P136">
        <v>101.30000000000001</v>
      </c>
      <c r="Q136" t="s">
        <v>21</v>
      </c>
      <c r="R136">
        <v>12.974</v>
      </c>
      <c r="S136" t="s">
        <v>630</v>
      </c>
      <c r="T136">
        <v>169.23</v>
      </c>
      <c r="U136">
        <v>168.4</v>
      </c>
      <c r="V136">
        <v>169.9</v>
      </c>
      <c r="W136">
        <v>169.15</v>
      </c>
      <c r="X136" t="s">
        <v>21</v>
      </c>
      <c r="Y136">
        <v>14.173</v>
      </c>
      <c r="Z136">
        <f t="shared" si="12"/>
        <v>13.042514285714287</v>
      </c>
      <c r="AA136">
        <v>0.13107485699999999</v>
      </c>
      <c r="AB136">
        <v>4.2804000000000002</v>
      </c>
      <c r="AC136">
        <f t="shared" si="13"/>
        <v>4.2804000000000002E-2</v>
      </c>
      <c r="AD136" s="8">
        <f t="shared" si="14"/>
        <v>8.2191780821917804E-2</v>
      </c>
      <c r="AE136">
        <f t="shared" si="15"/>
        <v>0.54774939092353214</v>
      </c>
      <c r="AF136">
        <f t="shared" si="16"/>
        <v>-0.45225060907646786</v>
      </c>
      <c r="AG136">
        <f t="shared" si="17"/>
        <v>9.5498781847064285E-2</v>
      </c>
    </row>
    <row r="137" spans="1:33" x14ac:dyDescent="0.25">
      <c r="A137" s="1">
        <v>45859</v>
      </c>
      <c r="B137">
        <v>6305.6</v>
      </c>
      <c r="C137">
        <v>6305</v>
      </c>
      <c r="D137" s="1">
        <v>45884</v>
      </c>
      <c r="E137" s="1">
        <v>45919</v>
      </c>
      <c r="F137">
        <v>30</v>
      </c>
      <c r="G137">
        <v>25</v>
      </c>
      <c r="H137">
        <v>60</v>
      </c>
      <c r="I137">
        <v>0.8571428571428571</v>
      </c>
      <c r="J137">
        <v>0.14285714285714285</v>
      </c>
      <c r="K137" t="s">
        <v>19</v>
      </c>
      <c r="L137" t="s">
        <v>631</v>
      </c>
      <c r="M137">
        <v>110.75</v>
      </c>
      <c r="N137">
        <v>97.9</v>
      </c>
      <c r="O137">
        <v>99.4</v>
      </c>
      <c r="P137">
        <v>98.65</v>
      </c>
      <c r="Q137" t="s">
        <v>21</v>
      </c>
      <c r="R137">
        <v>12.677</v>
      </c>
      <c r="S137" t="s">
        <v>632</v>
      </c>
      <c r="T137">
        <v>179.1</v>
      </c>
      <c r="U137">
        <v>166.3</v>
      </c>
      <c r="V137">
        <v>167.8</v>
      </c>
      <c r="W137">
        <v>167.05</v>
      </c>
      <c r="X137" t="s">
        <v>21</v>
      </c>
      <c r="Y137">
        <v>13.920999999999999</v>
      </c>
      <c r="Z137">
        <f t="shared" si="12"/>
        <v>12.854714285714286</v>
      </c>
      <c r="AA137">
        <v>0.12927428599999999</v>
      </c>
      <c r="AB137">
        <v>4.2953000000000001</v>
      </c>
      <c r="AC137">
        <f t="shared" si="13"/>
        <v>4.2952999999999998E-2</v>
      </c>
      <c r="AD137" s="8">
        <f t="shared" si="14"/>
        <v>8.2191780821917804E-2</v>
      </c>
      <c r="AE137">
        <f t="shared" si="15"/>
        <v>0.54631445977671456</v>
      </c>
      <c r="AF137">
        <f t="shared" si="16"/>
        <v>-0.45368554022328544</v>
      </c>
      <c r="AG137">
        <f t="shared" si="17"/>
        <v>9.2628919553429112E-2</v>
      </c>
    </row>
    <row r="138" spans="1:33" x14ac:dyDescent="0.25">
      <c r="A138" s="1">
        <v>45860</v>
      </c>
      <c r="B138">
        <v>6309.62</v>
      </c>
      <c r="C138">
        <v>6310</v>
      </c>
      <c r="D138" s="1">
        <v>45884</v>
      </c>
      <c r="E138" s="1">
        <v>45919</v>
      </c>
      <c r="F138">
        <v>30</v>
      </c>
      <c r="G138">
        <v>24</v>
      </c>
      <c r="H138">
        <v>59</v>
      </c>
      <c r="I138">
        <v>0.82857142857142863</v>
      </c>
      <c r="J138">
        <v>0.17142857142857143</v>
      </c>
      <c r="K138" t="s">
        <v>19</v>
      </c>
      <c r="L138" t="s">
        <v>633</v>
      </c>
      <c r="M138">
        <v>91.4</v>
      </c>
      <c r="N138">
        <v>92.2</v>
      </c>
      <c r="O138">
        <v>93.3</v>
      </c>
      <c r="P138">
        <v>92.75</v>
      </c>
      <c r="Q138" t="s">
        <v>21</v>
      </c>
      <c r="R138">
        <v>12.612</v>
      </c>
      <c r="S138" t="s">
        <v>634</v>
      </c>
      <c r="T138">
        <v>159.6</v>
      </c>
      <c r="U138">
        <v>160.19999999999999</v>
      </c>
      <c r="V138">
        <v>161.5</v>
      </c>
      <c r="W138">
        <v>160.85</v>
      </c>
      <c r="X138" t="s">
        <v>21</v>
      </c>
      <c r="Y138">
        <v>13.773</v>
      </c>
      <c r="Z138">
        <f t="shared" si="12"/>
        <v>12.811028571428572</v>
      </c>
      <c r="AA138">
        <v>0.12863228600000001</v>
      </c>
      <c r="AB138">
        <v>4.2870999999999997</v>
      </c>
      <c r="AC138">
        <f t="shared" si="13"/>
        <v>4.2870999999999999E-2</v>
      </c>
      <c r="AD138" s="8">
        <f t="shared" si="14"/>
        <v>8.2191780821917804E-2</v>
      </c>
      <c r="AE138">
        <f t="shared" si="15"/>
        <v>0.54472910029409904</v>
      </c>
      <c r="AF138">
        <f t="shared" si="16"/>
        <v>-0.45527089970590096</v>
      </c>
      <c r="AG138">
        <f t="shared" si="17"/>
        <v>8.9458200588198089E-2</v>
      </c>
    </row>
    <row r="139" spans="1:33" x14ac:dyDescent="0.25">
      <c r="A139" s="1">
        <v>45861</v>
      </c>
      <c r="B139">
        <v>6358.91</v>
      </c>
      <c r="C139">
        <v>6360</v>
      </c>
      <c r="D139" s="1">
        <v>45884</v>
      </c>
      <c r="E139" s="1">
        <v>45919</v>
      </c>
      <c r="F139">
        <v>30</v>
      </c>
      <c r="G139">
        <v>23</v>
      </c>
      <c r="H139">
        <v>58</v>
      </c>
      <c r="I139">
        <v>0.8</v>
      </c>
      <c r="J139">
        <v>0.2</v>
      </c>
      <c r="K139" t="s">
        <v>19</v>
      </c>
      <c r="L139" t="s">
        <v>635</v>
      </c>
      <c r="M139">
        <v>87.55</v>
      </c>
      <c r="N139">
        <v>89.3</v>
      </c>
      <c r="O139">
        <v>90.7</v>
      </c>
      <c r="P139">
        <v>90</v>
      </c>
      <c r="Q139" t="s">
        <v>21</v>
      </c>
      <c r="R139">
        <v>11.805999999999999</v>
      </c>
      <c r="S139" t="s">
        <v>636</v>
      </c>
      <c r="T139">
        <v>153.85</v>
      </c>
      <c r="U139">
        <v>157.6</v>
      </c>
      <c r="V139">
        <v>159.30000000000001</v>
      </c>
      <c r="W139">
        <v>158.44999999999999</v>
      </c>
      <c r="X139" t="s">
        <v>21</v>
      </c>
      <c r="Y139">
        <v>13.111000000000001</v>
      </c>
      <c r="Z139">
        <f t="shared" si="12"/>
        <v>12.067</v>
      </c>
      <c r="AA139">
        <v>0.120937</v>
      </c>
      <c r="AB139">
        <v>4.2815000000000003</v>
      </c>
      <c r="AC139">
        <f t="shared" si="13"/>
        <v>4.2815000000000006E-2</v>
      </c>
      <c r="AD139" s="8">
        <f t="shared" si="14"/>
        <v>8.2191780821917804E-2</v>
      </c>
      <c r="AE139">
        <f t="shared" si="15"/>
        <v>0.54533701549619007</v>
      </c>
      <c r="AF139">
        <f t="shared" si="16"/>
        <v>-0.45466298450380993</v>
      </c>
      <c r="AG139">
        <f t="shared" si="17"/>
        <v>9.0674030992380139E-2</v>
      </c>
    </row>
    <row r="140" spans="1:33" x14ac:dyDescent="0.25">
      <c r="A140" s="1">
        <v>45862</v>
      </c>
      <c r="B140">
        <v>6363.35</v>
      </c>
      <c r="C140">
        <v>6365</v>
      </c>
      <c r="D140" s="1">
        <v>45884</v>
      </c>
      <c r="E140" s="1">
        <v>45919</v>
      </c>
      <c r="F140">
        <v>30</v>
      </c>
      <c r="G140">
        <v>22</v>
      </c>
      <c r="H140">
        <v>57</v>
      </c>
      <c r="I140">
        <v>0.77142857142857146</v>
      </c>
      <c r="J140">
        <v>0.22857142857142856</v>
      </c>
      <c r="K140" t="s">
        <v>19</v>
      </c>
      <c r="L140" t="s">
        <v>637</v>
      </c>
      <c r="M140">
        <v>86.01</v>
      </c>
      <c r="N140">
        <v>83.5</v>
      </c>
      <c r="O140">
        <v>84.8</v>
      </c>
      <c r="P140">
        <v>84.15</v>
      </c>
      <c r="Q140" t="s">
        <v>21</v>
      </c>
      <c r="R140">
        <v>11.712</v>
      </c>
      <c r="S140" t="s">
        <v>638</v>
      </c>
      <c r="T140" t="s">
        <v>21</v>
      </c>
      <c r="U140">
        <v>152.19999999999999</v>
      </c>
      <c r="V140">
        <v>153.69999999999999</v>
      </c>
      <c r="W140">
        <v>152.94999999999999</v>
      </c>
      <c r="X140" t="s">
        <v>21</v>
      </c>
      <c r="Y140">
        <v>13.042999999999999</v>
      </c>
      <c r="Z140">
        <f t="shared" si="12"/>
        <v>12.016228571428572</v>
      </c>
      <c r="AA140">
        <v>0.12042700000000001</v>
      </c>
      <c r="AB140">
        <v>4.2835000000000001</v>
      </c>
      <c r="AC140">
        <f t="shared" si="13"/>
        <v>4.2834999999999998E-2</v>
      </c>
      <c r="AD140" s="8">
        <f t="shared" si="14"/>
        <v>8.2191780821917804E-2</v>
      </c>
      <c r="AE140">
        <f t="shared" si="15"/>
        <v>0.54448015025501406</v>
      </c>
      <c r="AF140">
        <f t="shared" si="16"/>
        <v>-0.45551984974498594</v>
      </c>
      <c r="AG140">
        <f t="shared" si="17"/>
        <v>8.8960300510028123E-2</v>
      </c>
    </row>
    <row r="141" spans="1:33" x14ac:dyDescent="0.25">
      <c r="A141" s="1">
        <v>45863</v>
      </c>
      <c r="B141">
        <v>6388.64</v>
      </c>
      <c r="C141">
        <v>6390</v>
      </c>
      <c r="D141" s="1">
        <v>45884</v>
      </c>
      <c r="E141" s="1">
        <v>45919</v>
      </c>
      <c r="F141">
        <v>30</v>
      </c>
      <c r="G141">
        <v>21</v>
      </c>
      <c r="H141">
        <v>56</v>
      </c>
      <c r="I141">
        <v>0.74285714285714288</v>
      </c>
      <c r="J141">
        <v>0.25714285714285712</v>
      </c>
      <c r="K141" t="s">
        <v>19</v>
      </c>
      <c r="L141" t="s">
        <v>639</v>
      </c>
      <c r="M141">
        <v>79.02</v>
      </c>
      <c r="N141">
        <v>77.099999999999994</v>
      </c>
      <c r="O141">
        <v>78.2</v>
      </c>
      <c r="P141">
        <v>77.650000000000006</v>
      </c>
      <c r="Q141" t="s">
        <v>21</v>
      </c>
      <c r="R141">
        <v>11.173999999999999</v>
      </c>
      <c r="S141" t="s">
        <v>640</v>
      </c>
      <c r="T141">
        <v>148.09</v>
      </c>
      <c r="U141">
        <v>146.80000000000001</v>
      </c>
      <c r="V141">
        <v>148.30000000000001</v>
      </c>
      <c r="W141">
        <v>147.55000000000001</v>
      </c>
      <c r="X141" t="s">
        <v>21</v>
      </c>
      <c r="Y141">
        <v>12.731999999999999</v>
      </c>
      <c r="Z141">
        <f t="shared" si="12"/>
        <v>11.574628571428571</v>
      </c>
      <c r="AA141">
        <v>0.116012714</v>
      </c>
      <c r="AB141">
        <v>4.3110999999999997</v>
      </c>
      <c r="AC141">
        <f t="shared" si="13"/>
        <v>4.3110999999999997E-2</v>
      </c>
      <c r="AD141" s="8">
        <f t="shared" si="14"/>
        <v>8.2191780821917804E-2</v>
      </c>
      <c r="AE141">
        <f t="shared" si="15"/>
        <v>0.54647734026967887</v>
      </c>
      <c r="AF141">
        <f t="shared" si="16"/>
        <v>-0.45352265973032113</v>
      </c>
      <c r="AG141">
        <f t="shared" si="17"/>
        <v>9.2954680539357737E-2</v>
      </c>
    </row>
    <row r="142" spans="1:33" x14ac:dyDescent="0.25">
      <c r="A142" s="1">
        <v>45866</v>
      </c>
      <c r="B142">
        <v>6389.77</v>
      </c>
      <c r="C142">
        <v>6390</v>
      </c>
      <c r="D142" s="1">
        <v>45884</v>
      </c>
      <c r="E142" s="1">
        <v>45919</v>
      </c>
      <c r="F142">
        <v>30</v>
      </c>
      <c r="G142">
        <v>18</v>
      </c>
      <c r="H142">
        <v>53</v>
      </c>
      <c r="I142">
        <v>0.65714285714285714</v>
      </c>
      <c r="J142">
        <v>0.34285714285714286</v>
      </c>
      <c r="K142" t="s">
        <v>19</v>
      </c>
      <c r="L142" t="s">
        <v>639</v>
      </c>
      <c r="M142">
        <v>66.319999999999993</v>
      </c>
      <c r="N142">
        <v>70.2</v>
      </c>
      <c r="O142">
        <v>71.3</v>
      </c>
      <c r="P142">
        <v>70.75</v>
      </c>
      <c r="Q142" t="s">
        <v>21</v>
      </c>
      <c r="R142">
        <v>10.648999999999999</v>
      </c>
      <c r="S142" t="s">
        <v>640</v>
      </c>
      <c r="T142">
        <v>139</v>
      </c>
      <c r="U142">
        <v>140</v>
      </c>
      <c r="V142">
        <v>141.30000000000001</v>
      </c>
      <c r="W142">
        <v>140.65</v>
      </c>
      <c r="X142" t="s">
        <v>21</v>
      </c>
      <c r="Y142">
        <v>12.38</v>
      </c>
      <c r="Z142">
        <f t="shared" si="12"/>
        <v>11.242485714285714</v>
      </c>
      <c r="AA142">
        <v>0.113440714</v>
      </c>
      <c r="AB142">
        <v>4.3258999999999999</v>
      </c>
      <c r="AC142">
        <f t="shared" si="13"/>
        <v>4.3258999999999999E-2</v>
      </c>
      <c r="AD142" s="8">
        <f t="shared" si="14"/>
        <v>8.2191780821917804E-2</v>
      </c>
      <c r="AE142">
        <f t="shared" si="15"/>
        <v>0.54953239356672068</v>
      </c>
      <c r="AF142">
        <f t="shared" si="16"/>
        <v>-0.45046760643327932</v>
      </c>
      <c r="AG142">
        <f t="shared" si="17"/>
        <v>9.9064787133441357E-2</v>
      </c>
    </row>
    <row r="143" spans="1:33" x14ac:dyDescent="0.25">
      <c r="A143" s="1">
        <v>45867</v>
      </c>
      <c r="B143">
        <v>6370.86</v>
      </c>
      <c r="C143">
        <v>6370</v>
      </c>
      <c r="D143" s="1">
        <v>45884</v>
      </c>
      <c r="E143" s="1">
        <v>45919</v>
      </c>
      <c r="F143">
        <v>30</v>
      </c>
      <c r="G143">
        <v>17</v>
      </c>
      <c r="H143">
        <v>52</v>
      </c>
      <c r="I143">
        <v>0.62857142857142856</v>
      </c>
      <c r="J143">
        <v>0.37142857142857144</v>
      </c>
      <c r="K143" t="s">
        <v>19</v>
      </c>
      <c r="L143" t="s">
        <v>641</v>
      </c>
      <c r="M143">
        <v>72</v>
      </c>
      <c r="N143">
        <v>71.2</v>
      </c>
      <c r="O143">
        <v>72.599999999999994</v>
      </c>
      <c r="P143">
        <v>71.900000000000006</v>
      </c>
      <c r="Q143" t="s">
        <v>21</v>
      </c>
      <c r="R143">
        <v>11.442</v>
      </c>
      <c r="S143" t="s">
        <v>642</v>
      </c>
      <c r="T143">
        <v>143.6</v>
      </c>
      <c r="U143">
        <v>142.6</v>
      </c>
      <c r="V143">
        <v>144.4</v>
      </c>
      <c r="W143">
        <v>143.5</v>
      </c>
      <c r="X143" t="s">
        <v>21</v>
      </c>
      <c r="Y143">
        <v>12.994</v>
      </c>
      <c r="Z143">
        <f t="shared" si="12"/>
        <v>12.018457142857143</v>
      </c>
      <c r="AA143">
        <v>0.12053357100000001</v>
      </c>
      <c r="AB143">
        <v>4.3254000000000001</v>
      </c>
      <c r="AC143">
        <f t="shared" si="13"/>
        <v>4.3254000000000001E-2</v>
      </c>
      <c r="AD143" s="8">
        <f t="shared" si="14"/>
        <v>8.2191780821917804E-2</v>
      </c>
      <c r="AE143">
        <f t="shared" si="15"/>
        <v>0.54936808736331366</v>
      </c>
      <c r="AF143">
        <f t="shared" si="16"/>
        <v>-0.45063191263668634</v>
      </c>
      <c r="AG143">
        <f t="shared" si="17"/>
        <v>9.8736174726627324E-2</v>
      </c>
    </row>
    <row r="144" spans="1:33" x14ac:dyDescent="0.25">
      <c r="A144" s="1">
        <v>45868</v>
      </c>
      <c r="B144">
        <v>6362.9</v>
      </c>
      <c r="C144">
        <v>6365</v>
      </c>
      <c r="D144" s="1">
        <v>45884</v>
      </c>
      <c r="E144" s="1">
        <v>45919</v>
      </c>
      <c r="F144">
        <v>30</v>
      </c>
      <c r="G144">
        <v>16</v>
      </c>
      <c r="H144">
        <v>51</v>
      </c>
      <c r="I144">
        <v>0.6</v>
      </c>
      <c r="J144">
        <v>0.4</v>
      </c>
      <c r="K144" t="s">
        <v>19</v>
      </c>
      <c r="L144" t="s">
        <v>637</v>
      </c>
      <c r="M144">
        <v>84.8</v>
      </c>
      <c r="N144">
        <v>84.5</v>
      </c>
      <c r="O144">
        <v>86.1</v>
      </c>
      <c r="P144">
        <v>85.3</v>
      </c>
      <c r="Q144" t="s">
        <v>21</v>
      </c>
      <c r="R144">
        <v>11.227</v>
      </c>
      <c r="S144" t="s">
        <v>638</v>
      </c>
      <c r="T144" t="s">
        <v>21</v>
      </c>
      <c r="U144">
        <v>156.69999999999999</v>
      </c>
      <c r="V144">
        <v>158.80000000000001</v>
      </c>
      <c r="W144">
        <v>157.75</v>
      </c>
      <c r="X144" t="s">
        <v>21</v>
      </c>
      <c r="Y144">
        <v>12.928000000000001</v>
      </c>
      <c r="Z144">
        <f t="shared" si="12"/>
        <v>11.907400000000001</v>
      </c>
      <c r="AA144">
        <v>0.12195499999999999</v>
      </c>
      <c r="AB144">
        <v>4.3400999999999996</v>
      </c>
      <c r="AC144">
        <f t="shared" si="13"/>
        <v>4.3400999999999995E-2</v>
      </c>
      <c r="AD144" s="8">
        <f t="shared" si="14"/>
        <v>8.2191780821917804E-2</v>
      </c>
      <c r="AE144">
        <f t="shared" si="15"/>
        <v>0.54382328638709121</v>
      </c>
      <c r="AF144">
        <f t="shared" si="16"/>
        <v>-0.45617671361290879</v>
      </c>
      <c r="AG144">
        <f t="shared" si="17"/>
        <v>8.7646572774182419E-2</v>
      </c>
    </row>
    <row r="145" spans="1:33" x14ac:dyDescent="0.25">
      <c r="A145" s="1">
        <v>45869</v>
      </c>
      <c r="B145">
        <v>6339.39</v>
      </c>
      <c r="C145">
        <v>6340</v>
      </c>
      <c r="D145" s="1">
        <v>45884</v>
      </c>
      <c r="E145" s="1">
        <v>45919</v>
      </c>
      <c r="F145">
        <v>30</v>
      </c>
      <c r="G145">
        <v>15</v>
      </c>
      <c r="H145">
        <v>50</v>
      </c>
      <c r="I145">
        <v>0.5714285714285714</v>
      </c>
      <c r="J145">
        <v>0.42857142857142855</v>
      </c>
      <c r="K145" t="s">
        <v>19</v>
      </c>
      <c r="L145" t="s">
        <v>643</v>
      </c>
      <c r="M145">
        <v>80.3</v>
      </c>
      <c r="N145">
        <v>68</v>
      </c>
      <c r="O145">
        <v>69.599999999999994</v>
      </c>
      <c r="P145">
        <v>68.8</v>
      </c>
      <c r="Q145" t="s">
        <v>21</v>
      </c>
      <c r="R145">
        <v>12.288</v>
      </c>
      <c r="S145" t="s">
        <v>644</v>
      </c>
      <c r="T145">
        <v>148.22</v>
      </c>
      <c r="U145">
        <v>140</v>
      </c>
      <c r="V145">
        <v>142.5</v>
      </c>
      <c r="W145">
        <v>141.25</v>
      </c>
      <c r="X145" t="s">
        <v>21</v>
      </c>
      <c r="Y145">
        <v>13.404</v>
      </c>
      <c r="Z145">
        <f t="shared" si="12"/>
        <v>12.766285714285713</v>
      </c>
      <c r="AA145">
        <v>0.12905857100000001</v>
      </c>
      <c r="AB145">
        <v>4.3548999999999998</v>
      </c>
      <c r="AC145">
        <f t="shared" si="13"/>
        <v>4.3548999999999997E-2</v>
      </c>
      <c r="AD145" s="8">
        <f t="shared" si="14"/>
        <v>8.2191780821917804E-2</v>
      </c>
      <c r="AE145">
        <f t="shared" si="15"/>
        <v>0.54484174734626911</v>
      </c>
      <c r="AF145">
        <f t="shared" si="16"/>
        <v>-0.45515825265373089</v>
      </c>
      <c r="AG145">
        <f t="shared" si="17"/>
        <v>8.9683494692538224E-2</v>
      </c>
    </row>
    <row r="146" spans="1:33" x14ac:dyDescent="0.25">
      <c r="A146" s="1">
        <v>45870</v>
      </c>
      <c r="B146">
        <v>6238.01</v>
      </c>
      <c r="C146">
        <v>6240</v>
      </c>
      <c r="D146" s="1">
        <v>45884</v>
      </c>
      <c r="E146" s="1">
        <v>45919</v>
      </c>
      <c r="F146">
        <v>30</v>
      </c>
      <c r="G146">
        <v>14</v>
      </c>
      <c r="H146">
        <v>49</v>
      </c>
      <c r="I146">
        <v>0.54285714285714282</v>
      </c>
      <c r="J146">
        <v>0.45714285714285713</v>
      </c>
      <c r="K146" t="s">
        <v>19</v>
      </c>
      <c r="L146" t="s">
        <v>645</v>
      </c>
      <c r="M146">
        <v>85.25</v>
      </c>
      <c r="N146">
        <v>78.8</v>
      </c>
      <c r="O146">
        <v>80.099999999999994</v>
      </c>
      <c r="P146">
        <v>79.449999999999989</v>
      </c>
      <c r="Q146" t="s">
        <v>21</v>
      </c>
      <c r="R146">
        <v>15.935</v>
      </c>
      <c r="S146" t="s">
        <v>646</v>
      </c>
      <c r="T146">
        <v>156.38999999999999</v>
      </c>
      <c r="U146">
        <v>153.69999999999999</v>
      </c>
      <c r="V146">
        <v>155.5</v>
      </c>
      <c r="W146">
        <v>154.6</v>
      </c>
      <c r="X146" t="s">
        <v>21</v>
      </c>
      <c r="Y146">
        <v>15.759</v>
      </c>
      <c r="Z146">
        <f t="shared" si="12"/>
        <v>15.854542857142857</v>
      </c>
      <c r="AA146">
        <v>0.15867100000000001</v>
      </c>
      <c r="AB146">
        <v>4.3238000000000003</v>
      </c>
      <c r="AC146">
        <f t="shared" si="13"/>
        <v>4.3238000000000006E-2</v>
      </c>
      <c r="AD146" s="8">
        <f t="shared" si="14"/>
        <v>8.2191780821917804E-2</v>
      </c>
      <c r="AE146">
        <f t="shared" si="15"/>
        <v>0.5373884791458261</v>
      </c>
      <c r="AF146">
        <f t="shared" si="16"/>
        <v>-0.4626115208541739</v>
      </c>
      <c r="AG146">
        <f t="shared" si="17"/>
        <v>7.4776958291652207E-2</v>
      </c>
    </row>
    <row r="147" spans="1:33" x14ac:dyDescent="0.25">
      <c r="A147" s="1">
        <v>45873</v>
      </c>
      <c r="B147">
        <v>6329.94</v>
      </c>
      <c r="C147">
        <v>6330</v>
      </c>
      <c r="D147" s="1">
        <v>45884</v>
      </c>
      <c r="E147" s="1">
        <v>45919</v>
      </c>
      <c r="F147">
        <v>30</v>
      </c>
      <c r="G147">
        <v>11</v>
      </c>
      <c r="H147">
        <v>46</v>
      </c>
      <c r="I147">
        <v>0.45714285714285713</v>
      </c>
      <c r="J147">
        <v>0.54285714285714282</v>
      </c>
      <c r="K147" t="s">
        <v>19</v>
      </c>
      <c r="L147" t="s">
        <v>647</v>
      </c>
      <c r="M147">
        <v>60.9</v>
      </c>
      <c r="N147">
        <v>67.3</v>
      </c>
      <c r="O147">
        <v>68.5</v>
      </c>
      <c r="P147">
        <v>67.900000000000006</v>
      </c>
      <c r="Q147" t="s">
        <v>21</v>
      </c>
      <c r="R147">
        <v>11.659000000000001</v>
      </c>
      <c r="S147" t="s">
        <v>648</v>
      </c>
      <c r="T147">
        <v>132.35</v>
      </c>
      <c r="U147">
        <v>144.6</v>
      </c>
      <c r="V147">
        <v>146.30000000000001</v>
      </c>
      <c r="W147">
        <v>145.44999999999999</v>
      </c>
      <c r="X147" t="s">
        <v>21</v>
      </c>
      <c r="Y147">
        <v>13.41</v>
      </c>
      <c r="Z147">
        <f t="shared" si="12"/>
        <v>12.609542857142856</v>
      </c>
      <c r="AA147">
        <v>0.12947457100000001</v>
      </c>
      <c r="AB147">
        <v>4.3616000000000001</v>
      </c>
      <c r="AC147">
        <f t="shared" si="13"/>
        <v>4.3616000000000002E-2</v>
      </c>
      <c r="AD147" s="8">
        <f t="shared" si="14"/>
        <v>8.2191780821917804E-2</v>
      </c>
      <c r="AE147">
        <f t="shared" si="15"/>
        <v>0.54573053611628719</v>
      </c>
      <c r="AF147">
        <f t="shared" si="16"/>
        <v>-0.45426946388371281</v>
      </c>
      <c r="AG147">
        <f t="shared" si="17"/>
        <v>9.1461072232574381E-2</v>
      </c>
    </row>
    <row r="148" spans="1:33" x14ac:dyDescent="0.25">
      <c r="A148" s="1">
        <v>45874</v>
      </c>
      <c r="B148">
        <v>6299.19</v>
      </c>
      <c r="C148">
        <v>6300</v>
      </c>
      <c r="D148" s="1">
        <v>45884</v>
      </c>
      <c r="E148" s="1">
        <v>45919</v>
      </c>
      <c r="F148">
        <v>30</v>
      </c>
      <c r="G148">
        <v>10</v>
      </c>
      <c r="H148">
        <v>45</v>
      </c>
      <c r="I148">
        <v>0.42857142857142855</v>
      </c>
      <c r="J148">
        <v>0.5714285714285714</v>
      </c>
      <c r="K148" t="s">
        <v>19</v>
      </c>
      <c r="L148" t="s">
        <v>649</v>
      </c>
      <c r="M148">
        <v>61</v>
      </c>
      <c r="N148">
        <v>59.7</v>
      </c>
      <c r="O148">
        <v>60.5</v>
      </c>
      <c r="P148">
        <v>60.1</v>
      </c>
      <c r="Q148" t="s">
        <v>21</v>
      </c>
      <c r="R148">
        <v>13.124000000000001</v>
      </c>
      <c r="S148" t="s">
        <v>650</v>
      </c>
      <c r="T148">
        <v>139.4</v>
      </c>
      <c r="U148">
        <v>139</v>
      </c>
      <c r="V148">
        <v>140.19999999999999</v>
      </c>
      <c r="W148">
        <v>139.6</v>
      </c>
      <c r="X148" t="s">
        <v>21</v>
      </c>
      <c r="Y148">
        <v>14.246</v>
      </c>
      <c r="Z148">
        <f t="shared" si="12"/>
        <v>13.765142857142857</v>
      </c>
      <c r="AA148">
        <v>0.137442857</v>
      </c>
      <c r="AB148">
        <v>4.3509000000000002</v>
      </c>
      <c r="AC148">
        <f t="shared" si="13"/>
        <v>4.3508999999999999E-2</v>
      </c>
      <c r="AD148" s="8">
        <f t="shared" si="14"/>
        <v>8.2191780821917804E-2</v>
      </c>
      <c r="AE148">
        <f t="shared" si="15"/>
        <v>0.54268238150457149</v>
      </c>
      <c r="AF148">
        <f t="shared" si="16"/>
        <v>-0.45731761849542851</v>
      </c>
      <c r="AG148">
        <f t="shared" si="17"/>
        <v>8.5364763009142974E-2</v>
      </c>
    </row>
    <row r="149" spans="1:33" x14ac:dyDescent="0.25">
      <c r="A149" s="1">
        <v>45875</v>
      </c>
      <c r="B149">
        <v>6345.06</v>
      </c>
      <c r="C149">
        <v>6345</v>
      </c>
      <c r="D149" s="1">
        <v>45884</v>
      </c>
      <c r="E149" s="1">
        <v>45919</v>
      </c>
      <c r="F149">
        <v>30</v>
      </c>
      <c r="G149">
        <v>9</v>
      </c>
      <c r="H149">
        <v>44</v>
      </c>
      <c r="I149">
        <v>0.4</v>
      </c>
      <c r="J149">
        <v>0.6</v>
      </c>
      <c r="K149" t="s">
        <v>19</v>
      </c>
      <c r="L149" t="s">
        <v>651</v>
      </c>
      <c r="M149">
        <v>53.6</v>
      </c>
      <c r="N149">
        <v>51.4</v>
      </c>
      <c r="O149">
        <v>52.5</v>
      </c>
      <c r="P149">
        <v>51.95</v>
      </c>
      <c r="Q149" t="s">
        <v>21</v>
      </c>
      <c r="R149">
        <v>11.763</v>
      </c>
      <c r="S149" t="s">
        <v>652</v>
      </c>
      <c r="T149">
        <v>133.9</v>
      </c>
      <c r="U149">
        <v>131.5</v>
      </c>
      <c r="V149">
        <v>133.19999999999999</v>
      </c>
      <c r="W149">
        <v>132.35</v>
      </c>
      <c r="X149" t="s">
        <v>21</v>
      </c>
      <c r="Y149">
        <v>13.436</v>
      </c>
      <c r="Z149">
        <f t="shared" si="12"/>
        <v>12.7668</v>
      </c>
      <c r="AA149">
        <v>0.12787599999999999</v>
      </c>
      <c r="AB149">
        <v>4.3502999999999998</v>
      </c>
      <c r="AC149">
        <f t="shared" si="13"/>
        <v>4.3503E-2</v>
      </c>
      <c r="AD149" s="8">
        <f t="shared" si="14"/>
        <v>8.2191780821917804E-2</v>
      </c>
      <c r="AE149">
        <f t="shared" si="15"/>
        <v>0.54622118973396017</v>
      </c>
      <c r="AF149">
        <f t="shared" si="16"/>
        <v>-0.45377881026603983</v>
      </c>
      <c r="AG149">
        <f t="shared" si="17"/>
        <v>9.2442379467920333E-2</v>
      </c>
    </row>
    <row r="150" spans="1:33" x14ac:dyDescent="0.25">
      <c r="A150" s="1">
        <v>45876</v>
      </c>
      <c r="B150">
        <v>6340</v>
      </c>
      <c r="C150">
        <v>6340</v>
      </c>
      <c r="D150" s="1">
        <v>45884</v>
      </c>
      <c r="E150" s="1">
        <v>45919</v>
      </c>
      <c r="F150">
        <v>30</v>
      </c>
      <c r="G150">
        <v>8</v>
      </c>
      <c r="H150">
        <v>43</v>
      </c>
      <c r="I150">
        <v>0.37142857142857144</v>
      </c>
      <c r="J150">
        <v>0.62857142857142856</v>
      </c>
      <c r="K150" t="s">
        <v>19</v>
      </c>
      <c r="L150" t="s">
        <v>643</v>
      </c>
      <c r="M150">
        <v>53.62</v>
      </c>
      <c r="N150">
        <v>53.2</v>
      </c>
      <c r="O150">
        <v>54</v>
      </c>
      <c r="P150">
        <v>53.6</v>
      </c>
      <c r="Q150" t="s">
        <v>21</v>
      </c>
      <c r="R150">
        <v>12.250999999999999</v>
      </c>
      <c r="S150" t="s">
        <v>644</v>
      </c>
      <c r="T150">
        <v>119.3</v>
      </c>
      <c r="U150">
        <v>134.5</v>
      </c>
      <c r="V150">
        <v>135.80000000000001</v>
      </c>
      <c r="W150">
        <v>135.15</v>
      </c>
      <c r="X150" t="s">
        <v>21</v>
      </c>
      <c r="Y150">
        <v>13.598000000000001</v>
      </c>
      <c r="Z150">
        <f t="shared" si="12"/>
        <v>13.097685714285713</v>
      </c>
      <c r="AA150">
        <v>0.13104371400000001</v>
      </c>
      <c r="AB150">
        <v>4.3319999999999999</v>
      </c>
      <c r="AC150">
        <f t="shared" si="13"/>
        <v>4.3319999999999997E-2</v>
      </c>
      <c r="AD150" s="8">
        <f t="shared" si="14"/>
        <v>8.2191780821917804E-2</v>
      </c>
      <c r="AE150">
        <f t="shared" si="15"/>
        <v>0.54520588076390075</v>
      </c>
      <c r="AF150">
        <f t="shared" si="16"/>
        <v>-0.45479411923609925</v>
      </c>
      <c r="AG150">
        <f t="shared" si="17"/>
        <v>9.0411761527801504E-2</v>
      </c>
    </row>
    <row r="151" spans="1:33" x14ac:dyDescent="0.25">
      <c r="A151" s="1">
        <v>45877</v>
      </c>
      <c r="B151">
        <v>6389.45</v>
      </c>
      <c r="C151">
        <v>6390</v>
      </c>
      <c r="D151" s="1">
        <v>45884</v>
      </c>
      <c r="E151" s="1">
        <v>45919</v>
      </c>
      <c r="F151">
        <v>30</v>
      </c>
      <c r="G151">
        <v>7</v>
      </c>
      <c r="H151">
        <v>42</v>
      </c>
      <c r="I151">
        <v>0.34285714285714286</v>
      </c>
      <c r="J151">
        <v>0.65714285714285714</v>
      </c>
      <c r="K151" t="s">
        <v>19</v>
      </c>
      <c r="L151" t="s">
        <v>639</v>
      </c>
      <c r="M151">
        <v>45</v>
      </c>
      <c r="N151">
        <v>44.7</v>
      </c>
      <c r="O151">
        <v>45.9</v>
      </c>
      <c r="P151">
        <v>45.3</v>
      </c>
      <c r="Q151" t="s">
        <v>21</v>
      </c>
      <c r="R151">
        <v>10.579000000000001</v>
      </c>
      <c r="S151" t="s">
        <v>640</v>
      </c>
      <c r="T151">
        <v>120.2</v>
      </c>
      <c r="U151">
        <v>125.9</v>
      </c>
      <c r="V151">
        <v>127.6</v>
      </c>
      <c r="W151">
        <v>126.75</v>
      </c>
      <c r="X151" t="s">
        <v>21</v>
      </c>
      <c r="Y151">
        <v>12.558999999999999</v>
      </c>
      <c r="Z151">
        <f t="shared" si="12"/>
        <v>11.880142857142857</v>
      </c>
      <c r="AA151">
        <v>0.11959842900000001</v>
      </c>
      <c r="AB151">
        <v>4.3238000000000003</v>
      </c>
      <c r="AC151">
        <f t="shared" si="13"/>
        <v>4.3238000000000006E-2</v>
      </c>
      <c r="AD151" s="8">
        <f t="shared" si="14"/>
        <v>8.2191780821917804E-2</v>
      </c>
      <c r="AE151">
        <f t="shared" si="15"/>
        <v>0.5470770729942217</v>
      </c>
      <c r="AF151">
        <f t="shared" si="16"/>
        <v>-0.4529229270057783</v>
      </c>
      <c r="AG151">
        <f t="shared" si="17"/>
        <v>9.4154145988443405E-2</v>
      </c>
    </row>
    <row r="152" spans="1:33" x14ac:dyDescent="0.25">
      <c r="A152" s="1">
        <v>45880</v>
      </c>
      <c r="B152">
        <v>6373.45</v>
      </c>
      <c r="C152">
        <v>6375</v>
      </c>
      <c r="D152" s="1">
        <v>45884</v>
      </c>
      <c r="E152" s="1">
        <v>45919</v>
      </c>
      <c r="F152">
        <v>30</v>
      </c>
      <c r="G152">
        <v>4</v>
      </c>
      <c r="H152">
        <v>39</v>
      </c>
      <c r="I152">
        <v>0.25714285714285712</v>
      </c>
      <c r="J152">
        <v>0.74285714285714288</v>
      </c>
      <c r="K152" t="s">
        <v>19</v>
      </c>
      <c r="L152" t="s">
        <v>653</v>
      </c>
      <c r="M152">
        <v>36.909999999999997</v>
      </c>
      <c r="N152">
        <v>36.4</v>
      </c>
      <c r="O152">
        <v>37.299999999999997</v>
      </c>
      <c r="P152">
        <v>36.849999999999994</v>
      </c>
      <c r="Q152" t="s">
        <v>21</v>
      </c>
      <c r="R152">
        <v>11.481999999999999</v>
      </c>
      <c r="S152" t="s">
        <v>654</v>
      </c>
      <c r="T152">
        <v>121.32</v>
      </c>
      <c r="U152">
        <v>119.1</v>
      </c>
      <c r="V152">
        <v>120.8</v>
      </c>
      <c r="W152">
        <v>119.94999999999999</v>
      </c>
      <c r="X152" t="s">
        <v>21</v>
      </c>
      <c r="Y152">
        <v>12.82</v>
      </c>
      <c r="Z152">
        <f t="shared" si="12"/>
        <v>12.475942857142856</v>
      </c>
      <c r="AA152">
        <v>0.125190143</v>
      </c>
      <c r="AB152">
        <v>4.3361000000000001</v>
      </c>
      <c r="AC152">
        <f t="shared" si="13"/>
        <v>4.3361000000000004E-2</v>
      </c>
      <c r="AD152" s="8">
        <f t="shared" si="14"/>
        <v>8.2191780821917804E-2</v>
      </c>
      <c r="AE152">
        <f t="shared" si="15"/>
        <v>0.54398125683589704</v>
      </c>
      <c r="AF152">
        <f t="shared" si="16"/>
        <v>-0.45601874316410296</v>
      </c>
      <c r="AG152">
        <f t="shared" si="17"/>
        <v>8.7962513671794085E-2</v>
      </c>
    </row>
    <row r="153" spans="1:33" x14ac:dyDescent="0.25">
      <c r="A153" s="1">
        <v>45881</v>
      </c>
      <c r="B153">
        <v>6445.76</v>
      </c>
      <c r="C153">
        <v>6445</v>
      </c>
      <c r="D153" s="1">
        <v>45884</v>
      </c>
      <c r="E153" s="1">
        <v>45919</v>
      </c>
      <c r="F153">
        <v>30</v>
      </c>
      <c r="G153">
        <v>3</v>
      </c>
      <c r="H153">
        <v>38</v>
      </c>
      <c r="I153">
        <v>0.22857142857142856</v>
      </c>
      <c r="J153">
        <v>0.77142857142857146</v>
      </c>
      <c r="K153" t="s">
        <v>19</v>
      </c>
      <c r="L153" t="s">
        <v>655</v>
      </c>
      <c r="M153">
        <v>22.45</v>
      </c>
      <c r="N153">
        <v>22.9</v>
      </c>
      <c r="O153">
        <v>23.7</v>
      </c>
      <c r="P153">
        <v>23.299999999999997</v>
      </c>
      <c r="Q153" t="s">
        <v>21</v>
      </c>
      <c r="R153">
        <v>8.1020000000000003</v>
      </c>
      <c r="S153" t="s">
        <v>656</v>
      </c>
      <c r="T153">
        <v>108.4</v>
      </c>
      <c r="U153">
        <v>110.7</v>
      </c>
      <c r="V153">
        <v>111.9</v>
      </c>
      <c r="W153">
        <v>111.30000000000001</v>
      </c>
      <c r="X153" t="s">
        <v>21</v>
      </c>
      <c r="Y153">
        <v>11.842000000000001</v>
      </c>
      <c r="Z153">
        <f t="shared" si="12"/>
        <v>10.987142857142858</v>
      </c>
      <c r="AA153">
        <v>0.110332286</v>
      </c>
      <c r="AB153">
        <v>4.3023999999999996</v>
      </c>
      <c r="AC153">
        <f t="shared" si="13"/>
        <v>4.3023999999999993E-2</v>
      </c>
      <c r="AD153" s="8">
        <f t="shared" si="14"/>
        <v>8.2191780821917804E-2</v>
      </c>
      <c r="AE153">
        <f t="shared" si="15"/>
        <v>0.55224619195876024</v>
      </c>
      <c r="AF153">
        <f t="shared" si="16"/>
        <v>-0.44775380804123976</v>
      </c>
      <c r="AG153">
        <f t="shared" si="17"/>
        <v>0.10449238391752047</v>
      </c>
    </row>
    <row r="154" spans="1:33" x14ac:dyDescent="0.25">
      <c r="A154" s="1">
        <v>45882</v>
      </c>
      <c r="B154">
        <v>6466.58</v>
      </c>
      <c r="C154">
        <v>6465</v>
      </c>
      <c r="D154" s="1">
        <v>45884</v>
      </c>
      <c r="E154" s="1">
        <v>45919</v>
      </c>
      <c r="F154">
        <v>30</v>
      </c>
      <c r="G154">
        <v>2</v>
      </c>
      <c r="H154">
        <v>37</v>
      </c>
      <c r="I154">
        <v>0.2</v>
      </c>
      <c r="J154">
        <v>0.8</v>
      </c>
      <c r="K154" t="s">
        <v>19</v>
      </c>
      <c r="L154" t="s">
        <v>657</v>
      </c>
      <c r="M154">
        <v>18</v>
      </c>
      <c r="N154">
        <v>16.3</v>
      </c>
      <c r="O154">
        <v>16.899999999999999</v>
      </c>
      <c r="P154">
        <v>16.600000000000001</v>
      </c>
      <c r="Q154" t="s">
        <v>21</v>
      </c>
      <c r="R154">
        <v>8.1620000000000008</v>
      </c>
      <c r="S154" t="s">
        <v>658</v>
      </c>
      <c r="T154">
        <v>99.5</v>
      </c>
      <c r="U154">
        <v>105.1</v>
      </c>
      <c r="V154">
        <v>106.4</v>
      </c>
      <c r="W154">
        <v>105.75</v>
      </c>
      <c r="X154" t="s">
        <v>21</v>
      </c>
      <c r="Y154">
        <v>11.664</v>
      </c>
      <c r="Z154">
        <f t="shared" si="12"/>
        <v>10.963600000000001</v>
      </c>
      <c r="AA154">
        <v>0.109539</v>
      </c>
      <c r="AB154">
        <v>4.2992999999999997</v>
      </c>
      <c r="AC154">
        <f t="shared" si="13"/>
        <v>4.2992999999999996E-2</v>
      </c>
      <c r="AD154" s="8">
        <f t="shared" si="14"/>
        <v>8.2191780821917804E-2</v>
      </c>
      <c r="AE154">
        <f t="shared" si="15"/>
        <v>0.55409201537991137</v>
      </c>
      <c r="AF154">
        <f t="shared" si="16"/>
        <v>-0.44590798462008863</v>
      </c>
      <c r="AG154">
        <f t="shared" si="17"/>
        <v>0.10818403075982275</v>
      </c>
    </row>
    <row r="155" spans="1:33" x14ac:dyDescent="0.25">
      <c r="A155" s="1">
        <v>45883</v>
      </c>
      <c r="B155">
        <v>6468.54</v>
      </c>
      <c r="C155">
        <v>6470</v>
      </c>
      <c r="D155" s="1">
        <v>45884</v>
      </c>
      <c r="E155" s="1">
        <v>45919</v>
      </c>
      <c r="F155">
        <v>30</v>
      </c>
      <c r="G155">
        <v>1</v>
      </c>
      <c r="H155">
        <v>36</v>
      </c>
      <c r="I155">
        <v>0.17142857142857143</v>
      </c>
      <c r="J155">
        <v>0.82857142857142863</v>
      </c>
      <c r="K155" t="s">
        <v>19</v>
      </c>
      <c r="L155" t="s">
        <v>659</v>
      </c>
      <c r="M155">
        <v>7.35</v>
      </c>
      <c r="N155">
        <v>9.8000000000000007</v>
      </c>
      <c r="O155">
        <v>11.2</v>
      </c>
      <c r="P155">
        <v>10.5</v>
      </c>
      <c r="Q155" t="s">
        <v>21</v>
      </c>
      <c r="R155">
        <v>8.1370000000000005</v>
      </c>
      <c r="S155" t="s">
        <v>660</v>
      </c>
      <c r="T155">
        <v>106.5</v>
      </c>
      <c r="U155">
        <v>103.9</v>
      </c>
      <c r="V155">
        <v>105.5</v>
      </c>
      <c r="W155">
        <v>104.7</v>
      </c>
      <c r="X155" t="s">
        <v>21</v>
      </c>
      <c r="Y155">
        <v>11.64</v>
      </c>
      <c r="Z155">
        <f t="shared" si="12"/>
        <v>11.039485714285716</v>
      </c>
      <c r="AA155">
        <v>0.110144429</v>
      </c>
      <c r="AB155">
        <v>4.3038999999999996</v>
      </c>
      <c r="AC155">
        <f t="shared" si="13"/>
        <v>4.3038999999999994E-2</v>
      </c>
      <c r="AD155" s="8">
        <f t="shared" si="14"/>
        <v>8.2191780821917804E-2</v>
      </c>
      <c r="AE155">
        <f t="shared" si="15"/>
        <v>0.54802239190274205</v>
      </c>
      <c r="AF155">
        <f t="shared" si="16"/>
        <v>-0.45197760809725795</v>
      </c>
      <c r="AG155">
        <f t="shared" si="17"/>
        <v>9.6044783805484091E-2</v>
      </c>
    </row>
    <row r="156" spans="1:33" x14ac:dyDescent="0.25">
      <c r="A156" s="1">
        <v>45884</v>
      </c>
      <c r="B156">
        <v>6449.8</v>
      </c>
      <c r="C156">
        <v>6450</v>
      </c>
      <c r="D156" s="1">
        <v>45919</v>
      </c>
      <c r="E156" s="1">
        <v>45947</v>
      </c>
      <c r="F156">
        <v>30</v>
      </c>
      <c r="G156">
        <v>35</v>
      </c>
      <c r="H156">
        <v>63</v>
      </c>
      <c r="I156">
        <v>1</v>
      </c>
      <c r="J156">
        <v>0</v>
      </c>
      <c r="K156" t="s">
        <v>19</v>
      </c>
      <c r="L156" t="s">
        <v>661</v>
      </c>
      <c r="M156">
        <v>103.1</v>
      </c>
      <c r="N156">
        <v>102.6</v>
      </c>
      <c r="O156">
        <v>104.8</v>
      </c>
      <c r="P156">
        <v>103.69999999999999</v>
      </c>
      <c r="Q156" t="s">
        <v>21</v>
      </c>
      <c r="R156">
        <v>12.010999999999999</v>
      </c>
      <c r="S156" t="s">
        <v>662</v>
      </c>
      <c r="T156">
        <v>159.32</v>
      </c>
      <c r="U156">
        <v>156.1</v>
      </c>
      <c r="V156">
        <v>158.69999999999999</v>
      </c>
      <c r="W156">
        <v>157.39999999999998</v>
      </c>
      <c r="X156" t="s">
        <v>21</v>
      </c>
      <c r="Y156">
        <v>12.904999999999999</v>
      </c>
      <c r="Z156">
        <f t="shared" si="12"/>
        <v>12.010999999999999</v>
      </c>
      <c r="AA156">
        <v>0.12078</v>
      </c>
      <c r="AB156">
        <v>4.3136000000000001</v>
      </c>
      <c r="AC156">
        <f t="shared" si="13"/>
        <v>4.3136000000000001E-2</v>
      </c>
      <c r="AD156" s="8">
        <f t="shared" si="14"/>
        <v>8.2191780821917804E-2</v>
      </c>
      <c r="AE156">
        <f t="shared" si="15"/>
        <v>0.54728631362659286</v>
      </c>
      <c r="AF156">
        <f t="shared" si="16"/>
        <v>-0.45271368637340714</v>
      </c>
      <c r="AG156">
        <f t="shared" si="17"/>
        <v>9.4572627253185715E-2</v>
      </c>
    </row>
    <row r="157" spans="1:33" x14ac:dyDescent="0.25">
      <c r="A157" s="1">
        <v>45887</v>
      </c>
      <c r="B157">
        <v>6449.15</v>
      </c>
      <c r="C157">
        <v>6450</v>
      </c>
      <c r="D157" s="1">
        <v>45919</v>
      </c>
      <c r="E157" s="1">
        <v>45947</v>
      </c>
      <c r="F157">
        <v>30</v>
      </c>
      <c r="G157">
        <v>32</v>
      </c>
      <c r="H157">
        <v>60</v>
      </c>
      <c r="I157">
        <v>1</v>
      </c>
      <c r="J157">
        <v>0</v>
      </c>
      <c r="K157" t="s">
        <v>19</v>
      </c>
      <c r="L157" t="s">
        <v>661</v>
      </c>
      <c r="M157">
        <v>99.97</v>
      </c>
      <c r="N157">
        <v>98.1</v>
      </c>
      <c r="O157">
        <v>99.4</v>
      </c>
      <c r="P157">
        <v>98.75</v>
      </c>
      <c r="Q157" t="s">
        <v>21</v>
      </c>
      <c r="R157">
        <v>11.624000000000001</v>
      </c>
      <c r="S157" t="s">
        <v>662</v>
      </c>
      <c r="T157">
        <v>156</v>
      </c>
      <c r="U157">
        <v>151.69999999999999</v>
      </c>
      <c r="V157">
        <v>153.19999999999999</v>
      </c>
      <c r="W157">
        <v>152.44999999999999</v>
      </c>
      <c r="X157" t="s">
        <v>21</v>
      </c>
      <c r="Y157">
        <v>12.584</v>
      </c>
      <c r="Z157">
        <f t="shared" si="12"/>
        <v>11.624000000000001</v>
      </c>
      <c r="AA157">
        <v>0.11673</v>
      </c>
      <c r="AB157">
        <v>4.3437000000000001</v>
      </c>
      <c r="AC157">
        <f t="shared" si="13"/>
        <v>4.3437000000000003E-2</v>
      </c>
      <c r="AD157" s="8">
        <f t="shared" si="14"/>
        <v>8.2191780821917804E-2</v>
      </c>
      <c r="AE157">
        <f t="shared" si="15"/>
        <v>0.54755114269457117</v>
      </c>
      <c r="AF157">
        <f t="shared" si="16"/>
        <v>-0.45244885730542883</v>
      </c>
      <c r="AG157">
        <f t="shared" si="17"/>
        <v>9.5102285389142338E-2</v>
      </c>
    </row>
    <row r="158" spans="1:33" x14ac:dyDescent="0.25">
      <c r="A158" s="1">
        <v>45888</v>
      </c>
      <c r="B158">
        <v>6411.37</v>
      </c>
      <c r="C158">
        <v>6410</v>
      </c>
      <c r="D158" s="1">
        <v>45919</v>
      </c>
      <c r="E158" s="1">
        <v>45947</v>
      </c>
      <c r="F158">
        <v>30</v>
      </c>
      <c r="G158">
        <v>31</v>
      </c>
      <c r="H158">
        <v>59</v>
      </c>
      <c r="I158">
        <v>1</v>
      </c>
      <c r="J158">
        <v>0</v>
      </c>
      <c r="K158" t="s">
        <v>19</v>
      </c>
      <c r="L158" t="s">
        <v>663</v>
      </c>
      <c r="M158">
        <v>101.8</v>
      </c>
      <c r="N158">
        <v>104.6</v>
      </c>
      <c r="O158">
        <v>105.9</v>
      </c>
      <c r="P158">
        <v>105.25</v>
      </c>
      <c r="Q158" t="s">
        <v>21</v>
      </c>
      <c r="R158">
        <v>12.266999999999999</v>
      </c>
      <c r="S158" t="s">
        <v>664</v>
      </c>
      <c r="T158">
        <v>154.19999999999999</v>
      </c>
      <c r="U158">
        <v>158.6</v>
      </c>
      <c r="V158">
        <v>160.19999999999999</v>
      </c>
      <c r="W158">
        <v>159.39999999999998</v>
      </c>
      <c r="X158" t="s">
        <v>21</v>
      </c>
      <c r="Y158">
        <v>13.117000000000001</v>
      </c>
      <c r="Z158">
        <f t="shared" si="12"/>
        <v>12.266999999999999</v>
      </c>
      <c r="AA158">
        <v>0.123015</v>
      </c>
      <c r="AB158">
        <v>4.3380999999999998</v>
      </c>
      <c r="AC158">
        <f t="shared" si="13"/>
        <v>4.3380999999999996E-2</v>
      </c>
      <c r="AD158" s="8">
        <f t="shared" si="14"/>
        <v>8.2191780821917804E-2</v>
      </c>
      <c r="AE158">
        <f t="shared" si="15"/>
        <v>0.54965680190703226</v>
      </c>
      <c r="AF158">
        <f t="shared" si="16"/>
        <v>-0.45034319809296774</v>
      </c>
      <c r="AG158">
        <f t="shared" si="17"/>
        <v>9.9313603814064511E-2</v>
      </c>
    </row>
    <row r="159" spans="1:33" x14ac:dyDescent="0.25">
      <c r="A159" s="1">
        <v>45889</v>
      </c>
      <c r="B159">
        <v>6395.78</v>
      </c>
      <c r="C159">
        <v>6395</v>
      </c>
      <c r="D159" s="1">
        <v>45919</v>
      </c>
      <c r="E159" s="1">
        <v>45947</v>
      </c>
      <c r="F159">
        <v>30</v>
      </c>
      <c r="G159">
        <v>30</v>
      </c>
      <c r="H159">
        <v>58</v>
      </c>
      <c r="I159">
        <v>1</v>
      </c>
      <c r="J159">
        <v>0</v>
      </c>
      <c r="K159" t="s">
        <v>19</v>
      </c>
      <c r="L159" t="s">
        <v>665</v>
      </c>
      <c r="M159">
        <v>103.6</v>
      </c>
      <c r="N159">
        <v>102.2</v>
      </c>
      <c r="O159">
        <v>103.3</v>
      </c>
      <c r="P159">
        <v>102.75</v>
      </c>
      <c r="Q159" t="s">
        <v>21</v>
      </c>
      <c r="R159">
        <v>12.717000000000001</v>
      </c>
      <c r="S159" t="s">
        <v>666</v>
      </c>
      <c r="T159">
        <v>157.19999999999999</v>
      </c>
      <c r="U159">
        <v>156</v>
      </c>
      <c r="V159">
        <v>157.5</v>
      </c>
      <c r="W159">
        <v>156.75</v>
      </c>
      <c r="X159" t="s">
        <v>21</v>
      </c>
      <c r="Y159">
        <v>13.385999999999999</v>
      </c>
      <c r="Z159">
        <f t="shared" si="12"/>
        <v>12.717000000000001</v>
      </c>
      <c r="AA159">
        <v>0.12742500000000001</v>
      </c>
      <c r="AB159">
        <v>4.3299000000000003</v>
      </c>
      <c r="AC159">
        <f t="shared" si="13"/>
        <v>4.3299000000000004E-2</v>
      </c>
      <c r="AD159" s="8">
        <f t="shared" si="14"/>
        <v>8.2191780821917804E-2</v>
      </c>
      <c r="AE159">
        <f t="shared" si="15"/>
        <v>0.54737102146846073</v>
      </c>
      <c r="AF159">
        <f t="shared" si="16"/>
        <v>-0.45262897853153927</v>
      </c>
      <c r="AG159">
        <f t="shared" si="17"/>
        <v>9.4742042936921456E-2</v>
      </c>
    </row>
    <row r="160" spans="1:33" x14ac:dyDescent="0.25">
      <c r="A160" s="1">
        <v>45890</v>
      </c>
      <c r="B160">
        <v>6370.17</v>
      </c>
      <c r="C160">
        <v>6370</v>
      </c>
      <c r="D160" s="1">
        <v>45919</v>
      </c>
      <c r="E160" s="1">
        <v>45947</v>
      </c>
      <c r="F160">
        <v>30</v>
      </c>
      <c r="G160">
        <v>29</v>
      </c>
      <c r="H160">
        <v>57</v>
      </c>
      <c r="I160">
        <v>0.9642857142857143</v>
      </c>
      <c r="J160">
        <v>3.5714285714285712E-2</v>
      </c>
      <c r="K160" t="s">
        <v>19</v>
      </c>
      <c r="L160" t="s">
        <v>642</v>
      </c>
      <c r="M160">
        <v>108.25</v>
      </c>
      <c r="N160">
        <v>107.8</v>
      </c>
      <c r="O160">
        <v>109.1</v>
      </c>
      <c r="P160">
        <v>108.44999999999999</v>
      </c>
      <c r="Q160" t="s">
        <v>21</v>
      </c>
      <c r="R160">
        <v>13.797000000000001</v>
      </c>
      <c r="S160" t="s">
        <v>667</v>
      </c>
      <c r="T160">
        <v>159.58000000000001</v>
      </c>
      <c r="U160">
        <v>161.1</v>
      </c>
      <c r="V160">
        <v>163</v>
      </c>
      <c r="W160">
        <v>162.05000000000001</v>
      </c>
      <c r="X160" t="s">
        <v>21</v>
      </c>
      <c r="Y160">
        <v>13.987</v>
      </c>
      <c r="Z160">
        <f t="shared" si="12"/>
        <v>13.803785714285716</v>
      </c>
      <c r="AA160">
        <v>0.13802321400000001</v>
      </c>
      <c r="AB160">
        <v>4.3345000000000002</v>
      </c>
      <c r="AC160">
        <f t="shared" si="13"/>
        <v>4.3345000000000002E-2</v>
      </c>
      <c r="AD160" s="8">
        <f t="shared" si="14"/>
        <v>8.2191780821917804E-2</v>
      </c>
      <c r="AE160">
        <f t="shared" si="15"/>
        <v>0.54399052495988276</v>
      </c>
      <c r="AF160">
        <f t="shared" si="16"/>
        <v>-0.45600947504011724</v>
      </c>
      <c r="AG160">
        <f t="shared" si="17"/>
        <v>8.7981049919765519E-2</v>
      </c>
    </row>
    <row r="161" spans="1:33" x14ac:dyDescent="0.25">
      <c r="A161" s="1">
        <v>45891</v>
      </c>
      <c r="B161">
        <v>6466.91</v>
      </c>
      <c r="C161">
        <v>6465</v>
      </c>
      <c r="D161" s="1">
        <v>45919</v>
      </c>
      <c r="E161" s="1">
        <v>45947</v>
      </c>
      <c r="F161">
        <v>30</v>
      </c>
      <c r="G161">
        <v>28</v>
      </c>
      <c r="H161">
        <v>56</v>
      </c>
      <c r="I161">
        <v>0.9285714285714286</v>
      </c>
      <c r="J161">
        <v>7.1428571428571425E-2</v>
      </c>
      <c r="K161" t="s">
        <v>19</v>
      </c>
      <c r="L161" t="s">
        <v>658</v>
      </c>
      <c r="M161">
        <v>90.15</v>
      </c>
      <c r="N161">
        <v>90.4</v>
      </c>
      <c r="O161">
        <v>91.9</v>
      </c>
      <c r="P161">
        <v>91.15</v>
      </c>
      <c r="Q161" t="s">
        <v>21</v>
      </c>
      <c r="R161">
        <v>11.487</v>
      </c>
      <c r="S161" t="s">
        <v>668</v>
      </c>
      <c r="T161">
        <v>144</v>
      </c>
      <c r="U161">
        <v>143.80000000000001</v>
      </c>
      <c r="V161">
        <v>145.69999999999999</v>
      </c>
      <c r="W161">
        <v>144.75</v>
      </c>
      <c r="X161" t="s">
        <v>21</v>
      </c>
      <c r="Y161">
        <v>12.298</v>
      </c>
      <c r="Z161">
        <f t="shared" si="12"/>
        <v>11.544928571428573</v>
      </c>
      <c r="AA161">
        <v>0.115648929</v>
      </c>
      <c r="AB161">
        <v>4.3085000000000004</v>
      </c>
      <c r="AC161">
        <f t="shared" si="13"/>
        <v>4.3085000000000005E-2</v>
      </c>
      <c r="AD161" s="8">
        <f t="shared" si="14"/>
        <v>8.2191780821917804E-2</v>
      </c>
      <c r="AE161">
        <f t="shared" si="15"/>
        <v>0.55262405617511012</v>
      </c>
      <c r="AF161">
        <f t="shared" si="16"/>
        <v>-0.44737594382488988</v>
      </c>
      <c r="AG161">
        <f t="shared" si="17"/>
        <v>0.10524811235022025</v>
      </c>
    </row>
    <row r="162" spans="1:33" x14ac:dyDescent="0.25">
      <c r="A162" s="1">
        <v>45894</v>
      </c>
      <c r="B162">
        <v>6439.32</v>
      </c>
      <c r="C162">
        <v>6440</v>
      </c>
      <c r="D162" s="1">
        <v>45919</v>
      </c>
      <c r="E162" s="1">
        <v>45947</v>
      </c>
      <c r="F162">
        <v>30</v>
      </c>
      <c r="G162">
        <v>25</v>
      </c>
      <c r="H162">
        <v>53</v>
      </c>
      <c r="I162">
        <v>0.8214285714285714</v>
      </c>
      <c r="J162">
        <v>0.17857142857142858</v>
      </c>
      <c r="K162" t="s">
        <v>19</v>
      </c>
      <c r="L162" t="s">
        <v>669</v>
      </c>
      <c r="M162">
        <v>87.6</v>
      </c>
      <c r="N162">
        <v>87.8</v>
      </c>
      <c r="O162">
        <v>89</v>
      </c>
      <c r="P162">
        <v>88.4</v>
      </c>
      <c r="Q162" t="s">
        <v>21</v>
      </c>
      <c r="R162">
        <v>11.393000000000001</v>
      </c>
      <c r="S162" t="s">
        <v>670</v>
      </c>
      <c r="T162">
        <v>146.85</v>
      </c>
      <c r="U162">
        <v>142.9</v>
      </c>
      <c r="V162">
        <v>144.4</v>
      </c>
      <c r="W162">
        <v>143.65</v>
      </c>
      <c r="X162" t="s">
        <v>21</v>
      </c>
      <c r="Y162">
        <v>12.35</v>
      </c>
      <c r="Z162">
        <f t="shared" si="12"/>
        <v>11.563892857142857</v>
      </c>
      <c r="AA162">
        <v>0.116292679</v>
      </c>
      <c r="AB162">
        <v>4.3385999999999996</v>
      </c>
      <c r="AC162">
        <f t="shared" si="13"/>
        <v>4.3385999999999994E-2</v>
      </c>
      <c r="AD162" s="8">
        <f t="shared" si="14"/>
        <v>8.2191780821917804E-2</v>
      </c>
      <c r="AE162">
        <f t="shared" si="15"/>
        <v>0.54794075859201974</v>
      </c>
      <c r="AF162">
        <f t="shared" si="16"/>
        <v>-0.45205924140798026</v>
      </c>
      <c r="AG162">
        <f t="shared" si="17"/>
        <v>9.5881517184039478E-2</v>
      </c>
    </row>
    <row r="163" spans="1:33" x14ac:dyDescent="0.25">
      <c r="A163" s="1">
        <v>45895</v>
      </c>
      <c r="B163">
        <v>6465.94</v>
      </c>
      <c r="C163">
        <v>6465</v>
      </c>
      <c r="D163" s="1">
        <v>45919</v>
      </c>
      <c r="E163" s="1">
        <v>45947</v>
      </c>
      <c r="F163">
        <v>30</v>
      </c>
      <c r="G163">
        <v>24</v>
      </c>
      <c r="H163">
        <v>52</v>
      </c>
      <c r="I163">
        <v>0.7857142857142857</v>
      </c>
      <c r="J163">
        <v>0.21428571428571427</v>
      </c>
      <c r="K163" t="s">
        <v>19</v>
      </c>
      <c r="L163" t="s">
        <v>658</v>
      </c>
      <c r="M163">
        <v>85.37</v>
      </c>
      <c r="N163">
        <v>86</v>
      </c>
      <c r="O163">
        <v>87.3</v>
      </c>
      <c r="P163">
        <v>86.65</v>
      </c>
      <c r="Q163" t="s">
        <v>21</v>
      </c>
      <c r="R163">
        <v>11.375</v>
      </c>
      <c r="S163" t="s">
        <v>668</v>
      </c>
      <c r="T163">
        <v>128</v>
      </c>
      <c r="U163">
        <v>141.19999999999999</v>
      </c>
      <c r="V163">
        <v>143</v>
      </c>
      <c r="W163">
        <v>142.1</v>
      </c>
      <c r="X163" t="s">
        <v>21</v>
      </c>
      <c r="Y163">
        <v>12.234</v>
      </c>
      <c r="Z163">
        <f t="shared" si="12"/>
        <v>11.559071428571428</v>
      </c>
      <c r="AA163">
        <v>0.115747857</v>
      </c>
      <c r="AB163">
        <v>4.2946999999999997</v>
      </c>
      <c r="AC163">
        <f t="shared" si="13"/>
        <v>4.2946999999999999E-2</v>
      </c>
      <c r="AD163" s="8">
        <f t="shared" si="14"/>
        <v>8.2191780821917804E-2</v>
      </c>
      <c r="AE163">
        <f t="shared" si="15"/>
        <v>0.55066706619603711</v>
      </c>
      <c r="AF163">
        <f t="shared" si="16"/>
        <v>-0.44933293380396289</v>
      </c>
      <c r="AG163">
        <f t="shared" si="17"/>
        <v>0.10133413239207423</v>
      </c>
    </row>
    <row r="164" spans="1:33" x14ac:dyDescent="0.25">
      <c r="A164" s="1">
        <v>45896</v>
      </c>
      <c r="B164">
        <v>6481.4</v>
      </c>
      <c r="C164">
        <v>6480</v>
      </c>
      <c r="D164" s="1">
        <v>45919</v>
      </c>
      <c r="E164" s="1">
        <v>45947</v>
      </c>
      <c r="F164">
        <v>30</v>
      </c>
      <c r="G164">
        <v>23</v>
      </c>
      <c r="H164">
        <v>51</v>
      </c>
      <c r="I164">
        <v>0.75</v>
      </c>
      <c r="J164">
        <v>0.25</v>
      </c>
      <c r="K164" t="s">
        <v>19</v>
      </c>
      <c r="L164" t="s">
        <v>671</v>
      </c>
      <c r="M164">
        <v>85.76</v>
      </c>
      <c r="N164">
        <v>75.2</v>
      </c>
      <c r="O164">
        <v>76.8</v>
      </c>
      <c r="P164">
        <v>76</v>
      </c>
      <c r="Q164" t="s">
        <v>21</v>
      </c>
      <c r="R164">
        <v>11.629</v>
      </c>
      <c r="S164" t="s">
        <v>672</v>
      </c>
      <c r="T164">
        <v>139.4</v>
      </c>
      <c r="U164">
        <v>129.80000000000001</v>
      </c>
      <c r="V164">
        <v>132</v>
      </c>
      <c r="W164">
        <v>130.9</v>
      </c>
      <c r="X164" t="s">
        <v>21</v>
      </c>
      <c r="Y164">
        <v>12.275</v>
      </c>
      <c r="Z164">
        <f t="shared" si="12"/>
        <v>11.7905</v>
      </c>
      <c r="AA164">
        <v>0.11841375</v>
      </c>
      <c r="AB164">
        <v>4.2968000000000002</v>
      </c>
      <c r="AC164">
        <f t="shared" si="13"/>
        <v>4.2967999999999999E-2</v>
      </c>
      <c r="AD164" s="8">
        <f t="shared" si="14"/>
        <v>8.2191780821917804E-2</v>
      </c>
      <c r="AE164">
        <f t="shared" si="15"/>
        <v>0.5506750951823105</v>
      </c>
      <c r="AF164">
        <f t="shared" si="16"/>
        <v>-0.4493249048176895</v>
      </c>
      <c r="AG164">
        <f t="shared" si="17"/>
        <v>0.10135019036462101</v>
      </c>
    </row>
    <row r="165" spans="1:33" x14ac:dyDescent="0.25">
      <c r="A165" s="1">
        <v>45897</v>
      </c>
      <c r="B165">
        <v>6501.86</v>
      </c>
      <c r="C165">
        <v>6500</v>
      </c>
      <c r="D165" s="1">
        <v>45919</v>
      </c>
      <c r="E165" s="1">
        <v>45947</v>
      </c>
      <c r="F165">
        <v>30</v>
      </c>
      <c r="G165">
        <v>22</v>
      </c>
      <c r="H165">
        <v>50</v>
      </c>
      <c r="I165">
        <v>0.7142857142857143</v>
      </c>
      <c r="J165">
        <v>0.2857142857142857</v>
      </c>
      <c r="K165" t="s">
        <v>19</v>
      </c>
      <c r="L165" t="s">
        <v>673</v>
      </c>
      <c r="M165">
        <v>78.7</v>
      </c>
      <c r="N165">
        <v>77.599999999999994</v>
      </c>
      <c r="O165">
        <v>78.900000000000006</v>
      </c>
      <c r="P165">
        <v>78.25</v>
      </c>
      <c r="Q165" t="s">
        <v>21</v>
      </c>
      <c r="R165">
        <v>11.07</v>
      </c>
      <c r="S165" t="s">
        <v>674</v>
      </c>
      <c r="T165">
        <v>135.5</v>
      </c>
      <c r="U165">
        <v>134.4</v>
      </c>
      <c r="V165">
        <v>136.1</v>
      </c>
      <c r="W165">
        <v>135.25</v>
      </c>
      <c r="X165" t="s">
        <v>21</v>
      </c>
      <c r="Y165">
        <v>12.073</v>
      </c>
      <c r="Z165">
        <f t="shared" si="12"/>
        <v>11.356571428571428</v>
      </c>
      <c r="AA165">
        <v>0.11395857099999999</v>
      </c>
      <c r="AB165">
        <v>4.3038999999999996</v>
      </c>
      <c r="AC165">
        <f t="shared" si="13"/>
        <v>4.3038999999999994E-2</v>
      </c>
      <c r="AD165" s="8">
        <f t="shared" si="14"/>
        <v>8.2191780821917804E-2</v>
      </c>
      <c r="AE165">
        <f t="shared" si="15"/>
        <v>0.55304889120246992</v>
      </c>
      <c r="AF165">
        <f t="shared" si="16"/>
        <v>-0.44695110879753008</v>
      </c>
      <c r="AG165">
        <f t="shared" si="17"/>
        <v>0.10609778240493983</v>
      </c>
    </row>
    <row r="166" spans="1:33" x14ac:dyDescent="0.25">
      <c r="A166" s="1">
        <v>45898</v>
      </c>
      <c r="B166">
        <v>6460.26</v>
      </c>
      <c r="C166">
        <v>6460</v>
      </c>
      <c r="D166" s="1">
        <v>45919</v>
      </c>
      <c r="E166" s="1">
        <v>45947</v>
      </c>
      <c r="F166">
        <v>30</v>
      </c>
      <c r="G166">
        <v>21</v>
      </c>
      <c r="H166">
        <v>49</v>
      </c>
      <c r="I166">
        <v>0.6785714285714286</v>
      </c>
      <c r="J166">
        <v>0.32142857142857145</v>
      </c>
      <c r="K166" t="s">
        <v>19</v>
      </c>
      <c r="L166" t="s">
        <v>675</v>
      </c>
      <c r="M166">
        <v>79.42</v>
      </c>
      <c r="N166">
        <v>79.7</v>
      </c>
      <c r="O166">
        <v>81.099999999999994</v>
      </c>
      <c r="P166">
        <v>80.400000000000006</v>
      </c>
      <c r="Q166" t="s">
        <v>21</v>
      </c>
      <c r="R166">
        <v>12.134</v>
      </c>
      <c r="S166" t="s">
        <v>676</v>
      </c>
      <c r="T166">
        <v>130.44</v>
      </c>
      <c r="U166">
        <v>136.30000000000001</v>
      </c>
      <c r="V166">
        <v>138.1</v>
      </c>
      <c r="W166">
        <v>137.19999999999999</v>
      </c>
      <c r="X166" t="s">
        <v>21</v>
      </c>
      <c r="Y166">
        <v>12.694000000000001</v>
      </c>
      <c r="Z166">
        <f t="shared" si="12"/>
        <v>12.314</v>
      </c>
      <c r="AA166">
        <v>0.122919643</v>
      </c>
      <c r="AB166">
        <v>4.3079999999999998</v>
      </c>
      <c r="AC166">
        <f t="shared" si="13"/>
        <v>4.308E-2</v>
      </c>
      <c r="AD166" s="8">
        <f t="shared" si="14"/>
        <v>8.2191780821917804E-2</v>
      </c>
      <c r="AE166">
        <f t="shared" si="15"/>
        <v>0.54745719813892357</v>
      </c>
      <c r="AF166">
        <f t="shared" si="16"/>
        <v>-0.45254280186107643</v>
      </c>
      <c r="AG166">
        <f t="shared" si="17"/>
        <v>9.4914396277847146E-2</v>
      </c>
    </row>
    <row r="167" spans="1:33" x14ac:dyDescent="0.25">
      <c r="A167" s="1">
        <v>45902</v>
      </c>
      <c r="B167">
        <v>6415.54</v>
      </c>
      <c r="C167">
        <v>6415</v>
      </c>
      <c r="D167" s="1">
        <v>45919</v>
      </c>
      <c r="E167" s="1">
        <v>45947</v>
      </c>
      <c r="F167">
        <v>30</v>
      </c>
      <c r="G167">
        <v>17</v>
      </c>
      <c r="H167">
        <v>45</v>
      </c>
      <c r="I167">
        <v>0.5357142857142857</v>
      </c>
      <c r="J167">
        <v>0.4642857142857143</v>
      </c>
      <c r="K167" t="s">
        <v>19</v>
      </c>
      <c r="L167" t="s">
        <v>677</v>
      </c>
      <c r="M167">
        <v>80.5</v>
      </c>
      <c r="N167">
        <v>92.4</v>
      </c>
      <c r="O167">
        <v>93.5</v>
      </c>
      <c r="P167">
        <v>92.95</v>
      </c>
      <c r="Q167" t="s">
        <v>21</v>
      </c>
      <c r="R167">
        <v>13.077</v>
      </c>
      <c r="S167" t="s">
        <v>678</v>
      </c>
      <c r="T167">
        <v>139.55000000000001</v>
      </c>
      <c r="U167">
        <v>150.4</v>
      </c>
      <c r="V167">
        <v>151.9</v>
      </c>
      <c r="W167">
        <v>151.15</v>
      </c>
      <c r="X167" t="s">
        <v>21</v>
      </c>
      <c r="Y167">
        <v>13.326000000000001</v>
      </c>
      <c r="Z167">
        <f t="shared" si="12"/>
        <v>13.192607142857144</v>
      </c>
      <c r="AA167">
        <v>0.13333892899999999</v>
      </c>
      <c r="AB167">
        <v>4.2946999999999997</v>
      </c>
      <c r="AC167">
        <f t="shared" si="13"/>
        <v>4.2946999999999999E-2</v>
      </c>
      <c r="AD167" s="8">
        <f t="shared" si="14"/>
        <v>8.2191780821917804E-2</v>
      </c>
      <c r="AE167">
        <f t="shared" si="15"/>
        <v>0.54524456856984749</v>
      </c>
      <c r="AF167">
        <f t="shared" si="16"/>
        <v>-0.45475543143015251</v>
      </c>
      <c r="AG167">
        <f t="shared" si="17"/>
        <v>9.0489137139694975E-2</v>
      </c>
    </row>
    <row r="168" spans="1:33" x14ac:dyDescent="0.25">
      <c r="A168" s="1">
        <v>45903</v>
      </c>
      <c r="B168">
        <v>6448.26</v>
      </c>
      <c r="C168">
        <v>6450</v>
      </c>
      <c r="D168" s="1">
        <v>45919</v>
      </c>
      <c r="E168" s="1">
        <v>45947</v>
      </c>
      <c r="F168">
        <v>30</v>
      </c>
      <c r="G168">
        <v>16</v>
      </c>
      <c r="H168">
        <v>44</v>
      </c>
      <c r="I168">
        <v>0.5</v>
      </c>
      <c r="J168">
        <v>0.5</v>
      </c>
      <c r="K168" t="s">
        <v>19</v>
      </c>
      <c r="L168" t="s">
        <v>661</v>
      </c>
      <c r="M168">
        <v>73.27</v>
      </c>
      <c r="N168">
        <v>72.599999999999994</v>
      </c>
      <c r="O168">
        <v>73.7</v>
      </c>
      <c r="P168">
        <v>73.150000000000006</v>
      </c>
      <c r="Q168" t="s">
        <v>21</v>
      </c>
      <c r="R168">
        <v>12.247</v>
      </c>
      <c r="S168" t="s">
        <v>662</v>
      </c>
      <c r="T168">
        <v>132.5</v>
      </c>
      <c r="U168">
        <v>131.6</v>
      </c>
      <c r="V168">
        <v>132.9</v>
      </c>
      <c r="W168">
        <v>132.25</v>
      </c>
      <c r="X168" t="s">
        <v>21</v>
      </c>
      <c r="Y168">
        <v>12.823</v>
      </c>
      <c r="Z168">
        <f t="shared" si="12"/>
        <v>12.535</v>
      </c>
      <c r="AA168">
        <v>0.1257325</v>
      </c>
      <c r="AB168">
        <v>4.2458</v>
      </c>
      <c r="AC168">
        <f t="shared" si="13"/>
        <v>4.2458000000000003E-2</v>
      </c>
      <c r="AD168" s="8">
        <f t="shared" si="14"/>
        <v>8.2191780821917804E-2</v>
      </c>
      <c r="AE168">
        <f t="shared" si="15"/>
        <v>0.54274418764779697</v>
      </c>
      <c r="AF168">
        <f t="shared" si="16"/>
        <v>-0.45725581235220303</v>
      </c>
      <c r="AG168">
        <f t="shared" si="17"/>
        <v>8.5488375295593944E-2</v>
      </c>
    </row>
    <row r="169" spans="1:33" x14ac:dyDescent="0.25">
      <c r="A169" s="1">
        <v>45904</v>
      </c>
      <c r="B169">
        <v>6502.08</v>
      </c>
      <c r="C169">
        <v>6500</v>
      </c>
      <c r="D169" s="1">
        <v>45919</v>
      </c>
      <c r="E169" s="1">
        <v>45947</v>
      </c>
      <c r="F169">
        <v>30</v>
      </c>
      <c r="G169">
        <v>15</v>
      </c>
      <c r="H169">
        <v>43</v>
      </c>
      <c r="I169">
        <v>0.4642857142857143</v>
      </c>
      <c r="J169">
        <v>0.5357142857142857</v>
      </c>
      <c r="K169" t="s">
        <v>19</v>
      </c>
      <c r="L169" t="s">
        <v>673</v>
      </c>
      <c r="M169">
        <v>68.28</v>
      </c>
      <c r="N169">
        <v>65.900000000000006</v>
      </c>
      <c r="O169">
        <v>67.2</v>
      </c>
      <c r="P169">
        <v>66.550000000000011</v>
      </c>
      <c r="Q169" t="s">
        <v>21</v>
      </c>
      <c r="R169">
        <v>11.298999999999999</v>
      </c>
      <c r="S169" t="s">
        <v>674</v>
      </c>
      <c r="T169">
        <v>128.87</v>
      </c>
      <c r="U169">
        <v>125.9</v>
      </c>
      <c r="V169">
        <v>128.30000000000001</v>
      </c>
      <c r="W169">
        <v>127.10000000000001</v>
      </c>
      <c r="X169" t="s">
        <v>21</v>
      </c>
      <c r="Y169">
        <v>12.25</v>
      </c>
      <c r="Z169">
        <f t="shared" si="12"/>
        <v>11.808464285714287</v>
      </c>
      <c r="AA169">
        <v>0.118337679</v>
      </c>
      <c r="AB169">
        <v>4.2427000000000001</v>
      </c>
      <c r="AC169">
        <f t="shared" si="13"/>
        <v>4.2426999999999999E-2</v>
      </c>
      <c r="AD169" s="8">
        <f t="shared" si="14"/>
        <v>8.2191780821917804E-2</v>
      </c>
      <c r="AE169">
        <f t="shared" si="15"/>
        <v>0.55139228954574193</v>
      </c>
      <c r="AF169">
        <f t="shared" si="16"/>
        <v>-0.44860771045425807</v>
      </c>
      <c r="AG169">
        <f t="shared" si="17"/>
        <v>0.10278457909148386</v>
      </c>
    </row>
    <row r="170" spans="1:33" x14ac:dyDescent="0.25">
      <c r="A170" s="1">
        <v>45905</v>
      </c>
      <c r="B170">
        <v>6481.5</v>
      </c>
      <c r="C170">
        <v>6480</v>
      </c>
      <c r="D170" s="1">
        <v>45919</v>
      </c>
      <c r="E170" s="1">
        <v>45947</v>
      </c>
      <c r="F170">
        <v>30</v>
      </c>
      <c r="G170">
        <v>14</v>
      </c>
      <c r="H170">
        <v>42</v>
      </c>
      <c r="I170">
        <v>0.42857142857142855</v>
      </c>
      <c r="J170">
        <v>0.5714285714285714</v>
      </c>
      <c r="K170" t="s">
        <v>19</v>
      </c>
      <c r="L170" t="s">
        <v>671</v>
      </c>
      <c r="M170">
        <v>59.8</v>
      </c>
      <c r="N170">
        <v>59.4</v>
      </c>
      <c r="O170">
        <v>60.8</v>
      </c>
      <c r="P170">
        <v>60.099999999999994</v>
      </c>
      <c r="Q170" t="s">
        <v>21</v>
      </c>
      <c r="R170">
        <v>11.005000000000001</v>
      </c>
      <c r="S170" t="s">
        <v>672</v>
      </c>
      <c r="T170">
        <v>122</v>
      </c>
      <c r="U170">
        <v>121.2</v>
      </c>
      <c r="V170">
        <v>123.8</v>
      </c>
      <c r="W170">
        <v>122.5</v>
      </c>
      <c r="X170" t="s">
        <v>21</v>
      </c>
      <c r="Y170">
        <v>12.218</v>
      </c>
      <c r="Z170">
        <f t="shared" si="12"/>
        <v>11.698142857142857</v>
      </c>
      <c r="AA170">
        <v>0.117355</v>
      </c>
      <c r="AB170">
        <v>4.1452</v>
      </c>
      <c r="AC170">
        <f t="shared" si="13"/>
        <v>4.1452000000000003E-2</v>
      </c>
      <c r="AD170" s="8">
        <f t="shared" si="14"/>
        <v>8.2191780821917804E-2</v>
      </c>
      <c r="AE170">
        <f t="shared" si="15"/>
        <v>0.54972492946795204</v>
      </c>
      <c r="AF170">
        <f t="shared" si="16"/>
        <v>-0.45027507053204796</v>
      </c>
      <c r="AG170">
        <f t="shared" si="17"/>
        <v>9.9449858935904079E-2</v>
      </c>
    </row>
    <row r="171" spans="1:33" x14ac:dyDescent="0.25">
      <c r="A171" s="1">
        <v>45908</v>
      </c>
      <c r="B171">
        <v>6495.15</v>
      </c>
      <c r="C171">
        <v>6495</v>
      </c>
      <c r="D171" s="1">
        <v>45919</v>
      </c>
      <c r="E171" s="1">
        <v>45947</v>
      </c>
      <c r="F171">
        <v>30</v>
      </c>
      <c r="G171">
        <v>11</v>
      </c>
      <c r="H171">
        <v>39</v>
      </c>
      <c r="I171">
        <v>0.32142857142857145</v>
      </c>
      <c r="J171">
        <v>0.6785714285714286</v>
      </c>
      <c r="K171" t="s">
        <v>19</v>
      </c>
      <c r="L171" t="s">
        <v>679</v>
      </c>
      <c r="M171">
        <v>56.95</v>
      </c>
      <c r="N171">
        <v>56.5</v>
      </c>
      <c r="O171">
        <v>57.6</v>
      </c>
      <c r="P171">
        <v>57.05</v>
      </c>
      <c r="Q171" t="s">
        <v>21</v>
      </c>
      <c r="R171">
        <v>10.613</v>
      </c>
      <c r="S171" t="s">
        <v>680</v>
      </c>
      <c r="T171">
        <v>117.3</v>
      </c>
      <c r="U171">
        <v>119.1</v>
      </c>
      <c r="V171">
        <v>120.5</v>
      </c>
      <c r="W171">
        <v>119.8</v>
      </c>
      <c r="X171" t="s">
        <v>21</v>
      </c>
      <c r="Y171">
        <v>11.897</v>
      </c>
      <c r="Z171">
        <f t="shared" si="12"/>
        <v>11.484285714285715</v>
      </c>
      <c r="AA171">
        <v>0.115210179</v>
      </c>
      <c r="AB171">
        <v>4.1677</v>
      </c>
      <c r="AC171">
        <f t="shared" si="13"/>
        <v>4.1676999999999999E-2</v>
      </c>
      <c r="AD171" s="8">
        <f t="shared" si="14"/>
        <v>8.2191780821917804E-2</v>
      </c>
      <c r="AE171">
        <f t="shared" si="15"/>
        <v>0.54812433078625011</v>
      </c>
      <c r="AF171">
        <f t="shared" si="16"/>
        <v>-0.45187566921374989</v>
      </c>
      <c r="AG171">
        <f t="shared" si="17"/>
        <v>9.6248661572500227E-2</v>
      </c>
    </row>
    <row r="172" spans="1:33" x14ac:dyDescent="0.25">
      <c r="A172" s="1">
        <v>45909</v>
      </c>
      <c r="B172">
        <v>6512.61</v>
      </c>
      <c r="C172">
        <v>6515</v>
      </c>
      <c r="D172" s="1">
        <v>45919</v>
      </c>
      <c r="E172" s="1">
        <v>45947</v>
      </c>
      <c r="F172">
        <v>30</v>
      </c>
      <c r="G172">
        <v>10</v>
      </c>
      <c r="H172">
        <v>38</v>
      </c>
      <c r="I172">
        <v>0.2857142857142857</v>
      </c>
      <c r="J172">
        <v>0.7142857142857143</v>
      </c>
      <c r="K172" t="s">
        <v>19</v>
      </c>
      <c r="L172" t="s">
        <v>681</v>
      </c>
      <c r="M172">
        <v>52.51</v>
      </c>
      <c r="N172">
        <v>55.9</v>
      </c>
      <c r="O172">
        <v>57.2</v>
      </c>
      <c r="P172">
        <v>56.55</v>
      </c>
      <c r="Q172" t="s">
        <v>21</v>
      </c>
      <c r="R172">
        <v>10.565</v>
      </c>
      <c r="S172" t="s">
        <v>682</v>
      </c>
      <c r="T172">
        <v>111.09</v>
      </c>
      <c r="U172">
        <v>119</v>
      </c>
      <c r="V172">
        <v>121.1</v>
      </c>
      <c r="W172">
        <v>120.05</v>
      </c>
      <c r="X172" t="s">
        <v>21</v>
      </c>
      <c r="Y172">
        <v>11.835000000000001</v>
      </c>
      <c r="Z172">
        <f t="shared" si="12"/>
        <v>11.472142857142858</v>
      </c>
      <c r="AA172">
        <v>0.114785</v>
      </c>
      <c r="AB172">
        <v>4.1519000000000004</v>
      </c>
      <c r="AC172">
        <f t="shared" si="13"/>
        <v>4.1519E-2</v>
      </c>
      <c r="AD172" s="8">
        <f t="shared" si="14"/>
        <v>8.2191780821917804E-2</v>
      </c>
      <c r="AE172">
        <f t="shared" si="15"/>
        <v>0.54340015469895664</v>
      </c>
      <c r="AF172">
        <f t="shared" si="16"/>
        <v>-0.45659984530104336</v>
      </c>
      <c r="AG172">
        <f t="shared" si="17"/>
        <v>8.6800309397913278E-2</v>
      </c>
    </row>
    <row r="173" spans="1:33" x14ac:dyDescent="0.25">
      <c r="A173" s="1">
        <v>45910</v>
      </c>
      <c r="B173">
        <v>6532.04</v>
      </c>
      <c r="C173">
        <v>6530</v>
      </c>
      <c r="D173" s="1">
        <v>45919</v>
      </c>
      <c r="E173" s="1">
        <v>45947</v>
      </c>
      <c r="F173">
        <v>30</v>
      </c>
      <c r="G173">
        <v>9</v>
      </c>
      <c r="H173">
        <v>37</v>
      </c>
      <c r="I173">
        <v>0.25</v>
      </c>
      <c r="J173">
        <v>0.75</v>
      </c>
      <c r="K173" t="s">
        <v>19</v>
      </c>
      <c r="L173" t="s">
        <v>683</v>
      </c>
      <c r="M173">
        <v>51.5</v>
      </c>
      <c r="N173">
        <v>50.4</v>
      </c>
      <c r="O173">
        <v>51.5</v>
      </c>
      <c r="P173">
        <v>50.95</v>
      </c>
      <c r="Q173" t="s">
        <v>21</v>
      </c>
      <c r="R173">
        <v>10.933</v>
      </c>
      <c r="S173" t="s">
        <v>684</v>
      </c>
      <c r="T173" t="s">
        <v>21</v>
      </c>
      <c r="U173">
        <v>113.1</v>
      </c>
      <c r="V173">
        <v>115.9</v>
      </c>
      <c r="W173">
        <v>114.5</v>
      </c>
      <c r="X173" t="s">
        <v>21</v>
      </c>
      <c r="Y173">
        <v>11.84</v>
      </c>
      <c r="Z173">
        <f t="shared" si="12"/>
        <v>11.613249999999999</v>
      </c>
      <c r="AA173">
        <v>0.11683</v>
      </c>
      <c r="AB173">
        <v>4.1489000000000003</v>
      </c>
      <c r="AC173">
        <f t="shared" si="13"/>
        <v>4.1489000000000005E-2</v>
      </c>
      <c r="AD173" s="8">
        <f t="shared" si="14"/>
        <v>8.2191780821917804E-2</v>
      </c>
      <c r="AE173">
        <f t="shared" si="15"/>
        <v>0.55087933328858885</v>
      </c>
      <c r="AF173">
        <f t="shared" si="16"/>
        <v>-0.44912066671141115</v>
      </c>
      <c r="AG173">
        <f t="shared" si="17"/>
        <v>0.10175866657717769</v>
      </c>
    </row>
    <row r="174" spans="1:33" x14ac:dyDescent="0.25">
      <c r="A174" s="1">
        <v>45911</v>
      </c>
      <c r="B174">
        <v>6587.47</v>
      </c>
      <c r="C174">
        <v>6585</v>
      </c>
      <c r="D174" s="1">
        <v>45919</v>
      </c>
      <c r="E174" s="1">
        <v>45947</v>
      </c>
      <c r="F174">
        <v>30</v>
      </c>
      <c r="G174">
        <v>8</v>
      </c>
      <c r="H174">
        <v>36</v>
      </c>
      <c r="I174">
        <v>0.21428571428571427</v>
      </c>
      <c r="J174">
        <v>0.7857142857142857</v>
      </c>
      <c r="K174" t="s">
        <v>19</v>
      </c>
      <c r="L174" t="s">
        <v>685</v>
      </c>
      <c r="M174">
        <v>46.7</v>
      </c>
      <c r="N174">
        <v>42.7</v>
      </c>
      <c r="O174">
        <v>43.7</v>
      </c>
      <c r="P174">
        <v>43.2</v>
      </c>
      <c r="Q174" t="s">
        <v>21</v>
      </c>
      <c r="R174">
        <v>9.9260000000000002</v>
      </c>
      <c r="S174" t="s">
        <v>686</v>
      </c>
      <c r="T174">
        <v>113.9</v>
      </c>
      <c r="U174">
        <v>109.4</v>
      </c>
      <c r="V174">
        <v>111.2</v>
      </c>
      <c r="W174">
        <v>110.30000000000001</v>
      </c>
      <c r="X174" t="s">
        <v>21</v>
      </c>
      <c r="Y174">
        <v>11.512</v>
      </c>
      <c r="Z174">
        <f t="shared" si="12"/>
        <v>11.172142857142855</v>
      </c>
      <c r="AA174">
        <v>0.11266285700000001</v>
      </c>
      <c r="AB174">
        <v>4.1382000000000003</v>
      </c>
      <c r="AC174">
        <f t="shared" si="13"/>
        <v>4.1382000000000002E-2</v>
      </c>
      <c r="AD174" s="8">
        <f t="shared" si="14"/>
        <v>8.2191780821917804E-2</v>
      </c>
      <c r="AE174">
        <f t="shared" si="15"/>
        <v>0.55292885418558779</v>
      </c>
      <c r="AF174">
        <f t="shared" si="16"/>
        <v>-0.44707114581441221</v>
      </c>
      <c r="AG174">
        <f t="shared" si="17"/>
        <v>0.10585770837117559</v>
      </c>
    </row>
    <row r="175" spans="1:33" x14ac:dyDescent="0.25">
      <c r="A175" s="1">
        <v>45912</v>
      </c>
      <c r="B175">
        <v>6584.29</v>
      </c>
      <c r="C175">
        <v>6585</v>
      </c>
      <c r="D175" s="1">
        <v>45919</v>
      </c>
      <c r="E175" s="1">
        <v>45947</v>
      </c>
      <c r="F175">
        <v>30</v>
      </c>
      <c r="G175">
        <v>7</v>
      </c>
      <c r="H175">
        <v>35</v>
      </c>
      <c r="I175">
        <v>0.17857142857142858</v>
      </c>
      <c r="J175">
        <v>0.8214285714285714</v>
      </c>
      <c r="K175" t="s">
        <v>19</v>
      </c>
      <c r="L175" t="s">
        <v>685</v>
      </c>
      <c r="M175">
        <v>36.6</v>
      </c>
      <c r="N175">
        <v>36.9</v>
      </c>
      <c r="O175">
        <v>38.200000000000003</v>
      </c>
      <c r="P175">
        <v>37.549999999999997</v>
      </c>
      <c r="Q175" t="s">
        <v>21</v>
      </c>
      <c r="R175">
        <v>9.91</v>
      </c>
      <c r="S175" t="s">
        <v>686</v>
      </c>
      <c r="T175">
        <v>106.7</v>
      </c>
      <c r="U175">
        <v>105.7</v>
      </c>
      <c r="V175">
        <v>108.2</v>
      </c>
      <c r="W175">
        <v>106.95</v>
      </c>
      <c r="X175" t="s">
        <v>21</v>
      </c>
      <c r="Y175">
        <v>11.592000000000001</v>
      </c>
      <c r="Z175">
        <f t="shared" si="12"/>
        <v>11.291642857142858</v>
      </c>
      <c r="AA175">
        <v>0.113285</v>
      </c>
      <c r="AB175">
        <v>4.1273</v>
      </c>
      <c r="AC175">
        <f t="shared" si="13"/>
        <v>4.1272999999999997E-2</v>
      </c>
      <c r="AD175" s="8">
        <f t="shared" si="14"/>
        <v>8.2191780821917804E-2</v>
      </c>
      <c r="AE175">
        <f t="shared" si="15"/>
        <v>0.54671607298959757</v>
      </c>
      <c r="AF175">
        <f t="shared" si="16"/>
        <v>-0.45328392701040243</v>
      </c>
      <c r="AG175">
        <f t="shared" si="17"/>
        <v>9.3432145979195136E-2</v>
      </c>
    </row>
    <row r="176" spans="1:33" x14ac:dyDescent="0.25">
      <c r="A176" s="1">
        <v>45915</v>
      </c>
      <c r="B176">
        <v>6615.28</v>
      </c>
      <c r="C176">
        <v>6615</v>
      </c>
      <c r="D176" s="1">
        <v>45919</v>
      </c>
      <c r="E176" s="1">
        <v>45947</v>
      </c>
      <c r="F176">
        <v>30</v>
      </c>
      <c r="G176">
        <v>4</v>
      </c>
      <c r="H176">
        <v>32</v>
      </c>
      <c r="I176">
        <v>7.1428571428571425E-2</v>
      </c>
      <c r="J176">
        <v>0.9285714285714286</v>
      </c>
      <c r="K176" t="s">
        <v>19</v>
      </c>
      <c r="L176" t="s">
        <v>687</v>
      </c>
      <c r="M176">
        <v>35.99</v>
      </c>
      <c r="N176">
        <v>34.299999999999997</v>
      </c>
      <c r="O176">
        <v>35</v>
      </c>
      <c r="P176">
        <v>34.65</v>
      </c>
      <c r="Q176" t="s">
        <v>21</v>
      </c>
      <c r="R176">
        <v>10.398999999999999</v>
      </c>
      <c r="S176" t="s">
        <v>688</v>
      </c>
      <c r="T176">
        <v>107.1</v>
      </c>
      <c r="U176">
        <v>105.7</v>
      </c>
      <c r="V176">
        <v>107.5</v>
      </c>
      <c r="W176">
        <v>106.6</v>
      </c>
      <c r="X176" t="s">
        <v>21</v>
      </c>
      <c r="Y176">
        <v>11.747</v>
      </c>
      <c r="Z176">
        <f t="shared" si="12"/>
        <v>11.650714285714287</v>
      </c>
      <c r="AA176">
        <v>0.1174</v>
      </c>
      <c r="AB176">
        <v>4.1319999999999997</v>
      </c>
      <c r="AC176">
        <f t="shared" si="13"/>
        <v>4.1319999999999996E-2</v>
      </c>
      <c r="AD176" s="8">
        <f t="shared" si="14"/>
        <v>8.2191780821917804E-2</v>
      </c>
      <c r="AE176">
        <f t="shared" si="15"/>
        <v>0.54735831804260138</v>
      </c>
      <c r="AF176">
        <f t="shared" si="16"/>
        <v>-0.45264168195739862</v>
      </c>
      <c r="AG176">
        <f t="shared" si="17"/>
        <v>9.4716636085202754E-2</v>
      </c>
    </row>
    <row r="177" spans="1:33" x14ac:dyDescent="0.25">
      <c r="A177" s="1">
        <v>45916</v>
      </c>
      <c r="B177">
        <v>6606.76</v>
      </c>
      <c r="C177">
        <v>6605</v>
      </c>
      <c r="D177" s="1">
        <v>45919</v>
      </c>
      <c r="E177" s="1">
        <v>45947</v>
      </c>
      <c r="F177">
        <v>30</v>
      </c>
      <c r="G177">
        <v>3</v>
      </c>
      <c r="H177">
        <v>31</v>
      </c>
      <c r="I177">
        <v>3.5714285714285712E-2</v>
      </c>
      <c r="J177">
        <v>0.9642857142857143</v>
      </c>
      <c r="K177" t="s">
        <v>19</v>
      </c>
      <c r="L177" t="s">
        <v>689</v>
      </c>
      <c r="M177">
        <v>39.36</v>
      </c>
      <c r="N177">
        <v>38.799999999999997</v>
      </c>
      <c r="O177">
        <v>39.799999999999997</v>
      </c>
      <c r="P177">
        <v>39.299999999999997</v>
      </c>
      <c r="Q177" t="s">
        <v>21</v>
      </c>
      <c r="R177">
        <v>12.302</v>
      </c>
      <c r="S177" t="s">
        <v>690</v>
      </c>
      <c r="T177">
        <v>109.15</v>
      </c>
      <c r="U177">
        <v>111.8</v>
      </c>
      <c r="V177">
        <v>113.9</v>
      </c>
      <c r="W177">
        <v>112.85</v>
      </c>
      <c r="X177" t="s">
        <v>21</v>
      </c>
      <c r="Y177">
        <v>12.417</v>
      </c>
      <c r="Z177">
        <f t="shared" si="12"/>
        <v>12.412892857142857</v>
      </c>
      <c r="AA177">
        <v>0.124655714</v>
      </c>
      <c r="AB177">
        <v>4.1009000000000002</v>
      </c>
      <c r="AC177">
        <f t="shared" si="13"/>
        <v>4.1009000000000004E-2</v>
      </c>
      <c r="AD177" s="8">
        <f t="shared" si="14"/>
        <v>8.2191780821917804E-2</v>
      </c>
      <c r="AE177">
        <f t="shared" si="15"/>
        <v>0.54761546485097534</v>
      </c>
      <c r="AF177">
        <f t="shared" si="16"/>
        <v>-0.45238453514902466</v>
      </c>
      <c r="AG177">
        <f t="shared" si="17"/>
        <v>9.5230929701950684E-2</v>
      </c>
    </row>
    <row r="178" spans="1:33" x14ac:dyDescent="0.25">
      <c r="A178" s="1">
        <v>45917</v>
      </c>
      <c r="B178">
        <v>6600.35</v>
      </c>
      <c r="C178">
        <v>6600</v>
      </c>
      <c r="D178" s="1">
        <v>45919</v>
      </c>
      <c r="E178" s="1">
        <v>45947</v>
      </c>
      <c r="F178">
        <v>30</v>
      </c>
      <c r="G178">
        <v>2</v>
      </c>
      <c r="H178">
        <v>30</v>
      </c>
      <c r="I178">
        <v>0</v>
      </c>
      <c r="J178">
        <v>1</v>
      </c>
      <c r="K178" t="s">
        <v>19</v>
      </c>
      <c r="L178" t="s">
        <v>691</v>
      </c>
      <c r="M178">
        <v>28.97</v>
      </c>
      <c r="N178">
        <v>28.3</v>
      </c>
      <c r="O178">
        <v>29.2</v>
      </c>
      <c r="P178">
        <v>28.75</v>
      </c>
      <c r="Q178" t="s">
        <v>21</v>
      </c>
      <c r="R178">
        <v>11.276</v>
      </c>
      <c r="S178" t="s">
        <v>692</v>
      </c>
      <c r="T178">
        <v>107.4</v>
      </c>
      <c r="U178">
        <v>106.8</v>
      </c>
      <c r="V178">
        <v>109.2</v>
      </c>
      <c r="W178">
        <v>108</v>
      </c>
      <c r="X178" t="s">
        <v>21</v>
      </c>
      <c r="Y178">
        <v>12.151</v>
      </c>
      <c r="Z178">
        <f t="shared" si="12"/>
        <v>12.151</v>
      </c>
      <c r="AA178">
        <v>0.121285</v>
      </c>
      <c r="AB178">
        <v>4.0750000000000002</v>
      </c>
      <c r="AC178">
        <f t="shared" si="13"/>
        <v>4.0750000000000001E-2</v>
      </c>
      <c r="AD178" s="8">
        <f t="shared" si="14"/>
        <v>8.2191780821917804E-2</v>
      </c>
      <c r="AE178">
        <f t="shared" si="15"/>
        <v>0.54587048629912316</v>
      </c>
      <c r="AF178">
        <f t="shared" si="16"/>
        <v>-0.45412951370087684</v>
      </c>
      <c r="AG178">
        <f t="shared" si="17"/>
        <v>9.1740972598246318E-2</v>
      </c>
    </row>
    <row r="179" spans="1:33" x14ac:dyDescent="0.25">
      <c r="A179" s="1">
        <v>45918</v>
      </c>
      <c r="B179">
        <v>6631.96</v>
      </c>
      <c r="C179">
        <v>6630</v>
      </c>
      <c r="D179" s="1">
        <v>45919</v>
      </c>
      <c r="E179" s="1">
        <v>45947</v>
      </c>
      <c r="F179">
        <v>30</v>
      </c>
      <c r="G179">
        <v>1</v>
      </c>
      <c r="H179">
        <v>29</v>
      </c>
      <c r="I179">
        <v>0</v>
      </c>
      <c r="J179">
        <v>1</v>
      </c>
      <c r="K179" t="s">
        <v>19</v>
      </c>
      <c r="L179" t="s">
        <v>693</v>
      </c>
      <c r="M179">
        <v>15.33</v>
      </c>
      <c r="N179">
        <v>17.899999999999999</v>
      </c>
      <c r="O179">
        <v>19.2</v>
      </c>
      <c r="P179">
        <v>18.549999999999997</v>
      </c>
      <c r="Q179" t="s">
        <v>21</v>
      </c>
      <c r="R179">
        <v>9.4060000000000006</v>
      </c>
      <c r="S179" t="s">
        <v>694</v>
      </c>
      <c r="T179">
        <v>104.35</v>
      </c>
      <c r="U179">
        <v>106.1</v>
      </c>
      <c r="V179">
        <v>108.8</v>
      </c>
      <c r="W179">
        <v>107.44999999999999</v>
      </c>
      <c r="X179" t="s">
        <v>21</v>
      </c>
      <c r="Y179">
        <v>12.032999999999999</v>
      </c>
      <c r="Z179">
        <f t="shared" si="12"/>
        <v>12.032999999999999</v>
      </c>
      <c r="AA179">
        <v>0.120945</v>
      </c>
      <c r="AB179">
        <v>4.077</v>
      </c>
      <c r="AC179">
        <f t="shared" si="13"/>
        <v>4.0770000000000001E-2</v>
      </c>
      <c r="AD179" s="8">
        <f t="shared" si="14"/>
        <v>8.2191780821917804E-2</v>
      </c>
      <c r="AE179">
        <f t="shared" si="15"/>
        <v>0.54874998591634472</v>
      </c>
      <c r="AF179">
        <f t="shared" si="16"/>
        <v>-0.45125001408365528</v>
      </c>
      <c r="AG179">
        <f t="shared" si="17"/>
        <v>9.7499971832689436E-2</v>
      </c>
    </row>
    <row r="180" spans="1:33" x14ac:dyDescent="0.25">
      <c r="A180" s="1">
        <v>45919</v>
      </c>
      <c r="B180">
        <v>6664.36</v>
      </c>
      <c r="C180">
        <v>6665</v>
      </c>
      <c r="D180" s="1">
        <v>45947</v>
      </c>
      <c r="E180" s="1">
        <v>45982</v>
      </c>
      <c r="F180">
        <v>30</v>
      </c>
      <c r="G180">
        <v>28</v>
      </c>
      <c r="H180">
        <v>63</v>
      </c>
      <c r="I180">
        <v>0.94285714285714284</v>
      </c>
      <c r="J180">
        <v>5.7142857142857141E-2</v>
      </c>
      <c r="K180" t="s">
        <v>19</v>
      </c>
      <c r="L180" t="s">
        <v>695</v>
      </c>
      <c r="M180">
        <v>101</v>
      </c>
      <c r="N180">
        <v>96.2</v>
      </c>
      <c r="O180">
        <v>98.2</v>
      </c>
      <c r="P180">
        <v>97.2</v>
      </c>
      <c r="Q180" t="s">
        <v>21</v>
      </c>
      <c r="R180">
        <v>12.074</v>
      </c>
      <c r="S180" t="s">
        <v>696</v>
      </c>
      <c r="T180">
        <v>159.82</v>
      </c>
      <c r="U180">
        <v>166.8</v>
      </c>
      <c r="V180">
        <v>169.1</v>
      </c>
      <c r="W180">
        <v>167.95</v>
      </c>
      <c r="X180" t="s">
        <v>21</v>
      </c>
      <c r="Y180">
        <v>13.27</v>
      </c>
      <c r="Z180">
        <f t="shared" si="12"/>
        <v>12.142342857142857</v>
      </c>
      <c r="AA180">
        <v>0.121398714</v>
      </c>
      <c r="AB180">
        <v>4.0304000000000002</v>
      </c>
      <c r="AC180">
        <f t="shared" si="13"/>
        <v>4.0304E-2</v>
      </c>
      <c r="AD180" s="8">
        <f t="shared" si="14"/>
        <v>8.2191780821917804E-2</v>
      </c>
      <c r="AE180">
        <f t="shared" si="15"/>
        <v>0.54372528126952735</v>
      </c>
      <c r="AF180">
        <f t="shared" si="16"/>
        <v>-0.45627471873047265</v>
      </c>
      <c r="AG180">
        <f t="shared" si="17"/>
        <v>8.7450562539054699E-2</v>
      </c>
    </row>
    <row r="181" spans="1:33" x14ac:dyDescent="0.25">
      <c r="A181" s="1">
        <v>45922</v>
      </c>
      <c r="B181">
        <v>6693.75</v>
      </c>
      <c r="C181">
        <v>6695</v>
      </c>
      <c r="D181" s="1">
        <v>45947</v>
      </c>
      <c r="E181" s="1">
        <v>45982</v>
      </c>
      <c r="F181">
        <v>30</v>
      </c>
      <c r="G181">
        <v>25</v>
      </c>
      <c r="H181">
        <v>60</v>
      </c>
      <c r="I181">
        <v>0.8571428571428571</v>
      </c>
      <c r="J181">
        <v>0.14285714285714285</v>
      </c>
      <c r="K181" t="s">
        <v>19</v>
      </c>
      <c r="L181" t="s">
        <v>697</v>
      </c>
      <c r="M181">
        <v>98.2</v>
      </c>
      <c r="N181">
        <v>95.7</v>
      </c>
      <c r="O181">
        <v>97.4</v>
      </c>
      <c r="P181">
        <v>96.550000000000011</v>
      </c>
      <c r="Q181" t="s">
        <v>21</v>
      </c>
      <c r="R181">
        <v>12.14</v>
      </c>
      <c r="S181" t="s">
        <v>698</v>
      </c>
      <c r="T181">
        <v>165.37</v>
      </c>
      <c r="U181">
        <v>169.2</v>
      </c>
      <c r="V181">
        <v>171</v>
      </c>
      <c r="W181">
        <v>170.1</v>
      </c>
      <c r="X181" t="s">
        <v>21</v>
      </c>
      <c r="Y181">
        <v>13.461</v>
      </c>
      <c r="Z181">
        <f t="shared" si="12"/>
        <v>12.328714285714286</v>
      </c>
      <c r="AA181">
        <v>0.12364357099999999</v>
      </c>
      <c r="AB181">
        <v>4.0758999999999999</v>
      </c>
      <c r="AC181">
        <f t="shared" si="13"/>
        <v>4.0758999999999997E-2</v>
      </c>
      <c r="AD181" s="8">
        <f t="shared" si="14"/>
        <v>8.2191780821917804E-2</v>
      </c>
      <c r="AE181">
        <f t="shared" si="15"/>
        <v>0.54259107776599769</v>
      </c>
      <c r="AF181">
        <f t="shared" si="16"/>
        <v>-0.45740892223400231</v>
      </c>
      <c r="AG181">
        <f t="shared" si="17"/>
        <v>8.5182155531995374E-2</v>
      </c>
    </row>
    <row r="182" spans="1:33" x14ac:dyDescent="0.25">
      <c r="A182" s="1">
        <v>45923</v>
      </c>
      <c r="B182">
        <v>6656.92</v>
      </c>
      <c r="C182">
        <v>6655</v>
      </c>
      <c r="D182" s="1">
        <v>45947</v>
      </c>
      <c r="E182" s="1">
        <v>45982</v>
      </c>
      <c r="F182">
        <v>30</v>
      </c>
      <c r="G182">
        <v>24</v>
      </c>
      <c r="H182">
        <v>59</v>
      </c>
      <c r="I182">
        <v>0.82857142857142863</v>
      </c>
      <c r="J182">
        <v>0.17142857142857143</v>
      </c>
      <c r="K182" t="s">
        <v>19</v>
      </c>
      <c r="L182" t="s">
        <v>699</v>
      </c>
      <c r="M182">
        <v>98.03</v>
      </c>
      <c r="N182">
        <v>100.5</v>
      </c>
      <c r="O182">
        <v>102.4</v>
      </c>
      <c r="P182">
        <v>101.45</v>
      </c>
      <c r="Q182" t="s">
        <v>21</v>
      </c>
      <c r="R182">
        <v>12.76</v>
      </c>
      <c r="S182" t="s">
        <v>700</v>
      </c>
      <c r="T182">
        <v>178.05</v>
      </c>
      <c r="U182">
        <v>175.7</v>
      </c>
      <c r="V182">
        <v>177.5</v>
      </c>
      <c r="W182">
        <v>176.6</v>
      </c>
      <c r="X182" t="s">
        <v>21</v>
      </c>
      <c r="Y182">
        <v>14.012</v>
      </c>
      <c r="Z182">
        <f t="shared" si="12"/>
        <v>12.974628571428571</v>
      </c>
      <c r="AA182">
        <v>0.13037442899999999</v>
      </c>
      <c r="AB182">
        <v>4.0601000000000003</v>
      </c>
      <c r="AC182">
        <f t="shared" si="13"/>
        <v>4.0601000000000005E-2</v>
      </c>
      <c r="AD182" s="8">
        <f t="shared" si="14"/>
        <v>8.2191780821917804E-2</v>
      </c>
      <c r="AE182">
        <f t="shared" si="15"/>
        <v>0.54604973954499458</v>
      </c>
      <c r="AF182">
        <f t="shared" si="16"/>
        <v>-0.45395026045500542</v>
      </c>
      <c r="AG182">
        <f t="shared" si="17"/>
        <v>9.2099479089989167E-2</v>
      </c>
    </row>
    <row r="183" spans="1:33" x14ac:dyDescent="0.25">
      <c r="A183" s="1">
        <v>45924</v>
      </c>
      <c r="B183">
        <v>6637.97</v>
      </c>
      <c r="C183">
        <v>6640</v>
      </c>
      <c r="D183" s="1">
        <v>45947</v>
      </c>
      <c r="E183" s="1">
        <v>45982</v>
      </c>
      <c r="F183">
        <v>30</v>
      </c>
      <c r="G183">
        <v>23</v>
      </c>
      <c r="H183">
        <v>58</v>
      </c>
      <c r="I183">
        <v>0.8</v>
      </c>
      <c r="J183">
        <v>0.2</v>
      </c>
      <c r="K183" t="s">
        <v>19</v>
      </c>
      <c r="L183" t="s">
        <v>701</v>
      </c>
      <c r="M183">
        <v>93.15</v>
      </c>
      <c r="N183">
        <v>94.3</v>
      </c>
      <c r="O183">
        <v>95.5</v>
      </c>
      <c r="P183">
        <v>94.9</v>
      </c>
      <c r="Q183" t="s">
        <v>21</v>
      </c>
      <c r="R183">
        <v>12.513999999999999</v>
      </c>
      <c r="S183" t="s">
        <v>702</v>
      </c>
      <c r="T183">
        <v>169</v>
      </c>
      <c r="U183">
        <v>169.8</v>
      </c>
      <c r="V183">
        <v>171.3</v>
      </c>
      <c r="W183">
        <v>170.55</v>
      </c>
      <c r="X183" t="s">
        <v>21</v>
      </c>
      <c r="Y183">
        <v>13.858000000000001</v>
      </c>
      <c r="Z183">
        <f t="shared" si="12"/>
        <v>12.782800000000002</v>
      </c>
      <c r="AA183">
        <v>0.128303</v>
      </c>
      <c r="AB183">
        <v>4.0750000000000002</v>
      </c>
      <c r="AC183">
        <f t="shared" si="13"/>
        <v>4.0750000000000001E-2</v>
      </c>
      <c r="AD183" s="8">
        <f t="shared" si="14"/>
        <v>8.2191780821917804E-2</v>
      </c>
      <c r="AE183">
        <f t="shared" si="15"/>
        <v>0.54027803162671839</v>
      </c>
      <c r="AF183">
        <f t="shared" si="16"/>
        <v>-0.45972196837328161</v>
      </c>
      <c r="AG183">
        <f t="shared" si="17"/>
        <v>8.0556063253436783E-2</v>
      </c>
    </row>
    <row r="184" spans="1:33" x14ac:dyDescent="0.25">
      <c r="A184" s="1">
        <v>45925</v>
      </c>
      <c r="B184">
        <v>6604.72</v>
      </c>
      <c r="C184">
        <v>6605</v>
      </c>
      <c r="D184" s="1">
        <v>45947</v>
      </c>
      <c r="E184" s="1">
        <v>45982</v>
      </c>
      <c r="F184">
        <v>30</v>
      </c>
      <c r="G184">
        <v>22</v>
      </c>
      <c r="H184">
        <v>57</v>
      </c>
      <c r="I184">
        <v>0.77142857142857146</v>
      </c>
      <c r="J184">
        <v>0.22857142857142856</v>
      </c>
      <c r="K184" t="s">
        <v>19</v>
      </c>
      <c r="L184" t="s">
        <v>690</v>
      </c>
      <c r="M184">
        <v>94.8</v>
      </c>
      <c r="N184">
        <v>94.7</v>
      </c>
      <c r="O184">
        <v>95.8</v>
      </c>
      <c r="P184">
        <v>95.25</v>
      </c>
      <c r="Q184" t="s">
        <v>21</v>
      </c>
      <c r="R184">
        <v>12.98</v>
      </c>
      <c r="S184" t="s">
        <v>703</v>
      </c>
      <c r="T184" t="s">
        <v>21</v>
      </c>
      <c r="U184">
        <v>169.9</v>
      </c>
      <c r="V184">
        <v>171.9</v>
      </c>
      <c r="W184">
        <v>170.9</v>
      </c>
      <c r="X184" t="s">
        <v>21</v>
      </c>
      <c r="Y184">
        <v>14.119</v>
      </c>
      <c r="Z184">
        <f t="shared" si="12"/>
        <v>13.240342857142858</v>
      </c>
      <c r="AA184">
        <v>0.132385429</v>
      </c>
      <c r="AB184">
        <v>4.0999999999999996</v>
      </c>
      <c r="AC184">
        <f t="shared" si="13"/>
        <v>4.0999999999999995E-2</v>
      </c>
      <c r="AD184" s="8">
        <f t="shared" si="14"/>
        <v>8.2191780821917804E-2</v>
      </c>
      <c r="AE184">
        <f t="shared" si="15"/>
        <v>0.54246613109052544</v>
      </c>
      <c r="AF184">
        <f t="shared" si="16"/>
        <v>-0.45753386890947456</v>
      </c>
      <c r="AG184">
        <f t="shared" si="17"/>
        <v>8.4932262181050877E-2</v>
      </c>
    </row>
    <row r="185" spans="1:33" x14ac:dyDescent="0.25">
      <c r="A185" s="1">
        <v>45926</v>
      </c>
      <c r="B185">
        <v>6643.7</v>
      </c>
      <c r="C185">
        <v>6645</v>
      </c>
      <c r="D185" s="1">
        <v>45947</v>
      </c>
      <c r="E185" s="1">
        <v>45982</v>
      </c>
      <c r="F185">
        <v>30</v>
      </c>
      <c r="G185">
        <v>21</v>
      </c>
      <c r="H185">
        <v>56</v>
      </c>
      <c r="I185">
        <v>0.74285714285714288</v>
      </c>
      <c r="J185">
        <v>0.25714285714285712</v>
      </c>
      <c r="K185" t="s">
        <v>19</v>
      </c>
      <c r="L185" t="s">
        <v>704</v>
      </c>
      <c r="M185">
        <v>81.900000000000006</v>
      </c>
      <c r="N185">
        <v>81.7</v>
      </c>
      <c r="O185">
        <v>82.9</v>
      </c>
      <c r="P185">
        <v>82.300000000000011</v>
      </c>
      <c r="Q185" t="s">
        <v>21</v>
      </c>
      <c r="R185">
        <v>11.736000000000001</v>
      </c>
      <c r="S185" t="s">
        <v>705</v>
      </c>
      <c r="T185">
        <v>156.99</v>
      </c>
      <c r="U185">
        <v>157.4</v>
      </c>
      <c r="V185">
        <v>159.1</v>
      </c>
      <c r="W185">
        <v>158.25</v>
      </c>
      <c r="X185" t="s">
        <v>21</v>
      </c>
      <c r="Y185">
        <v>13.237</v>
      </c>
      <c r="Z185">
        <f t="shared" si="12"/>
        <v>12.121971428571428</v>
      </c>
      <c r="AA185">
        <v>0.121438429</v>
      </c>
      <c r="AB185">
        <v>4.1069000000000004</v>
      </c>
      <c r="AC185">
        <f t="shared" si="13"/>
        <v>4.1069000000000001E-2</v>
      </c>
      <c r="AD185" s="8">
        <f t="shared" si="14"/>
        <v>8.2191780821917804E-2</v>
      </c>
      <c r="AE185">
        <f t="shared" si="15"/>
        <v>0.54329695248252241</v>
      </c>
      <c r="AF185">
        <f t="shared" si="16"/>
        <v>-0.45670304751747759</v>
      </c>
      <c r="AG185">
        <f t="shared" si="17"/>
        <v>8.6593904965044821E-2</v>
      </c>
    </row>
    <row r="186" spans="1:33" x14ac:dyDescent="0.25">
      <c r="A186" s="1">
        <v>45929</v>
      </c>
      <c r="B186">
        <v>6661.21</v>
      </c>
      <c r="C186">
        <v>6660</v>
      </c>
      <c r="D186" s="1">
        <v>45947</v>
      </c>
      <c r="E186" s="1">
        <v>45982</v>
      </c>
      <c r="F186">
        <v>30</v>
      </c>
      <c r="G186">
        <v>18</v>
      </c>
      <c r="H186">
        <v>53</v>
      </c>
      <c r="I186">
        <v>0.65714285714285714</v>
      </c>
      <c r="J186">
        <v>0.34285714285714286</v>
      </c>
      <c r="K186" t="s">
        <v>19</v>
      </c>
      <c r="L186" t="s">
        <v>706</v>
      </c>
      <c r="M186">
        <v>74.2</v>
      </c>
      <c r="N186">
        <v>75.3</v>
      </c>
      <c r="O186">
        <v>76.7</v>
      </c>
      <c r="P186">
        <v>76</v>
      </c>
      <c r="Q186" t="s">
        <v>21</v>
      </c>
      <c r="R186">
        <v>11.403</v>
      </c>
      <c r="S186" t="s">
        <v>707</v>
      </c>
      <c r="T186">
        <v>156.05000000000001</v>
      </c>
      <c r="U186">
        <v>153.80000000000001</v>
      </c>
      <c r="V186">
        <v>155.6</v>
      </c>
      <c r="W186">
        <v>154.69999999999999</v>
      </c>
      <c r="X186" t="s">
        <v>21</v>
      </c>
      <c r="Y186">
        <v>13.228</v>
      </c>
      <c r="Z186">
        <f t="shared" si="12"/>
        <v>12.028714285714287</v>
      </c>
      <c r="AA186">
        <v>0.12075142899999999</v>
      </c>
      <c r="AB186">
        <v>4.1269</v>
      </c>
      <c r="AC186">
        <f t="shared" si="13"/>
        <v>4.1269E-2</v>
      </c>
      <c r="AD186" s="8">
        <f t="shared" si="14"/>
        <v>8.2191780821917804E-2</v>
      </c>
      <c r="AE186">
        <f t="shared" si="15"/>
        <v>0.5479718013015541</v>
      </c>
      <c r="AF186">
        <f t="shared" si="16"/>
        <v>-0.4520281986984459</v>
      </c>
      <c r="AG186">
        <f t="shared" si="17"/>
        <v>9.5943602603108191E-2</v>
      </c>
    </row>
    <row r="187" spans="1:33" x14ac:dyDescent="0.25">
      <c r="A187" s="1">
        <v>45930</v>
      </c>
      <c r="B187">
        <v>6688.46</v>
      </c>
      <c r="C187">
        <v>6690</v>
      </c>
      <c r="D187" s="1">
        <v>45947</v>
      </c>
      <c r="E187" s="1">
        <v>45982</v>
      </c>
      <c r="F187">
        <v>30</v>
      </c>
      <c r="G187">
        <v>17</v>
      </c>
      <c r="H187">
        <v>52</v>
      </c>
      <c r="I187">
        <v>0.62857142857142856</v>
      </c>
      <c r="J187">
        <v>0.37142857142857144</v>
      </c>
      <c r="K187" t="s">
        <v>19</v>
      </c>
      <c r="L187" t="s">
        <v>708</v>
      </c>
      <c r="M187">
        <v>67.900000000000006</v>
      </c>
      <c r="N187">
        <v>65.8</v>
      </c>
      <c r="O187">
        <v>67.2</v>
      </c>
      <c r="P187">
        <v>66.5</v>
      </c>
      <c r="Q187" t="s">
        <v>21</v>
      </c>
      <c r="R187">
        <v>11.41</v>
      </c>
      <c r="S187" t="s">
        <v>709</v>
      </c>
      <c r="T187">
        <v>153.91999999999999</v>
      </c>
      <c r="U187">
        <v>143.80000000000001</v>
      </c>
      <c r="V187">
        <v>145.69999999999999</v>
      </c>
      <c r="W187">
        <v>144.75</v>
      </c>
      <c r="X187" t="s">
        <v>21</v>
      </c>
      <c r="Y187">
        <v>13.148</v>
      </c>
      <c r="Z187">
        <f t="shared" si="12"/>
        <v>12.055542857142857</v>
      </c>
      <c r="AA187">
        <v>0.120146143</v>
      </c>
      <c r="AB187">
        <v>4.1009000000000002</v>
      </c>
      <c r="AC187">
        <f t="shared" si="13"/>
        <v>4.1009000000000004E-2</v>
      </c>
      <c r="AD187" s="8">
        <f t="shared" si="14"/>
        <v>8.2191780821917804E-2</v>
      </c>
      <c r="AE187">
        <f t="shared" si="15"/>
        <v>0.54315833085705068</v>
      </c>
      <c r="AF187">
        <f t="shared" si="16"/>
        <v>-0.45684166914294932</v>
      </c>
      <c r="AG187">
        <f t="shared" si="17"/>
        <v>8.631666171410135E-2</v>
      </c>
    </row>
    <row r="188" spans="1:33" x14ac:dyDescent="0.25">
      <c r="A188" s="1">
        <v>45931</v>
      </c>
      <c r="B188">
        <v>6711.2</v>
      </c>
      <c r="C188">
        <v>6710</v>
      </c>
      <c r="D188" s="1">
        <v>45947</v>
      </c>
      <c r="E188" s="1">
        <v>45982</v>
      </c>
      <c r="F188">
        <v>30</v>
      </c>
      <c r="G188">
        <v>16</v>
      </c>
      <c r="H188">
        <v>51</v>
      </c>
      <c r="I188">
        <v>0.6</v>
      </c>
      <c r="J188">
        <v>0.4</v>
      </c>
      <c r="K188" t="s">
        <v>19</v>
      </c>
      <c r="L188" t="s">
        <v>710</v>
      </c>
      <c r="M188">
        <v>69.959999999999994</v>
      </c>
      <c r="N188">
        <v>68.900000000000006</v>
      </c>
      <c r="O188">
        <v>70.400000000000006</v>
      </c>
      <c r="P188">
        <v>69.650000000000006</v>
      </c>
      <c r="Q188" t="s">
        <v>21</v>
      </c>
      <c r="R188">
        <v>11.254</v>
      </c>
      <c r="S188" t="s">
        <v>711</v>
      </c>
      <c r="T188">
        <v>129.68</v>
      </c>
      <c r="U188">
        <v>150.1</v>
      </c>
      <c r="V188">
        <v>151.9</v>
      </c>
      <c r="W188">
        <v>151</v>
      </c>
      <c r="X188" t="s">
        <v>21</v>
      </c>
      <c r="Y188">
        <v>13.214</v>
      </c>
      <c r="Z188">
        <f t="shared" si="12"/>
        <v>12.038</v>
      </c>
      <c r="AA188">
        <v>0.12048</v>
      </c>
      <c r="AB188">
        <v>4.0750000000000002</v>
      </c>
      <c r="AC188">
        <f t="shared" si="13"/>
        <v>4.0750000000000001E-2</v>
      </c>
      <c r="AD188" s="8">
        <f t="shared" si="14"/>
        <v>8.2191780821917804E-2</v>
      </c>
      <c r="AE188">
        <f t="shared" si="15"/>
        <v>0.54752673727317869</v>
      </c>
      <c r="AF188">
        <f t="shared" si="16"/>
        <v>-0.45247326272682131</v>
      </c>
      <c r="AG188">
        <f t="shared" si="17"/>
        <v>9.5053474546357375E-2</v>
      </c>
    </row>
    <row r="189" spans="1:33" x14ac:dyDescent="0.25">
      <c r="A189" s="1">
        <v>45932</v>
      </c>
      <c r="B189">
        <v>6715.35</v>
      </c>
      <c r="C189">
        <v>6715</v>
      </c>
      <c r="D189" s="1">
        <v>45947</v>
      </c>
      <c r="E189" s="1">
        <v>45982</v>
      </c>
      <c r="F189">
        <v>30</v>
      </c>
      <c r="G189">
        <v>15</v>
      </c>
      <c r="H189">
        <v>50</v>
      </c>
      <c r="I189">
        <v>0.5714285714285714</v>
      </c>
      <c r="J189">
        <v>0.42857142857142855</v>
      </c>
      <c r="K189" t="s">
        <v>19</v>
      </c>
      <c r="L189" t="s">
        <v>712</v>
      </c>
      <c r="M189">
        <v>69.599999999999994</v>
      </c>
      <c r="N189">
        <v>69.3</v>
      </c>
      <c r="O189">
        <v>70.2</v>
      </c>
      <c r="P189">
        <v>69.75</v>
      </c>
      <c r="Q189" t="s">
        <v>21</v>
      </c>
      <c r="R189">
        <v>11.484999999999999</v>
      </c>
      <c r="S189" t="s">
        <v>713</v>
      </c>
      <c r="T189">
        <v>153.72</v>
      </c>
      <c r="U189">
        <v>153.4</v>
      </c>
      <c r="V189">
        <v>154.6</v>
      </c>
      <c r="W189">
        <v>154</v>
      </c>
      <c r="X189" t="s">
        <v>21</v>
      </c>
      <c r="Y189">
        <v>13.513</v>
      </c>
      <c r="Z189">
        <f t="shared" si="12"/>
        <v>12.354142857142856</v>
      </c>
      <c r="AA189">
        <v>0.12393214299999999</v>
      </c>
      <c r="AB189">
        <v>4.0949</v>
      </c>
      <c r="AC189">
        <f t="shared" si="13"/>
        <v>4.0948999999999999E-2</v>
      </c>
      <c r="AD189" s="8">
        <f t="shared" si="14"/>
        <v>8.2191780821917804E-2</v>
      </c>
      <c r="AE189">
        <f t="shared" si="15"/>
        <v>0.54536485544284452</v>
      </c>
      <c r="AF189">
        <f t="shared" si="16"/>
        <v>-0.45463514455715548</v>
      </c>
      <c r="AG189">
        <f t="shared" si="17"/>
        <v>9.0729710885689041E-2</v>
      </c>
    </row>
    <row r="190" spans="1:33" x14ac:dyDescent="0.25">
      <c r="A190" s="1">
        <v>45933</v>
      </c>
      <c r="B190">
        <v>6715.79</v>
      </c>
      <c r="C190">
        <v>6715</v>
      </c>
      <c r="D190" s="1">
        <v>45947</v>
      </c>
      <c r="E190" s="1">
        <v>45982</v>
      </c>
      <c r="F190">
        <v>30</v>
      </c>
      <c r="G190">
        <v>14</v>
      </c>
      <c r="H190">
        <v>49</v>
      </c>
      <c r="I190">
        <v>0.54285714285714282</v>
      </c>
      <c r="J190">
        <v>0.45714285714285713</v>
      </c>
      <c r="K190" t="s">
        <v>19</v>
      </c>
      <c r="L190" t="s">
        <v>712</v>
      </c>
      <c r="M190">
        <v>64.09</v>
      </c>
      <c r="N190">
        <v>63.4</v>
      </c>
      <c r="O190">
        <v>64.599999999999994</v>
      </c>
      <c r="P190">
        <v>64</v>
      </c>
      <c r="Q190" t="s">
        <v>21</v>
      </c>
      <c r="R190">
        <v>11.244999999999999</v>
      </c>
      <c r="S190" t="s">
        <v>713</v>
      </c>
      <c r="T190">
        <v>154.22</v>
      </c>
      <c r="U190">
        <v>149.1</v>
      </c>
      <c r="V190">
        <v>150.6</v>
      </c>
      <c r="W190">
        <v>149.85</v>
      </c>
      <c r="X190" t="s">
        <v>21</v>
      </c>
      <c r="Y190">
        <v>13.433999999999999</v>
      </c>
      <c r="Z190">
        <f t="shared" si="12"/>
        <v>12.245685714285713</v>
      </c>
      <c r="AA190">
        <v>0.122400143</v>
      </c>
      <c r="AB190">
        <v>4.0738000000000003</v>
      </c>
      <c r="AC190">
        <f t="shared" si="13"/>
        <v>4.0738000000000003E-2</v>
      </c>
      <c r="AD190" s="8">
        <f t="shared" si="14"/>
        <v>8.2191780821917804E-2</v>
      </c>
      <c r="AE190">
        <f t="shared" si="15"/>
        <v>0.5462990694776545</v>
      </c>
      <c r="AF190">
        <f t="shared" si="16"/>
        <v>-0.4537009305223455</v>
      </c>
      <c r="AG190">
        <f t="shared" si="17"/>
        <v>9.2598138955308995E-2</v>
      </c>
    </row>
    <row r="191" spans="1:33" x14ac:dyDescent="0.25">
      <c r="A191" s="1">
        <v>45936</v>
      </c>
      <c r="B191">
        <v>6740.28</v>
      </c>
      <c r="C191">
        <v>6740</v>
      </c>
      <c r="D191" s="1">
        <v>45947</v>
      </c>
      <c r="E191" s="1">
        <v>45982</v>
      </c>
      <c r="F191">
        <v>30</v>
      </c>
      <c r="G191">
        <v>11</v>
      </c>
      <c r="H191">
        <v>46</v>
      </c>
      <c r="I191">
        <v>0.45714285714285713</v>
      </c>
      <c r="J191">
        <v>0.54285714285714282</v>
      </c>
      <c r="K191" t="s">
        <v>19</v>
      </c>
      <c r="L191" t="s">
        <v>714</v>
      </c>
      <c r="M191">
        <v>56.35</v>
      </c>
      <c r="N191">
        <v>57.6</v>
      </c>
      <c r="O191">
        <v>58.4</v>
      </c>
      <c r="P191">
        <v>58</v>
      </c>
      <c r="Q191" t="s">
        <v>21</v>
      </c>
      <c r="R191">
        <v>10.339</v>
      </c>
      <c r="S191" t="s">
        <v>715</v>
      </c>
      <c r="T191">
        <v>147.35</v>
      </c>
      <c r="U191">
        <v>146.5</v>
      </c>
      <c r="V191">
        <v>147.6</v>
      </c>
      <c r="W191">
        <v>147.05000000000001</v>
      </c>
      <c r="X191" t="s">
        <v>21</v>
      </c>
      <c r="Y191">
        <v>13.135999999999999</v>
      </c>
      <c r="Z191">
        <f t="shared" si="12"/>
        <v>11.857371428571428</v>
      </c>
      <c r="AA191">
        <v>0.11890199999999999</v>
      </c>
      <c r="AB191">
        <v>4.1116000000000001</v>
      </c>
      <c r="AC191">
        <f t="shared" si="13"/>
        <v>4.1116E-2</v>
      </c>
      <c r="AD191" s="8">
        <f t="shared" si="14"/>
        <v>8.2191780821917804E-2</v>
      </c>
      <c r="AE191">
        <f t="shared" si="15"/>
        <v>0.54672836620243359</v>
      </c>
      <c r="AF191">
        <f t="shared" si="16"/>
        <v>-0.45327163379756641</v>
      </c>
      <c r="AG191">
        <f t="shared" si="17"/>
        <v>9.3456732404867182E-2</v>
      </c>
    </row>
    <row r="192" spans="1:33" x14ac:dyDescent="0.25">
      <c r="A192" s="1">
        <v>45937</v>
      </c>
      <c r="B192">
        <v>6714.59</v>
      </c>
      <c r="C192">
        <v>6715</v>
      </c>
      <c r="D192" s="1">
        <v>45947</v>
      </c>
      <c r="E192" s="1">
        <v>45982</v>
      </c>
      <c r="F192">
        <v>30</v>
      </c>
      <c r="G192">
        <v>10</v>
      </c>
      <c r="H192">
        <v>45</v>
      </c>
      <c r="I192">
        <v>0.42857142857142855</v>
      </c>
      <c r="J192">
        <v>0.5714285714285714</v>
      </c>
      <c r="K192" t="s">
        <v>19</v>
      </c>
      <c r="L192" t="s">
        <v>712</v>
      </c>
      <c r="M192">
        <v>58.29</v>
      </c>
      <c r="N192">
        <v>59</v>
      </c>
      <c r="O192">
        <v>60.1</v>
      </c>
      <c r="P192">
        <v>59.55</v>
      </c>
      <c r="Q192" t="s">
        <v>21</v>
      </c>
      <c r="R192">
        <v>11.334</v>
      </c>
      <c r="S192" t="s">
        <v>713</v>
      </c>
      <c r="T192" t="s">
        <v>21</v>
      </c>
      <c r="U192">
        <v>149.4</v>
      </c>
      <c r="V192">
        <v>150.80000000000001</v>
      </c>
      <c r="W192">
        <v>150.10000000000002</v>
      </c>
      <c r="X192" t="s">
        <v>21</v>
      </c>
      <c r="Y192">
        <v>13.709</v>
      </c>
      <c r="Z192">
        <f t="shared" si="12"/>
        <v>12.691142857142856</v>
      </c>
      <c r="AA192">
        <v>0.127751429</v>
      </c>
      <c r="AB192">
        <v>4.0907</v>
      </c>
      <c r="AC192">
        <f t="shared" si="13"/>
        <v>4.0906999999999999E-2</v>
      </c>
      <c r="AD192" s="8">
        <f t="shared" si="14"/>
        <v>8.2191780821917804E-2</v>
      </c>
      <c r="AE192">
        <f t="shared" si="15"/>
        <v>0.54317911295065646</v>
      </c>
      <c r="AF192">
        <f t="shared" si="16"/>
        <v>-0.45682088704934354</v>
      </c>
      <c r="AG192">
        <f t="shared" si="17"/>
        <v>8.6358225901312924E-2</v>
      </c>
    </row>
    <row r="193" spans="1:33" x14ac:dyDescent="0.25">
      <c r="A193" s="1">
        <v>45938</v>
      </c>
      <c r="B193">
        <v>6753.72</v>
      </c>
      <c r="C193">
        <v>6755</v>
      </c>
      <c r="D193" s="1">
        <v>45947</v>
      </c>
      <c r="E193" s="1">
        <v>45982</v>
      </c>
      <c r="F193">
        <v>30</v>
      </c>
      <c r="G193">
        <v>9</v>
      </c>
      <c r="H193">
        <v>44</v>
      </c>
      <c r="I193">
        <v>0.4</v>
      </c>
      <c r="J193">
        <v>0.6</v>
      </c>
      <c r="K193" t="s">
        <v>19</v>
      </c>
      <c r="L193" t="s">
        <v>716</v>
      </c>
      <c r="M193">
        <v>47.2</v>
      </c>
      <c r="N193">
        <v>47.4</v>
      </c>
      <c r="O193">
        <v>49.8</v>
      </c>
      <c r="P193">
        <v>48.599999999999994</v>
      </c>
      <c r="Q193" t="s">
        <v>21</v>
      </c>
      <c r="R193">
        <v>9.9329999999999998</v>
      </c>
      <c r="S193" t="s">
        <v>717</v>
      </c>
      <c r="T193">
        <v>138.80000000000001</v>
      </c>
      <c r="U193">
        <v>139.9</v>
      </c>
      <c r="V193">
        <v>144</v>
      </c>
      <c r="W193">
        <v>141.94999999999999</v>
      </c>
      <c r="X193" t="s">
        <v>21</v>
      </c>
      <c r="Y193">
        <v>13.143000000000001</v>
      </c>
      <c r="Z193">
        <f t="shared" si="12"/>
        <v>11.859</v>
      </c>
      <c r="AA193">
        <v>0.118729</v>
      </c>
      <c r="AB193">
        <v>4.0800999999999998</v>
      </c>
      <c r="AC193">
        <f t="shared" si="13"/>
        <v>4.0800999999999997E-2</v>
      </c>
      <c r="AD193" s="8">
        <f t="shared" si="14"/>
        <v>8.2191780821917804E-2</v>
      </c>
      <c r="AE193">
        <f t="shared" si="15"/>
        <v>0.54378448823410119</v>
      </c>
      <c r="AF193">
        <f t="shared" si="16"/>
        <v>-0.45621551176589881</v>
      </c>
      <c r="AG193">
        <f t="shared" si="17"/>
        <v>8.7568976468202386E-2</v>
      </c>
    </row>
    <row r="194" spans="1:33" x14ac:dyDescent="0.25">
      <c r="A194" s="1">
        <v>45939</v>
      </c>
      <c r="B194">
        <v>6735.11</v>
      </c>
      <c r="C194">
        <v>6735</v>
      </c>
      <c r="D194" s="1">
        <v>45947</v>
      </c>
      <c r="E194" s="1">
        <v>45982</v>
      </c>
      <c r="F194">
        <v>30</v>
      </c>
      <c r="G194">
        <v>8</v>
      </c>
      <c r="H194">
        <v>43</v>
      </c>
      <c r="I194">
        <v>0.37142857142857144</v>
      </c>
      <c r="J194">
        <v>0.62857142857142856</v>
      </c>
      <c r="K194" t="s">
        <v>19</v>
      </c>
      <c r="L194" t="s">
        <v>718</v>
      </c>
      <c r="M194">
        <v>45.9</v>
      </c>
      <c r="N194">
        <v>45</v>
      </c>
      <c r="O194">
        <v>46.2</v>
      </c>
      <c r="P194">
        <v>45.6</v>
      </c>
      <c r="Q194" t="s">
        <v>21</v>
      </c>
      <c r="R194">
        <v>10.664</v>
      </c>
      <c r="S194" t="s">
        <v>719</v>
      </c>
      <c r="T194">
        <v>133.22999999999999</v>
      </c>
      <c r="U194">
        <v>138.5</v>
      </c>
      <c r="V194">
        <v>140.69999999999999</v>
      </c>
      <c r="W194">
        <v>139.6</v>
      </c>
      <c r="X194" t="s">
        <v>21</v>
      </c>
      <c r="Y194">
        <v>13.351000000000001</v>
      </c>
      <c r="Z194">
        <f t="shared" si="12"/>
        <v>12.352971428571429</v>
      </c>
      <c r="AA194">
        <v>0.123534</v>
      </c>
      <c r="AB194">
        <v>4.0796000000000001</v>
      </c>
      <c r="AC194">
        <f t="shared" si="13"/>
        <v>4.0795999999999999E-2</v>
      </c>
      <c r="AD194" s="8">
        <f t="shared" si="14"/>
        <v>8.2191780821917804E-2</v>
      </c>
      <c r="AE194">
        <f t="shared" si="15"/>
        <v>0.54492382601153744</v>
      </c>
      <c r="AF194">
        <f t="shared" si="16"/>
        <v>-0.45507617398846256</v>
      </c>
      <c r="AG194">
        <f t="shared" si="17"/>
        <v>8.9847652023074875E-2</v>
      </c>
    </row>
    <row r="195" spans="1:33" x14ac:dyDescent="0.25">
      <c r="A195" s="1">
        <v>45940</v>
      </c>
      <c r="B195">
        <v>6552.51</v>
      </c>
      <c r="C195">
        <v>6555</v>
      </c>
      <c r="D195" s="1">
        <v>45947</v>
      </c>
      <c r="E195" s="1">
        <v>45982</v>
      </c>
      <c r="F195">
        <v>30</v>
      </c>
      <c r="G195">
        <v>7</v>
      </c>
      <c r="H195">
        <v>42</v>
      </c>
      <c r="I195">
        <v>0.34285714285714286</v>
      </c>
      <c r="J195">
        <v>0.65714285714285714</v>
      </c>
      <c r="K195" t="s">
        <v>19</v>
      </c>
      <c r="L195" t="s">
        <v>720</v>
      </c>
      <c r="M195">
        <v>70.69</v>
      </c>
      <c r="N195">
        <v>55.6</v>
      </c>
      <c r="O195">
        <v>63.4</v>
      </c>
      <c r="P195">
        <v>59.5</v>
      </c>
      <c r="Q195" t="s">
        <v>21</v>
      </c>
      <c r="R195">
        <v>18.722999999999999</v>
      </c>
      <c r="S195" t="s">
        <v>721</v>
      </c>
      <c r="T195">
        <v>169.17</v>
      </c>
      <c r="U195">
        <v>148</v>
      </c>
      <c r="V195">
        <v>159.30000000000001</v>
      </c>
      <c r="W195">
        <v>153.65</v>
      </c>
      <c r="X195" t="s">
        <v>21</v>
      </c>
      <c r="Y195">
        <v>17.393000000000001</v>
      </c>
      <c r="Z195">
        <f t="shared" ref="Z195:Z251" si="18">I195*R195+Y195*J195</f>
        <v>17.849</v>
      </c>
      <c r="AA195">
        <v>0.17857814299999999</v>
      </c>
      <c r="AB195">
        <v>4.0738000000000003</v>
      </c>
      <c r="AC195">
        <f t="shared" ref="AC195:AC251" si="19">AB195/100</f>
        <v>4.0738000000000003E-2</v>
      </c>
      <c r="AD195" s="8">
        <f t="shared" ref="AD195:AD251" si="20">30/365</f>
        <v>8.2191780821917804E-2</v>
      </c>
      <c r="AE195">
        <f t="shared" ref="AE195:AE251" si="21">_xlfn.NORM.S.DIST((LN(B195/C195)+(AC195+0.5*(AA195)^2)*(30/365))/(AA195*SQRT(30/365)),TRUE)</f>
        <v>0.53330421557547891</v>
      </c>
      <c r="AF195">
        <f t="shared" ref="AF195:AF251" si="22">AE195-1</f>
        <v>-0.46669578442452109</v>
      </c>
      <c r="AG195">
        <f t="shared" ref="AG195:AG251" si="23">AE195+AF195</f>
        <v>6.6608431150957825E-2</v>
      </c>
    </row>
    <row r="196" spans="1:33" x14ac:dyDescent="0.25">
      <c r="A196" s="1">
        <v>45943</v>
      </c>
      <c r="B196">
        <v>6654.72</v>
      </c>
      <c r="C196">
        <v>6655</v>
      </c>
      <c r="D196" s="1">
        <v>45947</v>
      </c>
      <c r="E196" s="1">
        <v>45982</v>
      </c>
      <c r="F196">
        <v>30</v>
      </c>
      <c r="G196">
        <v>4</v>
      </c>
      <c r="H196">
        <v>39</v>
      </c>
      <c r="I196">
        <v>0.25714285714285712</v>
      </c>
      <c r="J196">
        <v>0.74285714285714288</v>
      </c>
      <c r="K196" t="s">
        <v>19</v>
      </c>
      <c r="L196" t="s">
        <v>699</v>
      </c>
      <c r="M196">
        <v>40.6</v>
      </c>
      <c r="N196">
        <v>39.299999999999997</v>
      </c>
      <c r="O196">
        <v>40.1</v>
      </c>
      <c r="P196">
        <v>39.700000000000003</v>
      </c>
      <c r="Q196" t="s">
        <v>21</v>
      </c>
      <c r="R196">
        <v>12.769</v>
      </c>
      <c r="S196" t="s">
        <v>700</v>
      </c>
      <c r="T196">
        <v>145.5</v>
      </c>
      <c r="U196">
        <v>141.1</v>
      </c>
      <c r="V196">
        <v>142.4</v>
      </c>
      <c r="W196">
        <v>141.75</v>
      </c>
      <c r="X196" t="s">
        <v>21</v>
      </c>
      <c r="Y196">
        <v>14.757</v>
      </c>
      <c r="Z196">
        <f t="shared" si="18"/>
        <v>14.245799999999999</v>
      </c>
      <c r="AA196">
        <v>0.14221642900000001</v>
      </c>
      <c r="AB196">
        <v>4.0738000000000003</v>
      </c>
      <c r="AC196">
        <f t="shared" si="19"/>
        <v>4.0738000000000003E-2</v>
      </c>
      <c r="AD196" s="8">
        <f t="shared" si="20"/>
        <v>8.2191780821917804E-2</v>
      </c>
      <c r="AE196">
        <f t="shared" si="21"/>
        <v>0.54041410137655066</v>
      </c>
      <c r="AF196">
        <f t="shared" si="22"/>
        <v>-0.45958589862344934</v>
      </c>
      <c r="AG196">
        <f t="shared" si="23"/>
        <v>8.0828202753101319E-2</v>
      </c>
    </row>
    <row r="197" spans="1:33" x14ac:dyDescent="0.25">
      <c r="A197" s="1">
        <v>45944</v>
      </c>
      <c r="B197">
        <v>6644.31</v>
      </c>
      <c r="C197">
        <v>6645</v>
      </c>
      <c r="D197" s="1">
        <v>45947</v>
      </c>
      <c r="E197" s="1">
        <v>45982</v>
      </c>
      <c r="F197">
        <v>30</v>
      </c>
      <c r="G197">
        <v>3</v>
      </c>
      <c r="H197">
        <v>38</v>
      </c>
      <c r="I197">
        <v>0.22857142857142856</v>
      </c>
      <c r="J197">
        <v>0.77142857142857146</v>
      </c>
      <c r="K197" t="s">
        <v>19</v>
      </c>
      <c r="L197" t="s">
        <v>704</v>
      </c>
      <c r="M197">
        <v>35.4</v>
      </c>
      <c r="N197">
        <v>40.200000000000003</v>
      </c>
      <c r="O197">
        <v>41.7</v>
      </c>
      <c r="P197">
        <v>40.950000000000003</v>
      </c>
      <c r="Q197" t="s">
        <v>21</v>
      </c>
      <c r="R197">
        <v>14.087</v>
      </c>
      <c r="S197" t="s">
        <v>705</v>
      </c>
      <c r="T197">
        <v>163.43</v>
      </c>
      <c r="U197">
        <v>150.9</v>
      </c>
      <c r="V197">
        <v>152.5</v>
      </c>
      <c r="W197">
        <v>151.69999999999999</v>
      </c>
      <c r="X197" t="s">
        <v>21</v>
      </c>
      <c r="Y197">
        <v>15.611000000000001</v>
      </c>
      <c r="Z197">
        <f t="shared" si="18"/>
        <v>15.262657142857144</v>
      </c>
      <c r="AA197">
        <v>0.15336757100000001</v>
      </c>
      <c r="AB197">
        <v>4.0631000000000004</v>
      </c>
      <c r="AC197">
        <f t="shared" si="19"/>
        <v>4.0631E-2</v>
      </c>
      <c r="AD197" s="8">
        <f t="shared" si="20"/>
        <v>8.2191780821917804E-2</v>
      </c>
      <c r="AE197">
        <f t="shared" si="21"/>
        <v>0.53807080112305594</v>
      </c>
      <c r="AF197">
        <f t="shared" si="22"/>
        <v>-0.46192919887694406</v>
      </c>
      <c r="AG197">
        <f t="shared" si="23"/>
        <v>7.6141602246111884E-2</v>
      </c>
    </row>
    <row r="198" spans="1:33" x14ac:dyDescent="0.25">
      <c r="A198" s="1">
        <v>45945</v>
      </c>
      <c r="B198">
        <v>6671.06</v>
      </c>
      <c r="C198">
        <v>6670</v>
      </c>
      <c r="D198" s="1">
        <v>45947</v>
      </c>
      <c r="E198" s="1">
        <v>45982</v>
      </c>
      <c r="F198">
        <v>30</v>
      </c>
      <c r="G198">
        <v>2</v>
      </c>
      <c r="H198">
        <v>37</v>
      </c>
      <c r="I198">
        <v>0.2</v>
      </c>
      <c r="J198">
        <v>0.8</v>
      </c>
      <c r="K198" t="s">
        <v>19</v>
      </c>
      <c r="L198" t="s">
        <v>722</v>
      </c>
      <c r="M198">
        <v>35.6</v>
      </c>
      <c r="N198">
        <v>33.4</v>
      </c>
      <c r="O198">
        <v>34.5</v>
      </c>
      <c r="P198">
        <v>33.950000000000003</v>
      </c>
      <c r="Q198" t="s">
        <v>21</v>
      </c>
      <c r="R198">
        <v>13.957000000000001</v>
      </c>
      <c r="S198" t="s">
        <v>723</v>
      </c>
      <c r="T198">
        <v>134.55000000000001</v>
      </c>
      <c r="U198">
        <v>151.30000000000001</v>
      </c>
      <c r="V198">
        <v>154.30000000000001</v>
      </c>
      <c r="W198">
        <v>152.80000000000001</v>
      </c>
      <c r="X198" t="s">
        <v>21</v>
      </c>
      <c r="Y198">
        <v>15.914999999999999</v>
      </c>
      <c r="Z198">
        <f t="shared" si="18"/>
        <v>15.523399999999999</v>
      </c>
      <c r="AA198">
        <v>0.15532599999999999</v>
      </c>
      <c r="AB198">
        <v>4.0856000000000003</v>
      </c>
      <c r="AC198">
        <f t="shared" si="19"/>
        <v>4.0856000000000003E-2</v>
      </c>
      <c r="AD198" s="8">
        <f t="shared" si="20"/>
        <v>8.2191780821917804E-2</v>
      </c>
      <c r="AE198">
        <f t="shared" si="21"/>
        <v>0.54032132605785121</v>
      </c>
      <c r="AF198">
        <f t="shared" si="22"/>
        <v>-0.45967867394214879</v>
      </c>
      <c r="AG198">
        <f t="shared" si="23"/>
        <v>8.0642652115702429E-2</v>
      </c>
    </row>
    <row r="199" spans="1:33" x14ac:dyDescent="0.25">
      <c r="A199" s="1">
        <v>45946</v>
      </c>
      <c r="B199">
        <v>6629.07</v>
      </c>
      <c r="C199">
        <v>6630</v>
      </c>
      <c r="D199" s="1">
        <v>45947</v>
      </c>
      <c r="E199" s="1">
        <v>45982</v>
      </c>
      <c r="F199">
        <v>30</v>
      </c>
      <c r="G199">
        <v>1</v>
      </c>
      <c r="H199">
        <v>36</v>
      </c>
      <c r="I199">
        <v>0.17142857142857143</v>
      </c>
      <c r="J199">
        <v>0.82857142857142863</v>
      </c>
      <c r="K199" t="s">
        <v>19</v>
      </c>
      <c r="L199" t="s">
        <v>694</v>
      </c>
      <c r="M199">
        <v>16.3</v>
      </c>
      <c r="N199">
        <v>18.100000000000001</v>
      </c>
      <c r="O199">
        <v>19.3</v>
      </c>
      <c r="P199">
        <v>18.700000000000003</v>
      </c>
      <c r="Q199" t="s">
        <v>21</v>
      </c>
      <c r="R199">
        <v>16.376999999999999</v>
      </c>
      <c r="S199" t="s">
        <v>724</v>
      </c>
      <c r="T199">
        <v>163.69999999999999</v>
      </c>
      <c r="U199">
        <v>164.6</v>
      </c>
      <c r="V199">
        <v>167.2</v>
      </c>
      <c r="W199">
        <v>165.89999999999998</v>
      </c>
      <c r="X199" t="s">
        <v>21</v>
      </c>
      <c r="Y199">
        <v>18.591000000000001</v>
      </c>
      <c r="Z199">
        <f t="shared" si="18"/>
        <v>18.211457142857146</v>
      </c>
      <c r="AA199">
        <v>0.181470143</v>
      </c>
      <c r="AB199">
        <v>4.0774999999999997</v>
      </c>
      <c r="AC199">
        <f t="shared" si="19"/>
        <v>4.0774999999999999E-2</v>
      </c>
      <c r="AD199" s="8">
        <f t="shared" si="20"/>
        <v>8.2191780821917804E-2</v>
      </c>
      <c r="AE199">
        <f t="shared" si="21"/>
        <v>0.53495592402603798</v>
      </c>
      <c r="AF199">
        <f t="shared" si="22"/>
        <v>-0.46504407597396202</v>
      </c>
      <c r="AG199">
        <f t="shared" si="23"/>
        <v>6.9911848052075953E-2</v>
      </c>
    </row>
    <row r="200" spans="1:33" x14ac:dyDescent="0.25">
      <c r="A200" s="1">
        <v>45947</v>
      </c>
      <c r="B200">
        <v>6664.01</v>
      </c>
      <c r="C200">
        <v>6665</v>
      </c>
      <c r="D200" s="1">
        <v>45982</v>
      </c>
      <c r="E200" s="1">
        <v>46010</v>
      </c>
      <c r="F200">
        <v>30</v>
      </c>
      <c r="G200">
        <v>35</v>
      </c>
      <c r="H200">
        <v>63</v>
      </c>
      <c r="I200">
        <v>1</v>
      </c>
      <c r="J200">
        <v>0</v>
      </c>
      <c r="K200" t="s">
        <v>19</v>
      </c>
      <c r="L200" t="s">
        <v>696</v>
      </c>
      <c r="M200">
        <v>147.30000000000001</v>
      </c>
      <c r="N200">
        <v>148.69999999999999</v>
      </c>
      <c r="O200">
        <v>150.69999999999999</v>
      </c>
      <c r="P200">
        <v>149.69999999999999</v>
      </c>
      <c r="Q200" t="s">
        <v>21</v>
      </c>
      <c r="R200">
        <v>16.280999999999999</v>
      </c>
      <c r="S200" t="s">
        <v>725</v>
      </c>
      <c r="T200">
        <v>203.4</v>
      </c>
      <c r="U200">
        <v>204.6</v>
      </c>
      <c r="V200">
        <v>206.4</v>
      </c>
      <c r="W200">
        <v>205.5</v>
      </c>
      <c r="X200" t="s">
        <v>21</v>
      </c>
      <c r="Y200">
        <v>16.428999999999998</v>
      </c>
      <c r="Z200">
        <f t="shared" si="18"/>
        <v>16.280999999999999</v>
      </c>
      <c r="AA200">
        <v>0.16314000000000001</v>
      </c>
      <c r="AB200">
        <v>4.0431999999999997</v>
      </c>
      <c r="AC200">
        <f t="shared" si="19"/>
        <v>4.0431999999999996E-2</v>
      </c>
      <c r="AD200" s="8">
        <f t="shared" si="20"/>
        <v>8.2191780821917804E-2</v>
      </c>
      <c r="AE200">
        <f t="shared" si="21"/>
        <v>0.53635768998496636</v>
      </c>
      <c r="AF200">
        <f t="shared" si="22"/>
        <v>-0.46364231001503364</v>
      </c>
      <c r="AG200">
        <f t="shared" si="23"/>
        <v>7.2715379969932714E-2</v>
      </c>
    </row>
    <row r="201" spans="1:33" x14ac:dyDescent="0.25">
      <c r="A201" s="1">
        <v>45950</v>
      </c>
      <c r="B201">
        <v>6735.13</v>
      </c>
      <c r="C201">
        <v>6735</v>
      </c>
      <c r="D201" s="1">
        <v>45982</v>
      </c>
      <c r="E201" s="1">
        <v>46010</v>
      </c>
      <c r="F201">
        <v>30</v>
      </c>
      <c r="G201">
        <v>32</v>
      </c>
      <c r="H201">
        <v>60</v>
      </c>
      <c r="I201">
        <v>1</v>
      </c>
      <c r="J201">
        <v>0</v>
      </c>
      <c r="K201" t="s">
        <v>19</v>
      </c>
      <c r="L201" t="s">
        <v>719</v>
      </c>
      <c r="M201">
        <v>130.47</v>
      </c>
      <c r="N201">
        <v>127.8</v>
      </c>
      <c r="O201">
        <v>129.69999999999999</v>
      </c>
      <c r="P201">
        <v>128.75</v>
      </c>
      <c r="Q201" t="s">
        <v>21</v>
      </c>
      <c r="R201">
        <v>13.888</v>
      </c>
      <c r="S201" t="s">
        <v>726</v>
      </c>
      <c r="T201">
        <v>184.7</v>
      </c>
      <c r="U201">
        <v>184</v>
      </c>
      <c r="V201">
        <v>185.6</v>
      </c>
      <c r="W201">
        <v>184.8</v>
      </c>
      <c r="X201" t="s">
        <v>21</v>
      </c>
      <c r="Y201">
        <v>14.577</v>
      </c>
      <c r="Z201">
        <f t="shared" si="18"/>
        <v>13.888</v>
      </c>
      <c r="AA201">
        <v>0.13897000000000001</v>
      </c>
      <c r="AB201">
        <v>4.0350999999999999</v>
      </c>
      <c r="AC201">
        <f t="shared" si="19"/>
        <v>4.0350999999999998E-2</v>
      </c>
      <c r="AD201" s="8">
        <f t="shared" si="20"/>
        <v>8.2191780821917804E-2</v>
      </c>
      <c r="AE201">
        <f t="shared" si="21"/>
        <v>0.54127571053173229</v>
      </c>
      <c r="AF201">
        <f t="shared" si="22"/>
        <v>-0.45872428946826771</v>
      </c>
      <c r="AG201">
        <f t="shared" si="23"/>
        <v>8.2551421063464581E-2</v>
      </c>
    </row>
    <row r="202" spans="1:33" x14ac:dyDescent="0.25">
      <c r="A202" s="1">
        <v>45951</v>
      </c>
      <c r="B202">
        <v>6735.35</v>
      </c>
      <c r="C202">
        <v>6735</v>
      </c>
      <c r="D202" s="1">
        <v>45982</v>
      </c>
      <c r="E202" s="1">
        <v>46010</v>
      </c>
      <c r="F202">
        <v>30</v>
      </c>
      <c r="G202">
        <v>31</v>
      </c>
      <c r="H202">
        <v>59</v>
      </c>
      <c r="I202">
        <v>1</v>
      </c>
      <c r="J202">
        <v>0</v>
      </c>
      <c r="K202" t="s">
        <v>19</v>
      </c>
      <c r="L202" t="s">
        <v>719</v>
      </c>
      <c r="M202">
        <v>123.95</v>
      </c>
      <c r="N202">
        <v>119.7</v>
      </c>
      <c r="O202">
        <v>121.1</v>
      </c>
      <c r="P202">
        <v>120.4</v>
      </c>
      <c r="Q202" t="s">
        <v>21</v>
      </c>
      <c r="R202">
        <v>13.778</v>
      </c>
      <c r="S202" t="s">
        <v>726</v>
      </c>
      <c r="T202">
        <v>182.43</v>
      </c>
      <c r="U202">
        <v>175.7</v>
      </c>
      <c r="V202">
        <v>177.2</v>
      </c>
      <c r="W202">
        <v>176.45</v>
      </c>
      <c r="X202" t="s">
        <v>21</v>
      </c>
      <c r="Y202">
        <v>14.492000000000001</v>
      </c>
      <c r="Z202">
        <f t="shared" si="18"/>
        <v>13.778</v>
      </c>
      <c r="AA202">
        <v>0.137765</v>
      </c>
      <c r="AB202">
        <v>4.0091000000000001</v>
      </c>
      <c r="AC202">
        <f t="shared" si="19"/>
        <v>4.0091000000000002E-2</v>
      </c>
      <c r="AD202" s="8">
        <f t="shared" si="20"/>
        <v>8.2191780821917804E-2</v>
      </c>
      <c r="AE202">
        <f t="shared" si="21"/>
        <v>0.54161122259255268</v>
      </c>
      <c r="AF202">
        <f t="shared" si="22"/>
        <v>-0.45838877740744732</v>
      </c>
      <c r="AG202">
        <f t="shared" si="23"/>
        <v>8.3222445185105354E-2</v>
      </c>
    </row>
    <row r="203" spans="1:33" x14ac:dyDescent="0.25">
      <c r="A203" s="1">
        <v>45952</v>
      </c>
      <c r="B203">
        <v>6699.4</v>
      </c>
      <c r="C203">
        <v>6700</v>
      </c>
      <c r="D203" s="1">
        <v>45982</v>
      </c>
      <c r="E203" s="1">
        <v>46010</v>
      </c>
      <c r="F203">
        <v>30</v>
      </c>
      <c r="G203">
        <v>30</v>
      </c>
      <c r="H203">
        <v>58</v>
      </c>
      <c r="I203">
        <v>1</v>
      </c>
      <c r="J203">
        <v>0</v>
      </c>
      <c r="K203" t="s">
        <v>19</v>
      </c>
      <c r="L203" t="s">
        <v>727</v>
      </c>
      <c r="M203">
        <v>124.8</v>
      </c>
      <c r="N203">
        <v>122.5</v>
      </c>
      <c r="O203">
        <v>124.5</v>
      </c>
      <c r="P203">
        <v>123.5</v>
      </c>
      <c r="Q203" t="s">
        <v>21</v>
      </c>
      <c r="R203">
        <v>14.462</v>
      </c>
      <c r="S203" t="s">
        <v>728</v>
      </c>
      <c r="T203">
        <v>180.5</v>
      </c>
      <c r="U203">
        <v>178.6</v>
      </c>
      <c r="V203">
        <v>180.8</v>
      </c>
      <c r="W203">
        <v>179.7</v>
      </c>
      <c r="X203" t="s">
        <v>21</v>
      </c>
      <c r="Y203">
        <v>14.965</v>
      </c>
      <c r="Z203">
        <f t="shared" si="18"/>
        <v>14.462</v>
      </c>
      <c r="AA203">
        <v>0.14455000000000001</v>
      </c>
      <c r="AB203">
        <v>4.0061</v>
      </c>
      <c r="AC203">
        <f t="shared" si="19"/>
        <v>4.0060999999999999E-2</v>
      </c>
      <c r="AD203" s="8">
        <f t="shared" si="20"/>
        <v>8.2191780821917804E-2</v>
      </c>
      <c r="AE203">
        <f t="shared" si="21"/>
        <v>0.53903938879947733</v>
      </c>
      <c r="AF203">
        <f t="shared" si="22"/>
        <v>-0.46096061120052267</v>
      </c>
      <c r="AG203">
        <f t="shared" si="23"/>
        <v>7.8078777598954652E-2</v>
      </c>
    </row>
    <row r="204" spans="1:33" x14ac:dyDescent="0.25">
      <c r="A204" s="1">
        <v>45953</v>
      </c>
      <c r="B204">
        <v>6738.44</v>
      </c>
      <c r="C204">
        <v>6740</v>
      </c>
      <c r="D204" s="1">
        <v>45982</v>
      </c>
      <c r="E204" s="1">
        <v>46010</v>
      </c>
      <c r="F204">
        <v>30</v>
      </c>
      <c r="G204">
        <v>29</v>
      </c>
      <c r="H204">
        <v>57</v>
      </c>
      <c r="I204">
        <v>0.9642857142857143</v>
      </c>
      <c r="J204">
        <v>3.5714285714285712E-2</v>
      </c>
      <c r="K204" t="s">
        <v>19</v>
      </c>
      <c r="L204" t="s">
        <v>715</v>
      </c>
      <c r="M204">
        <v>114.16</v>
      </c>
      <c r="N204">
        <v>113.4</v>
      </c>
      <c r="O204">
        <v>114.9</v>
      </c>
      <c r="P204">
        <v>114.15</v>
      </c>
      <c r="Q204" t="s">
        <v>21</v>
      </c>
      <c r="R204">
        <v>13.452</v>
      </c>
      <c r="S204" t="s">
        <v>729</v>
      </c>
      <c r="T204">
        <v>170.58</v>
      </c>
      <c r="U204">
        <v>171</v>
      </c>
      <c r="V204">
        <v>172.7</v>
      </c>
      <c r="W204">
        <v>171.85</v>
      </c>
      <c r="X204" t="s">
        <v>21</v>
      </c>
      <c r="Y204">
        <v>14.262</v>
      </c>
      <c r="Z204">
        <f t="shared" si="18"/>
        <v>13.480928571428571</v>
      </c>
      <c r="AA204">
        <v>0.13484660700000001</v>
      </c>
      <c r="AB204">
        <v>4.0057</v>
      </c>
      <c r="AC204">
        <f t="shared" si="19"/>
        <v>4.0057000000000002E-2</v>
      </c>
      <c r="AD204" s="8">
        <f t="shared" si="20"/>
        <v>8.2191780821917804E-2</v>
      </c>
      <c r="AE204">
        <f t="shared" si="21"/>
        <v>0.53923445714200202</v>
      </c>
      <c r="AF204">
        <f t="shared" si="22"/>
        <v>-0.46076554285799798</v>
      </c>
      <c r="AG204">
        <f t="shared" si="23"/>
        <v>7.8468914284004043E-2</v>
      </c>
    </row>
    <row r="205" spans="1:33" x14ac:dyDescent="0.25">
      <c r="A205" s="1">
        <v>45954</v>
      </c>
      <c r="B205">
        <v>6791.69</v>
      </c>
      <c r="C205">
        <v>6790</v>
      </c>
      <c r="D205" s="1">
        <v>45982</v>
      </c>
      <c r="E205" s="1">
        <v>46010</v>
      </c>
      <c r="F205">
        <v>30</v>
      </c>
      <c r="G205">
        <v>28</v>
      </c>
      <c r="H205">
        <v>56</v>
      </c>
      <c r="I205">
        <v>0.9285714285714286</v>
      </c>
      <c r="J205">
        <v>7.1428571428571425E-2</v>
      </c>
      <c r="K205" t="s">
        <v>19</v>
      </c>
      <c r="L205" t="s">
        <v>730</v>
      </c>
      <c r="M205">
        <v>107.03</v>
      </c>
      <c r="N205">
        <v>104.9</v>
      </c>
      <c r="O205">
        <v>106.4</v>
      </c>
      <c r="P205">
        <v>105.65</v>
      </c>
      <c r="Q205" t="s">
        <v>21</v>
      </c>
      <c r="R205">
        <v>12.756</v>
      </c>
      <c r="S205" t="s">
        <v>731</v>
      </c>
      <c r="T205">
        <v>164.17</v>
      </c>
      <c r="U205">
        <v>164.1</v>
      </c>
      <c r="V205">
        <v>165.8</v>
      </c>
      <c r="W205">
        <v>164.95</v>
      </c>
      <c r="X205" t="s">
        <v>21</v>
      </c>
      <c r="Y205">
        <v>13.829000000000001</v>
      </c>
      <c r="Z205">
        <f t="shared" si="18"/>
        <v>12.832642857142858</v>
      </c>
      <c r="AA205">
        <v>0.12870999999999999</v>
      </c>
      <c r="AB205">
        <v>3.9845000000000002</v>
      </c>
      <c r="AC205">
        <f t="shared" si="19"/>
        <v>3.9844999999999998E-2</v>
      </c>
      <c r="AD205" s="8">
        <f t="shared" si="20"/>
        <v>8.2191780821917804E-2</v>
      </c>
      <c r="AE205">
        <f t="shared" si="21"/>
        <v>0.54535962242667635</v>
      </c>
      <c r="AF205">
        <f t="shared" si="22"/>
        <v>-0.45464037757332365</v>
      </c>
      <c r="AG205">
        <f t="shared" si="23"/>
        <v>9.0719244853352698E-2</v>
      </c>
    </row>
    <row r="206" spans="1:33" x14ac:dyDescent="0.25">
      <c r="A206" s="1">
        <v>45957</v>
      </c>
      <c r="B206">
        <v>6875.16</v>
      </c>
      <c r="C206">
        <v>6875</v>
      </c>
      <c r="D206" s="1">
        <v>45982</v>
      </c>
      <c r="E206" s="1">
        <v>46010</v>
      </c>
      <c r="F206">
        <v>30</v>
      </c>
      <c r="G206">
        <v>25</v>
      </c>
      <c r="H206">
        <v>53</v>
      </c>
      <c r="I206">
        <v>0.8214285714285714</v>
      </c>
      <c r="J206">
        <v>0.17857142857142858</v>
      </c>
      <c r="K206" t="s">
        <v>19</v>
      </c>
      <c r="L206" t="s">
        <v>732</v>
      </c>
      <c r="M206">
        <v>93.46</v>
      </c>
      <c r="N206">
        <v>102</v>
      </c>
      <c r="O206">
        <v>103.6</v>
      </c>
      <c r="P206">
        <v>102.8</v>
      </c>
      <c r="Q206" t="s">
        <v>21</v>
      </c>
      <c r="R206">
        <v>12.114000000000001</v>
      </c>
      <c r="S206" t="s">
        <v>733</v>
      </c>
      <c r="T206">
        <v>161.1</v>
      </c>
      <c r="U206">
        <v>163.69999999999999</v>
      </c>
      <c r="V206">
        <v>165.5</v>
      </c>
      <c r="W206">
        <v>164.6</v>
      </c>
      <c r="X206" t="s">
        <v>21</v>
      </c>
      <c r="Y206">
        <v>13.492000000000001</v>
      </c>
      <c r="Z206">
        <f t="shared" si="18"/>
        <v>12.36007142857143</v>
      </c>
      <c r="AA206">
        <v>0.124510893</v>
      </c>
      <c r="AB206">
        <v>4.0019</v>
      </c>
      <c r="AC206">
        <f t="shared" si="19"/>
        <v>4.0018999999999999E-2</v>
      </c>
      <c r="AD206" s="8">
        <f t="shared" si="20"/>
        <v>8.2191780821917804E-2</v>
      </c>
      <c r="AE206">
        <f t="shared" si="21"/>
        <v>0.54405119535145685</v>
      </c>
      <c r="AF206">
        <f t="shared" si="22"/>
        <v>-0.45594880464854315</v>
      </c>
      <c r="AG206">
        <f t="shared" si="23"/>
        <v>8.8102390702913702E-2</v>
      </c>
    </row>
    <row r="207" spans="1:33" x14ac:dyDescent="0.25">
      <c r="A207" s="1">
        <v>45958</v>
      </c>
      <c r="B207">
        <v>6890.89</v>
      </c>
      <c r="C207">
        <v>6890</v>
      </c>
      <c r="D207" s="1">
        <v>45982</v>
      </c>
      <c r="E207" s="1">
        <v>46010</v>
      </c>
      <c r="F207">
        <v>30</v>
      </c>
      <c r="G207">
        <v>24</v>
      </c>
      <c r="H207">
        <v>52</v>
      </c>
      <c r="I207">
        <v>0.7857142857142857</v>
      </c>
      <c r="J207">
        <v>0.21428571428571427</v>
      </c>
      <c r="K207" t="s">
        <v>19</v>
      </c>
      <c r="L207" t="s">
        <v>734</v>
      </c>
      <c r="M207">
        <v>104.5</v>
      </c>
      <c r="N207">
        <v>104.5</v>
      </c>
      <c r="O207">
        <v>106</v>
      </c>
      <c r="P207">
        <v>105.25</v>
      </c>
      <c r="Q207" t="s">
        <v>21</v>
      </c>
      <c r="R207">
        <v>13.048</v>
      </c>
      <c r="S207" t="s">
        <v>735</v>
      </c>
      <c r="T207">
        <v>172.55</v>
      </c>
      <c r="U207">
        <v>168.4</v>
      </c>
      <c r="V207">
        <v>170.1</v>
      </c>
      <c r="W207">
        <v>169.25</v>
      </c>
      <c r="X207" t="s">
        <v>21</v>
      </c>
      <c r="Y207">
        <v>14.25</v>
      </c>
      <c r="Z207">
        <f t="shared" si="18"/>
        <v>13.305571428571429</v>
      </c>
      <c r="AA207">
        <v>0.13294535699999999</v>
      </c>
      <c r="AB207">
        <v>3.9581</v>
      </c>
      <c r="AC207">
        <f t="shared" si="19"/>
        <v>3.9580999999999998E-2</v>
      </c>
      <c r="AD207" s="8">
        <f t="shared" si="20"/>
        <v>8.2191780821917804E-2</v>
      </c>
      <c r="AE207">
        <f t="shared" si="21"/>
        <v>0.54292313218810329</v>
      </c>
      <c r="AF207">
        <f t="shared" si="22"/>
        <v>-0.45707686781189671</v>
      </c>
      <c r="AG207">
        <f t="shared" si="23"/>
        <v>8.5846264376206571E-2</v>
      </c>
    </row>
    <row r="208" spans="1:33" x14ac:dyDescent="0.25">
      <c r="A208" s="1">
        <v>45959</v>
      </c>
      <c r="B208">
        <v>6890.59</v>
      </c>
      <c r="C208">
        <v>6890</v>
      </c>
      <c r="D208" s="1">
        <v>45982</v>
      </c>
      <c r="E208" s="1">
        <v>46010</v>
      </c>
      <c r="F208">
        <v>30</v>
      </c>
      <c r="G208">
        <v>23</v>
      </c>
      <c r="H208">
        <v>51</v>
      </c>
      <c r="I208">
        <v>0.75</v>
      </c>
      <c r="J208">
        <v>0.25</v>
      </c>
      <c r="K208" t="s">
        <v>19</v>
      </c>
      <c r="L208" t="s">
        <v>734</v>
      </c>
      <c r="M208">
        <v>98.53</v>
      </c>
      <c r="N208">
        <v>100.6</v>
      </c>
      <c r="O208">
        <v>103.3</v>
      </c>
      <c r="P208">
        <v>101.94999999999999</v>
      </c>
      <c r="Q208" t="s">
        <v>21</v>
      </c>
      <c r="R208">
        <v>13.914</v>
      </c>
      <c r="S208" t="s">
        <v>735</v>
      </c>
      <c r="T208">
        <v>164.34</v>
      </c>
      <c r="U208">
        <v>164.9</v>
      </c>
      <c r="V208">
        <v>168.3</v>
      </c>
      <c r="W208">
        <v>166.60000000000002</v>
      </c>
      <c r="X208" t="s">
        <v>21</v>
      </c>
      <c r="Y208">
        <v>14.795999999999999</v>
      </c>
      <c r="Z208">
        <f t="shared" si="18"/>
        <v>14.134499999999999</v>
      </c>
      <c r="AA208">
        <v>0.14076</v>
      </c>
      <c r="AB208">
        <v>3.9296000000000002</v>
      </c>
      <c r="AC208">
        <f t="shared" si="19"/>
        <v>3.9296000000000005E-2</v>
      </c>
      <c r="AD208" s="8">
        <f t="shared" si="20"/>
        <v>8.2191780821917804E-2</v>
      </c>
      <c r="AE208">
        <f t="shared" si="21"/>
        <v>0.54075453809827523</v>
      </c>
      <c r="AF208">
        <f t="shared" si="22"/>
        <v>-0.45924546190172477</v>
      </c>
      <c r="AG208">
        <f t="shared" si="23"/>
        <v>8.1509076196550456E-2</v>
      </c>
    </row>
    <row r="209" spans="1:33" x14ac:dyDescent="0.25">
      <c r="A209" s="1">
        <v>45960</v>
      </c>
      <c r="B209">
        <v>6822.34</v>
      </c>
      <c r="C209">
        <v>6820</v>
      </c>
      <c r="D209" s="1">
        <v>45982</v>
      </c>
      <c r="E209" s="1">
        <v>46010</v>
      </c>
      <c r="F209">
        <v>30</v>
      </c>
      <c r="G209">
        <v>22</v>
      </c>
      <c r="H209">
        <v>50</v>
      </c>
      <c r="I209">
        <v>0.7142857142857143</v>
      </c>
      <c r="J209">
        <v>0.2857142857142857</v>
      </c>
      <c r="K209" t="s">
        <v>19</v>
      </c>
      <c r="L209" t="s">
        <v>736</v>
      </c>
      <c r="M209">
        <v>107.2</v>
      </c>
      <c r="N209">
        <v>125.1</v>
      </c>
      <c r="O209">
        <v>127</v>
      </c>
      <c r="P209">
        <v>126.05</v>
      </c>
      <c r="Q209" t="s">
        <v>21</v>
      </c>
      <c r="R209">
        <v>14.114000000000001</v>
      </c>
      <c r="S209" t="s">
        <v>737</v>
      </c>
      <c r="T209">
        <v>172.82</v>
      </c>
      <c r="U209">
        <v>192.2</v>
      </c>
      <c r="V209">
        <v>194.4</v>
      </c>
      <c r="W209">
        <v>193.3</v>
      </c>
      <c r="X209" t="s">
        <v>21</v>
      </c>
      <c r="Y209">
        <v>15.2</v>
      </c>
      <c r="Z209">
        <f t="shared" si="18"/>
        <v>14.424285714285716</v>
      </c>
      <c r="AA209">
        <v>0.14456428599999999</v>
      </c>
      <c r="AB209">
        <v>3.9266999999999999</v>
      </c>
      <c r="AC209">
        <f t="shared" si="19"/>
        <v>3.9266999999999996E-2</v>
      </c>
      <c r="AD209" s="8">
        <f t="shared" si="20"/>
        <v>8.2191780821917804E-2</v>
      </c>
      <c r="AE209">
        <f t="shared" si="21"/>
        <v>0.54255463268947191</v>
      </c>
      <c r="AF209">
        <f t="shared" si="22"/>
        <v>-0.45744536731052809</v>
      </c>
      <c r="AG209">
        <f t="shared" si="23"/>
        <v>8.510926537894381E-2</v>
      </c>
    </row>
    <row r="210" spans="1:33" x14ac:dyDescent="0.25">
      <c r="A210" s="1">
        <v>45961</v>
      </c>
      <c r="B210">
        <v>6840.2</v>
      </c>
      <c r="C210">
        <v>6840</v>
      </c>
      <c r="D210" s="1">
        <v>45982</v>
      </c>
      <c r="E210" s="1">
        <v>46010</v>
      </c>
      <c r="F210">
        <v>30</v>
      </c>
      <c r="G210">
        <v>21</v>
      </c>
      <c r="H210">
        <v>49</v>
      </c>
      <c r="I210">
        <v>0.6785714285714286</v>
      </c>
      <c r="J210">
        <v>0.32142857142857145</v>
      </c>
      <c r="K210" t="s">
        <v>19</v>
      </c>
      <c r="L210" t="s">
        <v>738</v>
      </c>
      <c r="M210">
        <v>112.3</v>
      </c>
      <c r="N210">
        <v>100</v>
      </c>
      <c r="O210">
        <v>101.2</v>
      </c>
      <c r="P210">
        <v>100.6</v>
      </c>
      <c r="Q210" t="s">
        <v>21</v>
      </c>
      <c r="R210">
        <v>14.108000000000001</v>
      </c>
      <c r="S210" t="s">
        <v>739</v>
      </c>
      <c r="T210">
        <v>170</v>
      </c>
      <c r="U210">
        <v>168.9</v>
      </c>
      <c r="V210">
        <v>170.6</v>
      </c>
      <c r="W210">
        <v>169.75</v>
      </c>
      <c r="X210" t="s">
        <v>21</v>
      </c>
      <c r="Y210">
        <v>15.378</v>
      </c>
      <c r="Z210">
        <f t="shared" si="18"/>
        <v>14.516214285714288</v>
      </c>
      <c r="AA210">
        <v>0.14585178600000001</v>
      </c>
      <c r="AB210">
        <v>3.8978000000000002</v>
      </c>
      <c r="AC210">
        <f t="shared" si="19"/>
        <v>3.8977999999999999E-2</v>
      </c>
      <c r="AD210" s="8">
        <f t="shared" si="20"/>
        <v>8.2191780821917804E-2</v>
      </c>
      <c r="AE210">
        <f t="shared" si="21"/>
        <v>0.53912235577378098</v>
      </c>
      <c r="AF210">
        <f t="shared" si="22"/>
        <v>-0.46087764422621902</v>
      </c>
      <c r="AG210">
        <f t="shared" si="23"/>
        <v>7.8244711547561963E-2</v>
      </c>
    </row>
    <row r="211" spans="1:33" x14ac:dyDescent="0.25">
      <c r="A211" s="1">
        <v>45964</v>
      </c>
      <c r="B211">
        <v>6851.97</v>
      </c>
      <c r="C211">
        <v>6850</v>
      </c>
      <c r="D211" s="1">
        <v>45982</v>
      </c>
      <c r="E211" s="1">
        <v>46010</v>
      </c>
      <c r="F211">
        <v>30</v>
      </c>
      <c r="G211">
        <v>18</v>
      </c>
      <c r="H211">
        <v>46</v>
      </c>
      <c r="I211">
        <v>0.5714285714285714</v>
      </c>
      <c r="J211">
        <v>0.42857142857142855</v>
      </c>
      <c r="K211" t="s">
        <v>19</v>
      </c>
      <c r="L211" t="s">
        <v>740</v>
      </c>
      <c r="M211">
        <v>93.95</v>
      </c>
      <c r="N211">
        <v>92.3</v>
      </c>
      <c r="O211">
        <v>93.6</v>
      </c>
      <c r="P211">
        <v>92.949999999999989</v>
      </c>
      <c r="Q211" t="s">
        <v>21</v>
      </c>
      <c r="R211">
        <v>12.869</v>
      </c>
      <c r="S211" t="s">
        <v>741</v>
      </c>
      <c r="T211">
        <v>165.49</v>
      </c>
      <c r="U211">
        <v>163.69999999999999</v>
      </c>
      <c r="V211">
        <v>165.4</v>
      </c>
      <c r="W211">
        <v>164.55</v>
      </c>
      <c r="X211" t="s">
        <v>21</v>
      </c>
      <c r="Y211">
        <v>14.632999999999999</v>
      </c>
      <c r="Z211">
        <f t="shared" si="18"/>
        <v>13.625</v>
      </c>
      <c r="AA211">
        <v>0.13973928599999999</v>
      </c>
      <c r="AB211">
        <v>3.9687000000000001</v>
      </c>
      <c r="AC211">
        <f t="shared" si="19"/>
        <v>3.9687E-2</v>
      </c>
      <c r="AD211" s="8">
        <f t="shared" si="20"/>
        <v>8.2191780821917804E-2</v>
      </c>
      <c r="AE211">
        <f t="shared" si="21"/>
        <v>0.54325242737061274</v>
      </c>
      <c r="AF211">
        <f t="shared" si="22"/>
        <v>-0.45674757262938726</v>
      </c>
      <c r="AG211">
        <f t="shared" si="23"/>
        <v>8.650485474122549E-2</v>
      </c>
    </row>
    <row r="212" spans="1:33" x14ac:dyDescent="0.25">
      <c r="A212" s="1">
        <v>45965</v>
      </c>
      <c r="B212">
        <v>6771.55</v>
      </c>
      <c r="C212">
        <v>6770</v>
      </c>
      <c r="D212" s="1">
        <v>45982</v>
      </c>
      <c r="E212" s="1">
        <v>46010</v>
      </c>
      <c r="F212">
        <v>30</v>
      </c>
      <c r="G212">
        <v>17</v>
      </c>
      <c r="H212">
        <v>45</v>
      </c>
      <c r="I212">
        <v>0.5357142857142857</v>
      </c>
      <c r="J212">
        <v>0.4642857142857143</v>
      </c>
      <c r="K212" t="s">
        <v>19</v>
      </c>
      <c r="L212" t="s">
        <v>742</v>
      </c>
      <c r="M212">
        <v>98.3</v>
      </c>
      <c r="N212">
        <v>100.4</v>
      </c>
      <c r="O212">
        <v>101.8</v>
      </c>
      <c r="P212">
        <v>101.1</v>
      </c>
      <c r="Q212" t="s">
        <v>21</v>
      </c>
      <c r="R212">
        <v>15.054</v>
      </c>
      <c r="S212" t="s">
        <v>743</v>
      </c>
      <c r="T212">
        <v>168.1</v>
      </c>
      <c r="U212">
        <v>170.7</v>
      </c>
      <c r="V212">
        <v>172.6</v>
      </c>
      <c r="W212">
        <v>171.64999999999998</v>
      </c>
      <c r="X212" t="s">
        <v>21</v>
      </c>
      <c r="Y212">
        <v>15.914999999999999</v>
      </c>
      <c r="Z212">
        <f t="shared" si="18"/>
        <v>15.453749999999999</v>
      </c>
      <c r="AA212">
        <v>0.154617857</v>
      </c>
      <c r="AB212">
        <v>3.9325999999999999</v>
      </c>
      <c r="AC212">
        <f t="shared" si="19"/>
        <v>3.9326E-2</v>
      </c>
      <c r="AD212" s="8">
        <f t="shared" si="20"/>
        <v>8.2191780821917804E-2</v>
      </c>
      <c r="AE212">
        <f t="shared" si="21"/>
        <v>0.53992552782073711</v>
      </c>
      <c r="AF212">
        <f t="shared" si="22"/>
        <v>-0.46007447217926289</v>
      </c>
      <c r="AG212">
        <f t="shared" si="23"/>
        <v>7.9851055641474211E-2</v>
      </c>
    </row>
    <row r="213" spans="1:33" x14ac:dyDescent="0.25">
      <c r="A213" s="1">
        <v>45966</v>
      </c>
      <c r="B213">
        <v>6796.29</v>
      </c>
      <c r="C213">
        <v>6795</v>
      </c>
      <c r="D213" s="1">
        <v>45982</v>
      </c>
      <c r="E213" s="1">
        <v>46010</v>
      </c>
      <c r="F213">
        <v>30</v>
      </c>
      <c r="G213">
        <v>16</v>
      </c>
      <c r="H213">
        <v>44</v>
      </c>
      <c r="I213">
        <v>0.5</v>
      </c>
      <c r="J213">
        <v>0.5</v>
      </c>
      <c r="K213" t="s">
        <v>19</v>
      </c>
      <c r="L213" t="s">
        <v>744</v>
      </c>
      <c r="M213">
        <v>98.8</v>
      </c>
      <c r="N213">
        <v>88.6</v>
      </c>
      <c r="O213">
        <v>90.2</v>
      </c>
      <c r="P213">
        <v>89.4</v>
      </c>
      <c r="Q213" t="s">
        <v>21</v>
      </c>
      <c r="R213">
        <v>14.089</v>
      </c>
      <c r="S213" t="s">
        <v>745</v>
      </c>
      <c r="T213">
        <v>158.75</v>
      </c>
      <c r="U213">
        <v>159.5</v>
      </c>
      <c r="V213">
        <v>161.6</v>
      </c>
      <c r="W213">
        <v>160.55000000000001</v>
      </c>
      <c r="X213" t="s">
        <v>21</v>
      </c>
      <c r="Y213">
        <v>15.045999999999999</v>
      </c>
      <c r="Z213">
        <f t="shared" si="18"/>
        <v>14.567499999999999</v>
      </c>
      <c r="AA213">
        <v>0.14672499999999999</v>
      </c>
      <c r="AB213">
        <v>3.8990999999999998</v>
      </c>
      <c r="AC213">
        <f t="shared" si="19"/>
        <v>3.8990999999999998E-2</v>
      </c>
      <c r="AD213" s="8">
        <f t="shared" si="20"/>
        <v>8.2191780821917804E-2</v>
      </c>
      <c r="AE213">
        <f t="shared" si="21"/>
        <v>0.54051489939744701</v>
      </c>
      <c r="AF213">
        <f t="shared" si="22"/>
        <v>-0.45948510060255299</v>
      </c>
      <c r="AG213">
        <f t="shared" si="23"/>
        <v>8.1029798794894026E-2</v>
      </c>
    </row>
    <row r="214" spans="1:33" x14ac:dyDescent="0.25">
      <c r="A214" s="1">
        <v>45967</v>
      </c>
      <c r="B214">
        <v>6720.32</v>
      </c>
      <c r="C214">
        <v>6720</v>
      </c>
      <c r="D214" s="1">
        <v>45982</v>
      </c>
      <c r="E214" s="1">
        <v>46010</v>
      </c>
      <c r="F214">
        <v>30</v>
      </c>
      <c r="G214">
        <v>15</v>
      </c>
      <c r="H214">
        <v>43</v>
      </c>
      <c r="I214">
        <v>0.4642857142857143</v>
      </c>
      <c r="J214">
        <v>0.5357142857142857</v>
      </c>
      <c r="K214" t="s">
        <v>19</v>
      </c>
      <c r="L214" t="s">
        <v>746</v>
      </c>
      <c r="M214">
        <v>98.8</v>
      </c>
      <c r="N214">
        <v>102.8</v>
      </c>
      <c r="O214">
        <v>104</v>
      </c>
      <c r="P214">
        <v>103.4</v>
      </c>
      <c r="Q214" t="s">
        <v>21</v>
      </c>
      <c r="R214">
        <v>16.119</v>
      </c>
      <c r="S214" t="s">
        <v>747</v>
      </c>
      <c r="T214">
        <v>166.27</v>
      </c>
      <c r="U214">
        <v>173.9</v>
      </c>
      <c r="V214">
        <v>175.4</v>
      </c>
      <c r="W214">
        <v>174.65</v>
      </c>
      <c r="X214" t="s">
        <v>21</v>
      </c>
      <c r="Y214">
        <v>16.437999999999999</v>
      </c>
      <c r="Z214">
        <f t="shared" si="18"/>
        <v>16.289892857142856</v>
      </c>
      <c r="AA214">
        <v>0.16310839299999999</v>
      </c>
      <c r="AB214">
        <v>3.8553000000000002</v>
      </c>
      <c r="AC214">
        <f t="shared" si="19"/>
        <v>3.8553000000000004E-2</v>
      </c>
      <c r="AD214" s="8">
        <f t="shared" si="20"/>
        <v>8.2191780821917804E-2</v>
      </c>
      <c r="AE214">
        <f t="shared" si="21"/>
        <v>0.5367156166191327</v>
      </c>
      <c r="AF214">
        <f t="shared" si="22"/>
        <v>-0.4632843833808673</v>
      </c>
      <c r="AG214">
        <f t="shared" si="23"/>
        <v>7.3431233238265392E-2</v>
      </c>
    </row>
    <row r="215" spans="1:33" x14ac:dyDescent="0.25">
      <c r="A215" s="1">
        <v>45968</v>
      </c>
      <c r="B215">
        <v>6728.8</v>
      </c>
      <c r="C215">
        <v>6730</v>
      </c>
      <c r="D215" s="1">
        <v>45982</v>
      </c>
      <c r="E215" s="1">
        <v>46010</v>
      </c>
      <c r="F215">
        <v>30</v>
      </c>
      <c r="G215">
        <v>14</v>
      </c>
      <c r="H215">
        <v>42</v>
      </c>
      <c r="I215">
        <v>0.42857142857142855</v>
      </c>
      <c r="J215">
        <v>0.5714285714285714</v>
      </c>
      <c r="K215" t="s">
        <v>19</v>
      </c>
      <c r="L215" t="s">
        <v>748</v>
      </c>
      <c r="M215">
        <v>88.43</v>
      </c>
      <c r="N215">
        <v>91.6</v>
      </c>
      <c r="O215">
        <v>93.3</v>
      </c>
      <c r="P215">
        <v>92.449999999999989</v>
      </c>
      <c r="Q215" t="s">
        <v>21</v>
      </c>
      <c r="R215">
        <v>15.784000000000001</v>
      </c>
      <c r="S215" t="s">
        <v>749</v>
      </c>
      <c r="T215">
        <v>162</v>
      </c>
      <c r="U215">
        <v>163.4</v>
      </c>
      <c r="V215">
        <v>165.7</v>
      </c>
      <c r="W215">
        <v>164.55</v>
      </c>
      <c r="X215" t="s">
        <v>21</v>
      </c>
      <c r="Y215">
        <v>16.215</v>
      </c>
      <c r="Z215">
        <f t="shared" si="18"/>
        <v>16.030285714285714</v>
      </c>
      <c r="AA215">
        <v>0.16003642900000001</v>
      </c>
      <c r="AB215">
        <v>3.8391000000000002</v>
      </c>
      <c r="AC215">
        <f t="shared" si="19"/>
        <v>3.8391000000000002E-2</v>
      </c>
      <c r="AD215" s="8">
        <f t="shared" si="20"/>
        <v>8.2191780821917804E-2</v>
      </c>
      <c r="AE215">
        <f t="shared" si="21"/>
        <v>0.53499329566239207</v>
      </c>
      <c r="AF215">
        <f t="shared" si="22"/>
        <v>-0.46500670433760793</v>
      </c>
      <c r="AG215">
        <f t="shared" si="23"/>
        <v>6.9986591324784131E-2</v>
      </c>
    </row>
    <row r="216" spans="1:33" x14ac:dyDescent="0.25">
      <c r="A216" s="1">
        <v>45971</v>
      </c>
      <c r="B216">
        <v>6832.43</v>
      </c>
      <c r="C216">
        <v>6830</v>
      </c>
      <c r="D216" s="1">
        <v>45982</v>
      </c>
      <c r="E216" s="1">
        <v>46010</v>
      </c>
      <c r="F216">
        <v>30</v>
      </c>
      <c r="G216">
        <v>11</v>
      </c>
      <c r="H216">
        <v>39</v>
      </c>
      <c r="I216">
        <v>0.32142857142857145</v>
      </c>
      <c r="J216">
        <v>0.6785714285714286</v>
      </c>
      <c r="K216" t="s">
        <v>19</v>
      </c>
      <c r="L216" t="s">
        <v>750</v>
      </c>
      <c r="M216">
        <v>72.3</v>
      </c>
      <c r="N216">
        <v>69.2</v>
      </c>
      <c r="O216">
        <v>70.2</v>
      </c>
      <c r="P216">
        <v>69.7</v>
      </c>
      <c r="Q216" t="s">
        <v>21</v>
      </c>
      <c r="R216">
        <v>12.962999999999999</v>
      </c>
      <c r="S216" t="s">
        <v>751</v>
      </c>
      <c r="T216">
        <v>141.30000000000001</v>
      </c>
      <c r="U216">
        <v>144.1</v>
      </c>
      <c r="V216">
        <v>145.6</v>
      </c>
      <c r="W216">
        <v>144.85</v>
      </c>
      <c r="X216" t="s">
        <v>21</v>
      </c>
      <c r="Y216">
        <v>14.49</v>
      </c>
      <c r="Z216">
        <f t="shared" si="18"/>
        <v>13.999178571428573</v>
      </c>
      <c r="AA216">
        <v>0.14036607100000001</v>
      </c>
      <c r="AB216">
        <v>3.9453999999999998</v>
      </c>
      <c r="AC216">
        <f t="shared" si="19"/>
        <v>3.9453999999999996E-2</v>
      </c>
      <c r="AD216" s="8">
        <f t="shared" si="20"/>
        <v>8.2191780821917804E-2</v>
      </c>
      <c r="AE216">
        <f t="shared" si="21"/>
        <v>0.54361423979050427</v>
      </c>
      <c r="AF216">
        <f t="shared" si="22"/>
        <v>-0.45638576020949573</v>
      </c>
      <c r="AG216">
        <f t="shared" si="23"/>
        <v>8.7228479581008544E-2</v>
      </c>
    </row>
    <row r="217" spans="1:33" x14ac:dyDescent="0.25">
      <c r="A217" s="1">
        <v>45972</v>
      </c>
      <c r="B217">
        <v>6846.61</v>
      </c>
      <c r="C217">
        <v>6845</v>
      </c>
      <c r="D217" s="1">
        <v>45982</v>
      </c>
      <c r="E217" s="1">
        <v>46010</v>
      </c>
      <c r="F217">
        <v>30</v>
      </c>
      <c r="G217">
        <v>10</v>
      </c>
      <c r="H217">
        <v>38</v>
      </c>
      <c r="I217">
        <v>0.2857142857142857</v>
      </c>
      <c r="J217">
        <v>0.7142857142857143</v>
      </c>
      <c r="K217" t="s">
        <v>19</v>
      </c>
      <c r="L217" t="s">
        <v>752</v>
      </c>
      <c r="M217">
        <v>65.400000000000006</v>
      </c>
      <c r="N217">
        <v>64.400000000000006</v>
      </c>
      <c r="O217">
        <v>65.3</v>
      </c>
      <c r="P217">
        <v>64.849999999999994</v>
      </c>
      <c r="Q217" t="s">
        <v>21</v>
      </c>
      <c r="R217">
        <v>12.435</v>
      </c>
      <c r="S217" t="s">
        <v>753</v>
      </c>
      <c r="T217">
        <v>141.9</v>
      </c>
      <c r="U217">
        <v>142</v>
      </c>
      <c r="V217">
        <v>143.4</v>
      </c>
      <c r="W217">
        <v>142.69999999999999</v>
      </c>
      <c r="X217" t="s">
        <v>21</v>
      </c>
      <c r="Y217">
        <v>14.334</v>
      </c>
      <c r="Z217">
        <f t="shared" si="18"/>
        <v>13.791428571428572</v>
      </c>
      <c r="AA217">
        <v>0.138063571</v>
      </c>
      <c r="AB217">
        <v>3.9453999999999998</v>
      </c>
      <c r="AC217">
        <f t="shared" si="19"/>
        <v>3.9453999999999996E-2</v>
      </c>
      <c r="AD217" s="8">
        <f t="shared" si="20"/>
        <v>8.2191780821917804E-2</v>
      </c>
      <c r="AE217">
        <f t="shared" si="21"/>
        <v>0.54286701739095777</v>
      </c>
      <c r="AF217">
        <f t="shared" si="22"/>
        <v>-0.45713298260904223</v>
      </c>
      <c r="AG217">
        <f t="shared" si="23"/>
        <v>8.5734034781915547E-2</v>
      </c>
    </row>
    <row r="218" spans="1:33" x14ac:dyDescent="0.25">
      <c r="A218" s="1">
        <v>45973</v>
      </c>
      <c r="B218">
        <v>6850.92</v>
      </c>
      <c r="C218">
        <v>6850</v>
      </c>
      <c r="D218" s="1">
        <v>45982</v>
      </c>
      <c r="E218" s="1">
        <v>46010</v>
      </c>
      <c r="F218">
        <v>30</v>
      </c>
      <c r="G218">
        <v>9</v>
      </c>
      <c r="H218">
        <v>37</v>
      </c>
      <c r="I218">
        <v>0.25</v>
      </c>
      <c r="J218">
        <v>0.75</v>
      </c>
      <c r="K218" t="s">
        <v>19</v>
      </c>
      <c r="L218" t="s">
        <v>740</v>
      </c>
      <c r="M218">
        <v>62.97</v>
      </c>
      <c r="N218">
        <v>59.9</v>
      </c>
      <c r="O218">
        <v>61</v>
      </c>
      <c r="P218">
        <v>60.45</v>
      </c>
      <c r="Q218" t="s">
        <v>21</v>
      </c>
      <c r="R218">
        <v>12.741</v>
      </c>
      <c r="S218" t="s">
        <v>741</v>
      </c>
      <c r="T218">
        <v>142.07</v>
      </c>
      <c r="U218">
        <v>138.19999999999999</v>
      </c>
      <c r="V218">
        <v>139.9</v>
      </c>
      <c r="W218">
        <v>139.05000000000001</v>
      </c>
      <c r="X218" t="s">
        <v>21</v>
      </c>
      <c r="Y218">
        <v>14.388999999999999</v>
      </c>
      <c r="Z218">
        <f t="shared" si="18"/>
        <v>13.977</v>
      </c>
      <c r="AA218">
        <v>0.14136625</v>
      </c>
      <c r="AB218">
        <v>3.9321999999999999</v>
      </c>
      <c r="AC218">
        <f t="shared" si="19"/>
        <v>3.9321999999999996E-2</v>
      </c>
      <c r="AD218" s="8">
        <f t="shared" si="20"/>
        <v>8.2191780821917804E-2</v>
      </c>
      <c r="AE218">
        <f t="shared" si="21"/>
        <v>0.54114668617392225</v>
      </c>
      <c r="AF218">
        <f t="shared" si="22"/>
        <v>-0.45885331382607775</v>
      </c>
      <c r="AG218">
        <f t="shared" si="23"/>
        <v>8.2293372347844507E-2</v>
      </c>
    </row>
    <row r="219" spans="1:33" x14ac:dyDescent="0.25">
      <c r="A219" s="1">
        <v>45974</v>
      </c>
      <c r="B219">
        <v>6737.49</v>
      </c>
      <c r="C219">
        <v>6735</v>
      </c>
      <c r="D219" s="1">
        <v>45982</v>
      </c>
      <c r="E219" s="1">
        <v>46010</v>
      </c>
      <c r="F219">
        <v>30</v>
      </c>
      <c r="G219">
        <v>8</v>
      </c>
      <c r="H219">
        <v>36</v>
      </c>
      <c r="I219">
        <v>0.21428571428571427</v>
      </c>
      <c r="J219">
        <v>0.7857142857142857</v>
      </c>
      <c r="K219" t="s">
        <v>19</v>
      </c>
      <c r="L219" t="s">
        <v>719</v>
      </c>
      <c r="M219">
        <v>72</v>
      </c>
      <c r="N219">
        <v>72.400000000000006</v>
      </c>
      <c r="O219">
        <v>73.8</v>
      </c>
      <c r="P219">
        <v>73.099999999999994</v>
      </c>
      <c r="Q219" t="s">
        <v>21</v>
      </c>
      <c r="R219">
        <v>16.762</v>
      </c>
      <c r="S219" t="s">
        <v>726</v>
      </c>
      <c r="T219">
        <v>170.44</v>
      </c>
      <c r="U219">
        <v>152.6</v>
      </c>
      <c r="V219">
        <v>155.19999999999999</v>
      </c>
      <c r="W219">
        <v>153.89999999999998</v>
      </c>
      <c r="X219" t="s">
        <v>21</v>
      </c>
      <c r="Y219">
        <v>16.553000000000001</v>
      </c>
      <c r="Z219">
        <f t="shared" si="18"/>
        <v>16.597785714285713</v>
      </c>
      <c r="AA219">
        <v>0.16668714300000001</v>
      </c>
      <c r="AB219">
        <v>3.9445000000000001</v>
      </c>
      <c r="AC219">
        <f t="shared" si="19"/>
        <v>3.9445000000000001E-2</v>
      </c>
      <c r="AD219" s="8">
        <f t="shared" si="20"/>
        <v>8.2191780821917804E-2</v>
      </c>
      <c r="AE219">
        <f t="shared" si="21"/>
        <v>0.53961815785493139</v>
      </c>
      <c r="AF219">
        <f t="shared" si="22"/>
        <v>-0.46038184214506861</v>
      </c>
      <c r="AG219">
        <f t="shared" si="23"/>
        <v>7.9236315709862781E-2</v>
      </c>
    </row>
    <row r="220" spans="1:33" x14ac:dyDescent="0.25">
      <c r="A220" s="1">
        <v>45975</v>
      </c>
      <c r="B220">
        <v>6734.11</v>
      </c>
      <c r="C220">
        <v>6735</v>
      </c>
      <c r="D220" s="1">
        <v>45982</v>
      </c>
      <c r="E220" s="1">
        <v>46010</v>
      </c>
      <c r="F220">
        <v>30</v>
      </c>
      <c r="G220">
        <v>7</v>
      </c>
      <c r="H220">
        <v>35</v>
      </c>
      <c r="I220">
        <v>0.17857142857142858</v>
      </c>
      <c r="J220">
        <v>0.8214285714285714</v>
      </c>
      <c r="K220" t="s">
        <v>19</v>
      </c>
      <c r="L220" t="s">
        <v>719</v>
      </c>
      <c r="M220">
        <v>67.09</v>
      </c>
      <c r="N220">
        <v>68</v>
      </c>
      <c r="O220">
        <v>69.400000000000006</v>
      </c>
      <c r="P220">
        <v>68.7</v>
      </c>
      <c r="Q220" t="s">
        <v>21</v>
      </c>
      <c r="R220">
        <v>16.824999999999999</v>
      </c>
      <c r="S220" t="s">
        <v>726</v>
      </c>
      <c r="T220">
        <v>161.9</v>
      </c>
      <c r="U220">
        <v>150.4</v>
      </c>
      <c r="V220">
        <v>153.1</v>
      </c>
      <c r="W220">
        <v>151.75</v>
      </c>
      <c r="X220" t="s">
        <v>21</v>
      </c>
      <c r="Y220">
        <v>16.481000000000002</v>
      </c>
      <c r="Z220">
        <f t="shared" si="18"/>
        <v>16.542428571428573</v>
      </c>
      <c r="AA220">
        <v>0.16598142900000001</v>
      </c>
      <c r="AB220">
        <v>3.9054000000000002</v>
      </c>
      <c r="AC220">
        <f t="shared" si="19"/>
        <v>3.9054000000000005E-2</v>
      </c>
      <c r="AD220" s="8">
        <f t="shared" si="20"/>
        <v>8.2191780821917804E-2</v>
      </c>
      <c r="AE220">
        <f t="shared" si="21"/>
        <v>0.53524900844988066</v>
      </c>
      <c r="AF220">
        <f t="shared" si="22"/>
        <v>-0.46475099155011934</v>
      </c>
      <c r="AG220">
        <f t="shared" si="23"/>
        <v>7.0498016899761318E-2</v>
      </c>
    </row>
    <row r="221" spans="1:33" x14ac:dyDescent="0.25">
      <c r="A221" s="1">
        <v>45978</v>
      </c>
      <c r="B221">
        <v>6672.41</v>
      </c>
      <c r="C221">
        <v>6670</v>
      </c>
      <c r="D221" s="1">
        <v>45982</v>
      </c>
      <c r="E221" s="1">
        <v>46010</v>
      </c>
      <c r="F221">
        <v>30</v>
      </c>
      <c r="G221">
        <v>4</v>
      </c>
      <c r="H221">
        <v>32</v>
      </c>
      <c r="I221">
        <v>7.1428571428571425E-2</v>
      </c>
      <c r="J221">
        <v>0.9285714285714286</v>
      </c>
      <c r="K221" t="s">
        <v>19</v>
      </c>
      <c r="L221" t="s">
        <v>723</v>
      </c>
      <c r="M221">
        <v>65.599999999999994</v>
      </c>
      <c r="N221">
        <v>67.599999999999994</v>
      </c>
      <c r="O221">
        <v>68.5</v>
      </c>
      <c r="P221">
        <v>68.05</v>
      </c>
      <c r="Q221" t="s">
        <v>21</v>
      </c>
      <c r="R221">
        <v>19.116</v>
      </c>
      <c r="S221" t="s">
        <v>754</v>
      </c>
      <c r="T221">
        <v>156.56</v>
      </c>
      <c r="U221">
        <v>157.19999999999999</v>
      </c>
      <c r="V221">
        <v>158.9</v>
      </c>
      <c r="W221">
        <v>158.05000000000001</v>
      </c>
      <c r="X221" t="s">
        <v>21</v>
      </c>
      <c r="Y221">
        <v>17.922000000000001</v>
      </c>
      <c r="Z221">
        <f t="shared" si="18"/>
        <v>18.007285714285715</v>
      </c>
      <c r="AA221">
        <v>0.18066928600000001</v>
      </c>
      <c r="AB221">
        <v>3.9483000000000001</v>
      </c>
      <c r="AC221">
        <f t="shared" si="19"/>
        <v>3.9483000000000004E-2</v>
      </c>
      <c r="AD221" s="8">
        <f t="shared" si="20"/>
        <v>8.2191780821917804E-2</v>
      </c>
      <c r="AE221">
        <f t="shared" si="21"/>
        <v>0.53805123690826995</v>
      </c>
      <c r="AF221">
        <f t="shared" si="22"/>
        <v>-0.46194876309173005</v>
      </c>
      <c r="AG221">
        <f t="shared" si="23"/>
        <v>7.6102473816539895E-2</v>
      </c>
    </row>
    <row r="222" spans="1:33" x14ac:dyDescent="0.25">
      <c r="A222" s="1">
        <v>45979</v>
      </c>
      <c r="B222">
        <v>6617.32</v>
      </c>
      <c r="C222">
        <v>6615</v>
      </c>
      <c r="D222" s="1">
        <v>45982</v>
      </c>
      <c r="E222" s="1">
        <v>46010</v>
      </c>
      <c r="F222">
        <v>30</v>
      </c>
      <c r="G222">
        <v>3</v>
      </c>
      <c r="H222">
        <v>31</v>
      </c>
      <c r="I222">
        <v>3.5714285714285712E-2</v>
      </c>
      <c r="J222">
        <v>0.9642857142857143</v>
      </c>
      <c r="K222" t="s">
        <v>19</v>
      </c>
      <c r="L222" t="s">
        <v>755</v>
      </c>
      <c r="M222">
        <v>60.37</v>
      </c>
      <c r="N222">
        <v>57.9</v>
      </c>
      <c r="O222">
        <v>59</v>
      </c>
      <c r="P222">
        <v>58.45</v>
      </c>
      <c r="Q222" t="s">
        <v>21</v>
      </c>
      <c r="R222">
        <v>22.120999999999999</v>
      </c>
      <c r="S222" t="s">
        <v>756</v>
      </c>
      <c r="T222">
        <v>165</v>
      </c>
      <c r="U222">
        <v>157.4</v>
      </c>
      <c r="V222">
        <v>159.5</v>
      </c>
      <c r="W222">
        <v>158.44999999999999</v>
      </c>
      <c r="X222" t="s">
        <v>21</v>
      </c>
      <c r="Y222">
        <v>19.593</v>
      </c>
      <c r="Z222">
        <f t="shared" si="18"/>
        <v>19.683285714285716</v>
      </c>
      <c r="AA222">
        <v>0.19662375000000001</v>
      </c>
      <c r="AB222">
        <v>3.9275000000000002</v>
      </c>
      <c r="AC222">
        <f t="shared" si="19"/>
        <v>3.9275000000000004E-2</v>
      </c>
      <c r="AD222" s="8">
        <f t="shared" si="20"/>
        <v>8.2191780821917804E-2</v>
      </c>
      <c r="AE222">
        <f t="shared" si="21"/>
        <v>0.53652044377267272</v>
      </c>
      <c r="AF222">
        <f t="shared" si="22"/>
        <v>-0.46347955622732728</v>
      </c>
      <c r="AG222">
        <f t="shared" si="23"/>
        <v>7.3040887545345434E-2</v>
      </c>
    </row>
    <row r="223" spans="1:33" x14ac:dyDescent="0.25">
      <c r="A223" s="1">
        <v>45980</v>
      </c>
      <c r="B223">
        <v>6642.16</v>
      </c>
      <c r="C223">
        <v>6640</v>
      </c>
      <c r="D223" s="1">
        <v>45982</v>
      </c>
      <c r="E223" s="1">
        <v>46010</v>
      </c>
      <c r="F223">
        <v>30</v>
      </c>
      <c r="G223">
        <v>2</v>
      </c>
      <c r="H223">
        <v>30</v>
      </c>
      <c r="I223">
        <v>0</v>
      </c>
      <c r="J223">
        <v>1</v>
      </c>
      <c r="K223" t="s">
        <v>19</v>
      </c>
      <c r="L223" t="s">
        <v>702</v>
      </c>
      <c r="M223">
        <v>50.9</v>
      </c>
      <c r="N223">
        <v>67.7</v>
      </c>
      <c r="O223">
        <v>68.900000000000006</v>
      </c>
      <c r="P223">
        <v>68.300000000000011</v>
      </c>
      <c r="Q223" t="s">
        <v>21</v>
      </c>
      <c r="R223">
        <v>22.905000000000001</v>
      </c>
      <c r="S223" t="s">
        <v>757</v>
      </c>
      <c r="T223">
        <v>154</v>
      </c>
      <c r="U223">
        <v>170.9</v>
      </c>
      <c r="V223">
        <v>173.6</v>
      </c>
      <c r="W223">
        <v>172.25</v>
      </c>
      <c r="X223" t="s">
        <v>21</v>
      </c>
      <c r="Y223">
        <v>19.074000000000002</v>
      </c>
      <c r="Z223">
        <f t="shared" si="18"/>
        <v>19.074000000000002</v>
      </c>
      <c r="AA223">
        <v>0.191635</v>
      </c>
      <c r="AB223">
        <v>3.9195000000000002</v>
      </c>
      <c r="AC223">
        <f t="shared" si="19"/>
        <v>3.9195000000000001E-2</v>
      </c>
      <c r="AD223" s="8">
        <f t="shared" si="20"/>
        <v>8.2191780821917804E-2</v>
      </c>
      <c r="AE223">
        <f t="shared" si="21"/>
        <v>0.53666164709837072</v>
      </c>
      <c r="AF223">
        <f t="shared" si="22"/>
        <v>-0.46333835290162928</v>
      </c>
      <c r="AG223">
        <f t="shared" si="23"/>
        <v>7.332329419674144E-2</v>
      </c>
    </row>
    <row r="224" spans="1:33" x14ac:dyDescent="0.25">
      <c r="A224" s="1">
        <v>45981</v>
      </c>
      <c r="B224">
        <v>6538.76</v>
      </c>
      <c r="C224">
        <v>6540</v>
      </c>
      <c r="D224" s="1">
        <v>45982</v>
      </c>
      <c r="E224" s="1">
        <v>46010</v>
      </c>
      <c r="F224">
        <v>30</v>
      </c>
      <c r="G224">
        <v>1</v>
      </c>
      <c r="H224">
        <v>29</v>
      </c>
      <c r="I224">
        <v>0</v>
      </c>
      <c r="J224">
        <v>1</v>
      </c>
      <c r="K224" t="s">
        <v>19</v>
      </c>
      <c r="L224" t="s">
        <v>758</v>
      </c>
      <c r="M224">
        <v>30.65</v>
      </c>
      <c r="N224">
        <v>26.6</v>
      </c>
      <c r="O224">
        <v>28.1</v>
      </c>
      <c r="P224">
        <v>27.35</v>
      </c>
      <c r="Q224" t="s">
        <v>21</v>
      </c>
      <c r="R224">
        <v>22.518999999999998</v>
      </c>
      <c r="S224" t="s">
        <v>759</v>
      </c>
      <c r="T224">
        <v>281.81</v>
      </c>
      <c r="U224">
        <v>162.1</v>
      </c>
      <c r="V224">
        <v>165.4</v>
      </c>
      <c r="W224">
        <v>163.75</v>
      </c>
      <c r="X224" t="s">
        <v>21</v>
      </c>
      <c r="Y224">
        <v>21.553000000000001</v>
      </c>
      <c r="Z224">
        <f t="shared" si="18"/>
        <v>21.553000000000001</v>
      </c>
      <c r="AA224">
        <v>0.21582499999999999</v>
      </c>
      <c r="AB224">
        <v>3.9266999999999999</v>
      </c>
      <c r="AC224">
        <f t="shared" si="19"/>
        <v>3.9266999999999996E-2</v>
      </c>
      <c r="AD224" s="8">
        <f t="shared" si="20"/>
        <v>8.2191780821917804E-2</v>
      </c>
      <c r="AE224">
        <f t="shared" si="21"/>
        <v>0.5318946124897056</v>
      </c>
      <c r="AF224">
        <f t="shared" si="22"/>
        <v>-0.4681053875102944</v>
      </c>
      <c r="AG224">
        <f t="shared" si="23"/>
        <v>6.3789224979411197E-2</v>
      </c>
    </row>
    <row r="225" spans="1:33" x14ac:dyDescent="0.25">
      <c r="A225" s="1">
        <v>45982</v>
      </c>
      <c r="B225">
        <v>6602.99</v>
      </c>
      <c r="C225">
        <v>6605</v>
      </c>
      <c r="D225" s="1">
        <v>46010</v>
      </c>
      <c r="E225" s="1">
        <v>46038</v>
      </c>
      <c r="F225">
        <v>30</v>
      </c>
      <c r="G225">
        <v>28</v>
      </c>
      <c r="H225">
        <v>56</v>
      </c>
      <c r="I225">
        <v>0.9285714285714286</v>
      </c>
      <c r="J225">
        <v>7.1428571428571425E-2</v>
      </c>
      <c r="K225" t="s">
        <v>19</v>
      </c>
      <c r="L225" t="s">
        <v>760</v>
      </c>
      <c r="M225">
        <v>150.71</v>
      </c>
      <c r="N225">
        <v>152</v>
      </c>
      <c r="O225">
        <v>154.6</v>
      </c>
      <c r="P225">
        <v>153.30000000000001</v>
      </c>
      <c r="Q225" t="s">
        <v>21</v>
      </c>
      <c r="R225">
        <v>19.463999999999999</v>
      </c>
      <c r="S225" t="s">
        <v>761</v>
      </c>
      <c r="T225">
        <v>205.1</v>
      </c>
      <c r="U225">
        <v>213.1</v>
      </c>
      <c r="V225">
        <v>216.3</v>
      </c>
      <c r="W225">
        <v>214.7</v>
      </c>
      <c r="X225" t="s">
        <v>21</v>
      </c>
      <c r="Y225">
        <v>18.731999999999999</v>
      </c>
      <c r="Z225">
        <f t="shared" si="18"/>
        <v>19.411714285714286</v>
      </c>
      <c r="AA225">
        <v>0.194856786</v>
      </c>
      <c r="AB225">
        <v>3.9182000000000001</v>
      </c>
      <c r="AC225">
        <f t="shared" si="19"/>
        <v>3.9182000000000002E-2</v>
      </c>
      <c r="AD225" s="8">
        <f t="shared" si="20"/>
        <v>8.2191780821917804E-2</v>
      </c>
      <c r="AE225">
        <f t="shared" si="21"/>
        <v>0.53193374646586267</v>
      </c>
      <c r="AF225">
        <f t="shared" si="22"/>
        <v>-0.46806625353413733</v>
      </c>
      <c r="AG225">
        <f t="shared" si="23"/>
        <v>6.3867492931725334E-2</v>
      </c>
    </row>
    <row r="226" spans="1:33" x14ac:dyDescent="0.25">
      <c r="A226" s="1">
        <v>45985</v>
      </c>
      <c r="B226">
        <v>6705.12</v>
      </c>
      <c r="C226">
        <v>6705</v>
      </c>
      <c r="D226" s="1">
        <v>46010</v>
      </c>
      <c r="E226" s="1">
        <v>46038</v>
      </c>
      <c r="F226">
        <v>30</v>
      </c>
      <c r="G226">
        <v>25</v>
      </c>
      <c r="H226">
        <v>53</v>
      </c>
      <c r="I226">
        <v>0.8214285714285714</v>
      </c>
      <c r="J226">
        <v>0.17857142857142858</v>
      </c>
      <c r="K226" t="s">
        <v>19</v>
      </c>
      <c r="L226" t="s">
        <v>762</v>
      </c>
      <c r="M226">
        <v>129.30000000000001</v>
      </c>
      <c r="N226">
        <v>126.3</v>
      </c>
      <c r="O226">
        <v>128.5</v>
      </c>
      <c r="P226">
        <v>127.4</v>
      </c>
      <c r="Q226" t="s">
        <v>21</v>
      </c>
      <c r="R226">
        <v>16.523</v>
      </c>
      <c r="S226" t="s">
        <v>763</v>
      </c>
      <c r="T226">
        <v>189.9</v>
      </c>
      <c r="U226">
        <v>187.7</v>
      </c>
      <c r="V226">
        <v>190.3</v>
      </c>
      <c r="W226">
        <v>189</v>
      </c>
      <c r="X226" t="s">
        <v>21</v>
      </c>
      <c r="Y226">
        <v>16.568999999999999</v>
      </c>
      <c r="Z226">
        <f t="shared" si="18"/>
        <v>16.531214285714285</v>
      </c>
      <c r="AA226">
        <v>0.16532125</v>
      </c>
      <c r="AB226">
        <v>3.956</v>
      </c>
      <c r="AC226">
        <f t="shared" si="19"/>
        <v>3.9559999999999998E-2</v>
      </c>
      <c r="AD226" s="8">
        <f t="shared" si="20"/>
        <v>8.2191780821917804E-2</v>
      </c>
      <c r="AE226">
        <f t="shared" si="21"/>
        <v>0.53692049548268406</v>
      </c>
      <c r="AF226">
        <f t="shared" si="22"/>
        <v>-0.46307950451731594</v>
      </c>
      <c r="AG226">
        <f t="shared" si="23"/>
        <v>7.3840990965368114E-2</v>
      </c>
    </row>
    <row r="227" spans="1:33" x14ac:dyDescent="0.25">
      <c r="A227" s="1">
        <v>45986</v>
      </c>
      <c r="B227">
        <v>6765.88</v>
      </c>
      <c r="C227">
        <v>6765</v>
      </c>
      <c r="D227" s="1">
        <v>46010</v>
      </c>
      <c r="E227" s="1">
        <v>46038</v>
      </c>
      <c r="F227">
        <v>30</v>
      </c>
      <c r="G227">
        <v>24</v>
      </c>
      <c r="H227">
        <v>52</v>
      </c>
      <c r="I227">
        <v>0.7857142857142857</v>
      </c>
      <c r="J227">
        <v>0.21428571428571427</v>
      </c>
      <c r="K227" t="s">
        <v>19</v>
      </c>
      <c r="L227" t="s">
        <v>764</v>
      </c>
      <c r="M227">
        <v>113.28</v>
      </c>
      <c r="N227">
        <v>111.5</v>
      </c>
      <c r="O227">
        <v>112.9</v>
      </c>
      <c r="P227">
        <v>112.2</v>
      </c>
      <c r="Q227" t="s">
        <v>21</v>
      </c>
      <c r="R227">
        <v>14.941000000000001</v>
      </c>
      <c r="S227" t="s">
        <v>765</v>
      </c>
      <c r="T227">
        <v>163.44</v>
      </c>
      <c r="U227">
        <v>173.6</v>
      </c>
      <c r="V227">
        <v>175.3</v>
      </c>
      <c r="W227">
        <v>174.45</v>
      </c>
      <c r="X227" t="s">
        <v>21</v>
      </c>
      <c r="Y227">
        <v>15.433</v>
      </c>
      <c r="Z227">
        <f t="shared" si="18"/>
        <v>15.046428571428571</v>
      </c>
      <c r="AA227">
        <v>0.15033428600000001</v>
      </c>
      <c r="AB227">
        <v>3.9529999999999998</v>
      </c>
      <c r="AC227">
        <f t="shared" si="19"/>
        <v>3.9529999999999996E-2</v>
      </c>
      <c r="AD227" s="8">
        <f t="shared" si="20"/>
        <v>8.2191780821917804E-2</v>
      </c>
      <c r="AE227">
        <f t="shared" si="21"/>
        <v>0.53980893224299065</v>
      </c>
      <c r="AF227">
        <f t="shared" si="22"/>
        <v>-0.46019106775700935</v>
      </c>
      <c r="AG227">
        <f t="shared" si="23"/>
        <v>7.9617864485981293E-2</v>
      </c>
    </row>
    <row r="228" spans="1:33" x14ac:dyDescent="0.25">
      <c r="A228" s="1">
        <v>45987</v>
      </c>
      <c r="B228">
        <v>6812.61</v>
      </c>
      <c r="C228">
        <v>6815</v>
      </c>
      <c r="D228" s="1">
        <v>46010</v>
      </c>
      <c r="E228" s="1">
        <v>46038</v>
      </c>
      <c r="F228">
        <v>30</v>
      </c>
      <c r="G228">
        <v>23</v>
      </c>
      <c r="H228">
        <v>51</v>
      </c>
      <c r="I228">
        <v>0.75</v>
      </c>
      <c r="J228">
        <v>0.25</v>
      </c>
      <c r="K228" t="s">
        <v>19</v>
      </c>
      <c r="L228" t="s">
        <v>766</v>
      </c>
      <c r="M228">
        <v>108.53</v>
      </c>
      <c r="N228">
        <v>102.9</v>
      </c>
      <c r="O228">
        <v>104.4</v>
      </c>
      <c r="P228">
        <v>103.65</v>
      </c>
      <c r="Q228" t="s">
        <v>21</v>
      </c>
      <c r="R228">
        <v>14.131</v>
      </c>
      <c r="S228" t="s">
        <v>767</v>
      </c>
      <c r="T228" t="s">
        <v>21</v>
      </c>
      <c r="U228">
        <v>166.3</v>
      </c>
      <c r="V228">
        <v>168</v>
      </c>
      <c r="W228">
        <v>167.15</v>
      </c>
      <c r="X228" t="s">
        <v>21</v>
      </c>
      <c r="Y228">
        <v>14.771000000000001</v>
      </c>
      <c r="Z228">
        <f t="shared" si="18"/>
        <v>14.291</v>
      </c>
      <c r="AA228">
        <v>0.14308499999999999</v>
      </c>
      <c r="AB228">
        <v>4.0030999999999999</v>
      </c>
      <c r="AC228">
        <f t="shared" si="19"/>
        <v>4.0030999999999997E-2</v>
      </c>
      <c r="AD228" s="8">
        <f t="shared" si="20"/>
        <v>8.2191780821917804E-2</v>
      </c>
      <c r="AE228">
        <f t="shared" si="21"/>
        <v>0.53671760680643188</v>
      </c>
      <c r="AF228">
        <f t="shared" si="22"/>
        <v>-0.46328239319356812</v>
      </c>
      <c r="AG228">
        <f t="shared" si="23"/>
        <v>7.3435213612863759E-2</v>
      </c>
    </row>
    <row r="229" spans="1:33" x14ac:dyDescent="0.25">
      <c r="A229" s="1">
        <v>45989</v>
      </c>
      <c r="B229">
        <v>6849.09</v>
      </c>
      <c r="C229">
        <v>6850</v>
      </c>
      <c r="D229" s="1">
        <v>46010</v>
      </c>
      <c r="E229" s="1">
        <v>46038</v>
      </c>
      <c r="F229">
        <v>30</v>
      </c>
      <c r="G229">
        <v>21</v>
      </c>
      <c r="H229">
        <v>49</v>
      </c>
      <c r="I229">
        <v>0.6785714285714286</v>
      </c>
      <c r="J229">
        <v>0.32142857142857145</v>
      </c>
      <c r="K229" t="s">
        <v>19</v>
      </c>
      <c r="L229" t="s">
        <v>741</v>
      </c>
      <c r="M229">
        <v>92.4</v>
      </c>
      <c r="N229">
        <v>92.1</v>
      </c>
      <c r="O229">
        <v>93.4</v>
      </c>
      <c r="P229">
        <v>92.75</v>
      </c>
      <c r="Q229" t="s">
        <v>21</v>
      </c>
      <c r="R229">
        <v>13.532999999999999</v>
      </c>
      <c r="S229" t="s">
        <v>768</v>
      </c>
      <c r="T229">
        <v>159</v>
      </c>
      <c r="U229">
        <v>155.19999999999999</v>
      </c>
      <c r="V229">
        <v>156.80000000000001</v>
      </c>
      <c r="W229">
        <v>156</v>
      </c>
      <c r="X229" t="s">
        <v>21</v>
      </c>
      <c r="Y229">
        <v>14.242000000000001</v>
      </c>
      <c r="Z229">
        <f t="shared" si="18"/>
        <v>13.760892857142856</v>
      </c>
      <c r="AA229">
        <v>0.13744321400000001</v>
      </c>
      <c r="AB229">
        <v>3.9079999999999999</v>
      </c>
      <c r="AC229">
        <f t="shared" si="19"/>
        <v>3.9079999999999997E-2</v>
      </c>
      <c r="AD229" s="8">
        <f t="shared" si="20"/>
        <v>8.2191780821917804E-2</v>
      </c>
      <c r="AE229">
        <f t="shared" si="21"/>
        <v>0.5389729921319697</v>
      </c>
      <c r="AF229">
        <f t="shared" si="22"/>
        <v>-0.4610270078680303</v>
      </c>
      <c r="AG229">
        <f t="shared" si="23"/>
        <v>7.7945984263939394E-2</v>
      </c>
    </row>
    <row r="230" spans="1:33" x14ac:dyDescent="0.25">
      <c r="A230" s="1">
        <v>45992</v>
      </c>
      <c r="B230">
        <v>6812.63</v>
      </c>
      <c r="C230">
        <v>6815</v>
      </c>
      <c r="D230" s="1">
        <v>46010</v>
      </c>
      <c r="E230" s="1">
        <v>46038</v>
      </c>
      <c r="F230">
        <v>30</v>
      </c>
      <c r="G230">
        <v>18</v>
      </c>
      <c r="H230">
        <v>46</v>
      </c>
      <c r="I230">
        <v>0.5714285714285714</v>
      </c>
      <c r="J230">
        <v>0.42857142857142855</v>
      </c>
      <c r="K230" t="s">
        <v>19</v>
      </c>
      <c r="L230" t="s">
        <v>766</v>
      </c>
      <c r="M230">
        <v>94.36</v>
      </c>
      <c r="N230">
        <v>92.9</v>
      </c>
      <c r="O230">
        <v>94.1</v>
      </c>
      <c r="P230">
        <v>93.5</v>
      </c>
      <c r="Q230" t="s">
        <v>21</v>
      </c>
      <c r="R230">
        <v>13.77</v>
      </c>
      <c r="S230" t="s">
        <v>767</v>
      </c>
      <c r="T230">
        <v>168.41</v>
      </c>
      <c r="U230">
        <v>157.19999999999999</v>
      </c>
      <c r="V230">
        <v>158.69999999999999</v>
      </c>
      <c r="W230">
        <v>157.94999999999999</v>
      </c>
      <c r="X230" t="s">
        <v>21</v>
      </c>
      <c r="Y230">
        <v>14.445</v>
      </c>
      <c r="Z230">
        <f t="shared" si="18"/>
        <v>14.059285714285714</v>
      </c>
      <c r="AA230">
        <v>0.14202714299999999</v>
      </c>
      <c r="AB230">
        <v>3.8820000000000001</v>
      </c>
      <c r="AC230">
        <f t="shared" si="19"/>
        <v>3.882E-2</v>
      </c>
      <c r="AD230" s="8">
        <f t="shared" si="20"/>
        <v>8.2191780821917804E-2</v>
      </c>
      <c r="AE230">
        <f t="shared" si="21"/>
        <v>0.53592688501018515</v>
      </c>
      <c r="AF230">
        <f t="shared" si="22"/>
        <v>-0.46407311498981485</v>
      </c>
      <c r="AG230">
        <f t="shared" si="23"/>
        <v>7.18537700203703E-2</v>
      </c>
    </row>
    <row r="231" spans="1:33" x14ac:dyDescent="0.25">
      <c r="A231" s="1">
        <v>45993</v>
      </c>
      <c r="B231">
        <v>6829.37</v>
      </c>
      <c r="C231">
        <v>6830</v>
      </c>
      <c r="D231" s="1">
        <v>46010</v>
      </c>
      <c r="E231" s="1">
        <v>46038</v>
      </c>
      <c r="F231">
        <v>30</v>
      </c>
      <c r="G231">
        <v>17</v>
      </c>
      <c r="H231">
        <v>45</v>
      </c>
      <c r="I231">
        <v>0.5357142857142857</v>
      </c>
      <c r="J231">
        <v>0.4642857142857143</v>
      </c>
      <c r="K231" t="s">
        <v>19</v>
      </c>
      <c r="L231" t="s">
        <v>751</v>
      </c>
      <c r="M231">
        <v>91.5</v>
      </c>
      <c r="N231">
        <v>87.5</v>
      </c>
      <c r="O231">
        <v>89</v>
      </c>
      <c r="P231">
        <v>88.25</v>
      </c>
      <c r="Q231" t="s">
        <v>21</v>
      </c>
      <c r="R231">
        <v>13.393000000000001</v>
      </c>
      <c r="S231" t="s">
        <v>769</v>
      </c>
      <c r="T231">
        <v>158</v>
      </c>
      <c r="U231">
        <v>153.6</v>
      </c>
      <c r="V231">
        <v>155.1</v>
      </c>
      <c r="W231">
        <v>154.35</v>
      </c>
      <c r="X231" t="s">
        <v>21</v>
      </c>
      <c r="Y231">
        <v>14.231</v>
      </c>
      <c r="Z231">
        <f t="shared" si="18"/>
        <v>13.782071428571429</v>
      </c>
      <c r="AA231">
        <v>0.13826160700000001</v>
      </c>
      <c r="AB231">
        <v>3.8102999999999998</v>
      </c>
      <c r="AC231">
        <f t="shared" si="19"/>
        <v>3.8102999999999998E-2</v>
      </c>
      <c r="AD231" s="8">
        <f t="shared" si="20"/>
        <v>8.2191780821917804E-2</v>
      </c>
      <c r="AE231">
        <f t="shared" si="21"/>
        <v>0.53843832808679304</v>
      </c>
      <c r="AF231">
        <f t="shared" si="22"/>
        <v>-0.46156167191320696</v>
      </c>
      <c r="AG231">
        <f t="shared" si="23"/>
        <v>7.6876656173586078E-2</v>
      </c>
    </row>
    <row r="232" spans="1:33" x14ac:dyDescent="0.25">
      <c r="A232" s="1">
        <v>45994</v>
      </c>
      <c r="B232">
        <v>6849.72</v>
      </c>
      <c r="C232">
        <v>6850</v>
      </c>
      <c r="D232" s="1">
        <v>46010</v>
      </c>
      <c r="E232" s="1">
        <v>46038</v>
      </c>
      <c r="F232">
        <v>30</v>
      </c>
      <c r="G232">
        <v>16</v>
      </c>
      <c r="H232">
        <v>44</v>
      </c>
      <c r="I232">
        <v>0.5</v>
      </c>
      <c r="J232">
        <v>0.5</v>
      </c>
      <c r="K232" t="s">
        <v>19</v>
      </c>
      <c r="L232" t="s">
        <v>741</v>
      </c>
      <c r="M232">
        <v>83.4</v>
      </c>
      <c r="N232">
        <v>83.3</v>
      </c>
      <c r="O232">
        <v>85</v>
      </c>
      <c r="P232">
        <v>84.15</v>
      </c>
      <c r="Q232" t="s">
        <v>21</v>
      </c>
      <c r="R232">
        <v>12.862</v>
      </c>
      <c r="S232" t="s">
        <v>768</v>
      </c>
      <c r="T232">
        <v>150.63</v>
      </c>
      <c r="U232">
        <v>150.5</v>
      </c>
      <c r="V232">
        <v>152.5</v>
      </c>
      <c r="W232">
        <v>151.5</v>
      </c>
      <c r="X232" t="s">
        <v>21</v>
      </c>
      <c r="Y232">
        <v>13.974</v>
      </c>
      <c r="Z232">
        <f t="shared" si="18"/>
        <v>13.417999999999999</v>
      </c>
      <c r="AA232">
        <v>0.13509499999999999</v>
      </c>
      <c r="AB232">
        <v>3.7462</v>
      </c>
      <c r="AC232">
        <f t="shared" si="19"/>
        <v>3.7462000000000002E-2</v>
      </c>
      <c r="AD232" s="8">
        <f t="shared" si="20"/>
        <v>8.2191780821917804E-2</v>
      </c>
      <c r="AE232">
        <f t="shared" si="21"/>
        <v>0.53895826724188356</v>
      </c>
      <c r="AF232">
        <f t="shared" si="22"/>
        <v>-0.46104173275811644</v>
      </c>
      <c r="AG232">
        <f t="shared" si="23"/>
        <v>7.7916534483767119E-2</v>
      </c>
    </row>
    <row r="233" spans="1:33" x14ac:dyDescent="0.25">
      <c r="A233" s="1">
        <v>45995</v>
      </c>
      <c r="B233">
        <v>6857.12</v>
      </c>
      <c r="C233">
        <v>6855</v>
      </c>
      <c r="D233" s="1">
        <v>46010</v>
      </c>
      <c r="E233" s="1">
        <v>46038</v>
      </c>
      <c r="F233">
        <v>30</v>
      </c>
      <c r="G233">
        <v>15</v>
      </c>
      <c r="H233">
        <v>43</v>
      </c>
      <c r="I233">
        <v>0.4642857142857143</v>
      </c>
      <c r="J233">
        <v>0.5357142857142857</v>
      </c>
      <c r="K233" t="s">
        <v>19</v>
      </c>
      <c r="L233" t="s">
        <v>770</v>
      </c>
      <c r="M233">
        <v>74.37</v>
      </c>
      <c r="N233">
        <v>76.400000000000006</v>
      </c>
      <c r="O233">
        <v>78</v>
      </c>
      <c r="P233">
        <v>77.2</v>
      </c>
      <c r="Q233" t="s">
        <v>21</v>
      </c>
      <c r="R233">
        <v>12.635999999999999</v>
      </c>
      <c r="S233" t="s">
        <v>771</v>
      </c>
      <c r="T233">
        <v>138.1</v>
      </c>
      <c r="U233">
        <v>143.6</v>
      </c>
      <c r="V233">
        <v>145.30000000000001</v>
      </c>
      <c r="W233">
        <v>144.44999999999999</v>
      </c>
      <c r="X233" t="s">
        <v>21</v>
      </c>
      <c r="Y233">
        <v>13.664999999999999</v>
      </c>
      <c r="Z233">
        <f t="shared" si="18"/>
        <v>13.187249999999999</v>
      </c>
      <c r="AA233">
        <v>0.132950179</v>
      </c>
      <c r="AB233">
        <v>3.7534000000000001</v>
      </c>
      <c r="AC233">
        <f t="shared" si="19"/>
        <v>3.7533999999999998E-2</v>
      </c>
      <c r="AD233" s="8">
        <f t="shared" si="20"/>
        <v>8.2191780821917804E-2</v>
      </c>
      <c r="AE233">
        <f t="shared" si="21"/>
        <v>0.54304496577456396</v>
      </c>
      <c r="AF233">
        <f t="shared" si="22"/>
        <v>-0.45695503422543604</v>
      </c>
      <c r="AG233">
        <f t="shared" si="23"/>
        <v>8.6089931549127918E-2</v>
      </c>
    </row>
    <row r="234" spans="1:33" x14ac:dyDescent="0.25">
      <c r="A234" s="1">
        <v>45996</v>
      </c>
      <c r="B234">
        <v>6870.4</v>
      </c>
      <c r="C234">
        <v>6870</v>
      </c>
      <c r="D234" s="1">
        <v>46010</v>
      </c>
      <c r="E234" s="1">
        <v>46038</v>
      </c>
      <c r="F234">
        <v>30</v>
      </c>
      <c r="G234">
        <v>14</v>
      </c>
      <c r="H234">
        <v>42</v>
      </c>
      <c r="I234">
        <v>0.42857142857142855</v>
      </c>
      <c r="J234">
        <v>0.5714285714285714</v>
      </c>
      <c r="K234" t="s">
        <v>19</v>
      </c>
      <c r="L234" t="s">
        <v>772</v>
      </c>
      <c r="M234">
        <v>71.27</v>
      </c>
      <c r="N234">
        <v>71</v>
      </c>
      <c r="O234">
        <v>72.5</v>
      </c>
      <c r="P234">
        <v>71.75</v>
      </c>
      <c r="Q234" t="s">
        <v>21</v>
      </c>
      <c r="R234">
        <v>12.243</v>
      </c>
      <c r="S234" t="s">
        <v>773</v>
      </c>
      <c r="T234">
        <v>140.55000000000001</v>
      </c>
      <c r="U234">
        <v>139</v>
      </c>
      <c r="V234">
        <v>140.69999999999999</v>
      </c>
      <c r="W234">
        <v>139.85</v>
      </c>
      <c r="X234" t="s">
        <v>21</v>
      </c>
      <c r="Y234">
        <v>13.417999999999999</v>
      </c>
      <c r="Z234">
        <f t="shared" si="18"/>
        <v>12.914428571428569</v>
      </c>
      <c r="AA234">
        <v>0.13020928600000001</v>
      </c>
      <c r="AB234">
        <v>3.6734</v>
      </c>
      <c r="AC234">
        <f t="shared" si="19"/>
        <v>3.6734000000000003E-2</v>
      </c>
      <c r="AD234" s="8">
        <f t="shared" si="20"/>
        <v>8.2191780821917804E-2</v>
      </c>
      <c r="AE234">
        <f t="shared" si="21"/>
        <v>0.54026623517353611</v>
      </c>
      <c r="AF234">
        <f t="shared" si="22"/>
        <v>-0.45973376482646389</v>
      </c>
      <c r="AG234">
        <f t="shared" si="23"/>
        <v>8.0532470347072227E-2</v>
      </c>
    </row>
    <row r="235" spans="1:33" x14ac:dyDescent="0.25">
      <c r="A235" s="1">
        <v>45999</v>
      </c>
      <c r="B235">
        <v>6846.51</v>
      </c>
      <c r="C235">
        <v>6845</v>
      </c>
      <c r="D235" s="1">
        <v>46010</v>
      </c>
      <c r="E235" s="1">
        <v>46038</v>
      </c>
      <c r="F235">
        <v>30</v>
      </c>
      <c r="G235">
        <v>11</v>
      </c>
      <c r="H235">
        <v>39</v>
      </c>
      <c r="I235">
        <v>0.32142857142857145</v>
      </c>
      <c r="J235">
        <v>0.6785714285714286</v>
      </c>
      <c r="K235" t="s">
        <v>19</v>
      </c>
      <c r="L235" t="s">
        <v>753</v>
      </c>
      <c r="M235">
        <v>72.06</v>
      </c>
      <c r="N235">
        <v>75.900000000000006</v>
      </c>
      <c r="O235">
        <v>77.3</v>
      </c>
      <c r="P235">
        <v>76.599999999999994</v>
      </c>
      <c r="Q235" t="s">
        <v>21</v>
      </c>
      <c r="R235">
        <v>13.053000000000001</v>
      </c>
      <c r="S235" t="s">
        <v>774</v>
      </c>
      <c r="T235" t="s">
        <v>21</v>
      </c>
      <c r="U235">
        <v>145.30000000000001</v>
      </c>
      <c r="V235">
        <v>146.69999999999999</v>
      </c>
      <c r="W235">
        <v>146</v>
      </c>
      <c r="X235" t="s">
        <v>21</v>
      </c>
      <c r="Y235">
        <v>13.898999999999999</v>
      </c>
      <c r="Z235">
        <f t="shared" si="18"/>
        <v>13.62707142857143</v>
      </c>
      <c r="AA235">
        <v>0.13725732099999999</v>
      </c>
      <c r="AB235">
        <v>3.7265000000000001</v>
      </c>
      <c r="AC235">
        <f t="shared" si="19"/>
        <v>3.7265E-2</v>
      </c>
      <c r="AD235" s="8">
        <f t="shared" si="20"/>
        <v>8.2191780821917804E-2</v>
      </c>
      <c r="AE235">
        <f t="shared" si="21"/>
        <v>0.54106474094032819</v>
      </c>
      <c r="AF235">
        <f t="shared" si="22"/>
        <v>-0.45893525905967181</v>
      </c>
      <c r="AG235">
        <f t="shared" si="23"/>
        <v>8.2129481880656385E-2</v>
      </c>
    </row>
    <row r="236" spans="1:33" x14ac:dyDescent="0.25">
      <c r="A236" s="1">
        <v>46000</v>
      </c>
      <c r="B236">
        <v>6840.51</v>
      </c>
      <c r="C236">
        <v>6840</v>
      </c>
      <c r="D236" s="1">
        <v>46010</v>
      </c>
      <c r="E236" s="1">
        <v>46038</v>
      </c>
      <c r="F236">
        <v>30</v>
      </c>
      <c r="G236">
        <v>10</v>
      </c>
      <c r="H236">
        <v>38</v>
      </c>
      <c r="I236">
        <v>0.2857142857142857</v>
      </c>
      <c r="J236">
        <v>0.7142857142857143</v>
      </c>
      <c r="K236" t="s">
        <v>19</v>
      </c>
      <c r="L236" t="s">
        <v>739</v>
      </c>
      <c r="M236">
        <v>67.09</v>
      </c>
      <c r="N236">
        <v>66.599999999999994</v>
      </c>
      <c r="O236">
        <v>67.900000000000006</v>
      </c>
      <c r="P236">
        <v>67.25</v>
      </c>
      <c r="Q236" t="s">
        <v>21</v>
      </c>
      <c r="R236">
        <v>13.292</v>
      </c>
      <c r="S236" t="s">
        <v>775</v>
      </c>
      <c r="T236">
        <v>141.9</v>
      </c>
      <c r="U236">
        <v>137.30000000000001</v>
      </c>
      <c r="V236">
        <v>138.6</v>
      </c>
      <c r="W236">
        <v>137.94999999999999</v>
      </c>
      <c r="X236" t="s">
        <v>21</v>
      </c>
      <c r="Y236">
        <v>14.019</v>
      </c>
      <c r="Z236">
        <f t="shared" si="18"/>
        <v>13.811285714285715</v>
      </c>
      <c r="AA236">
        <v>0.13932428599999999</v>
      </c>
      <c r="AB236">
        <v>3.7134</v>
      </c>
      <c r="AC236">
        <f t="shared" si="19"/>
        <v>3.7134E-2</v>
      </c>
      <c r="AD236" s="8">
        <f t="shared" si="20"/>
        <v>8.2191780821917804E-2</v>
      </c>
      <c r="AE236">
        <f t="shared" si="21"/>
        <v>0.53913299318870855</v>
      </c>
      <c r="AF236">
        <f t="shared" si="22"/>
        <v>-0.46086700681129145</v>
      </c>
      <c r="AG236">
        <f t="shared" si="23"/>
        <v>7.8265986377417107E-2</v>
      </c>
    </row>
    <row r="237" spans="1:33" x14ac:dyDescent="0.25">
      <c r="A237" s="1">
        <v>46001</v>
      </c>
      <c r="B237">
        <v>6886.68</v>
      </c>
      <c r="C237">
        <v>6885</v>
      </c>
      <c r="D237" s="1">
        <v>46010</v>
      </c>
      <c r="E237" s="1">
        <v>46038</v>
      </c>
      <c r="F237">
        <v>30</v>
      </c>
      <c r="G237">
        <v>9</v>
      </c>
      <c r="H237">
        <v>37</v>
      </c>
      <c r="I237">
        <v>0.25</v>
      </c>
      <c r="J237">
        <v>0.75</v>
      </c>
      <c r="K237" t="s">
        <v>19</v>
      </c>
      <c r="L237" t="s">
        <v>776</v>
      </c>
      <c r="M237">
        <v>57</v>
      </c>
      <c r="N237">
        <v>58.4</v>
      </c>
      <c r="O237">
        <v>59.7</v>
      </c>
      <c r="P237">
        <v>59.05</v>
      </c>
      <c r="Q237" t="s">
        <v>21</v>
      </c>
      <c r="R237">
        <v>12.188000000000001</v>
      </c>
      <c r="S237" t="s">
        <v>777</v>
      </c>
      <c r="T237">
        <v>134.53</v>
      </c>
      <c r="U237">
        <v>128.80000000000001</v>
      </c>
      <c r="V237">
        <v>130.30000000000001</v>
      </c>
      <c r="W237">
        <v>129.55000000000001</v>
      </c>
      <c r="X237" t="s">
        <v>21</v>
      </c>
      <c r="Y237">
        <v>12.86</v>
      </c>
      <c r="Z237">
        <f t="shared" si="18"/>
        <v>12.692</v>
      </c>
      <c r="AA237">
        <v>0.130055</v>
      </c>
      <c r="AB237">
        <v>3.6722999999999999</v>
      </c>
      <c r="AC237">
        <f t="shared" si="19"/>
        <v>3.6722999999999999E-2</v>
      </c>
      <c r="AD237" s="8">
        <f t="shared" si="20"/>
        <v>8.2191780821917804E-2</v>
      </c>
      <c r="AE237">
        <f t="shared" si="21"/>
        <v>0.54226352679939627</v>
      </c>
      <c r="AF237">
        <f t="shared" si="22"/>
        <v>-0.45773647320060373</v>
      </c>
      <c r="AG237">
        <f t="shared" si="23"/>
        <v>8.4527053598792534E-2</v>
      </c>
    </row>
    <row r="238" spans="1:33" x14ac:dyDescent="0.25">
      <c r="A238" s="1">
        <v>46002</v>
      </c>
      <c r="B238">
        <v>6901</v>
      </c>
      <c r="C238">
        <v>6900</v>
      </c>
      <c r="D238" s="1">
        <v>46010</v>
      </c>
      <c r="E238" s="1">
        <v>46038</v>
      </c>
      <c r="F238">
        <v>30</v>
      </c>
      <c r="G238">
        <v>8</v>
      </c>
      <c r="H238">
        <v>36</v>
      </c>
      <c r="I238">
        <v>0.21428571428571427</v>
      </c>
      <c r="J238">
        <v>0.7857142857142857</v>
      </c>
      <c r="K238" t="s">
        <v>19</v>
      </c>
      <c r="L238" t="s">
        <v>778</v>
      </c>
      <c r="M238">
        <v>53.78</v>
      </c>
      <c r="N238">
        <v>58.8</v>
      </c>
      <c r="O238">
        <v>60</v>
      </c>
      <c r="P238">
        <v>59.4</v>
      </c>
      <c r="Q238" t="s">
        <v>21</v>
      </c>
      <c r="R238">
        <v>11.044</v>
      </c>
      <c r="S238" t="s">
        <v>779</v>
      </c>
      <c r="T238">
        <v>118.02</v>
      </c>
      <c r="U238">
        <v>131.69999999999999</v>
      </c>
      <c r="V238">
        <v>133.5</v>
      </c>
      <c r="W238">
        <v>132.6</v>
      </c>
      <c r="X238" t="s">
        <v>21</v>
      </c>
      <c r="Y238">
        <v>12.574</v>
      </c>
      <c r="Z238">
        <f t="shared" si="18"/>
        <v>12.246142857142857</v>
      </c>
      <c r="AA238">
        <v>0.123478214</v>
      </c>
      <c r="AB238">
        <v>3.6795</v>
      </c>
      <c r="AC238">
        <f t="shared" si="19"/>
        <v>3.6795000000000001E-2</v>
      </c>
      <c r="AD238" s="8">
        <f t="shared" si="20"/>
        <v>8.2191780821917804E-2</v>
      </c>
      <c r="AE238">
        <f t="shared" si="21"/>
        <v>0.54269443555671537</v>
      </c>
      <c r="AF238">
        <f t="shared" si="22"/>
        <v>-0.45730556444328463</v>
      </c>
      <c r="AG238">
        <f t="shared" si="23"/>
        <v>8.5388871113430742E-2</v>
      </c>
    </row>
    <row r="239" spans="1:33" x14ac:dyDescent="0.25">
      <c r="A239" s="1">
        <v>46003</v>
      </c>
      <c r="B239">
        <v>6827.41</v>
      </c>
      <c r="C239">
        <v>6825</v>
      </c>
      <c r="D239" s="1">
        <v>46010</v>
      </c>
      <c r="E239" s="1">
        <v>46038</v>
      </c>
      <c r="F239">
        <v>30</v>
      </c>
      <c r="G239">
        <v>7</v>
      </c>
      <c r="H239">
        <v>35</v>
      </c>
      <c r="I239">
        <v>0.17857142857142858</v>
      </c>
      <c r="J239">
        <v>0.8214285714285714</v>
      </c>
      <c r="K239" t="s">
        <v>19</v>
      </c>
      <c r="L239" t="s">
        <v>780</v>
      </c>
      <c r="M239">
        <v>50.5</v>
      </c>
      <c r="N239">
        <v>50.6</v>
      </c>
      <c r="O239">
        <v>51.4</v>
      </c>
      <c r="P239">
        <v>51</v>
      </c>
      <c r="Q239" t="s">
        <v>21</v>
      </c>
      <c r="R239">
        <v>12.365</v>
      </c>
      <c r="S239" t="s">
        <v>781</v>
      </c>
      <c r="T239">
        <v>120</v>
      </c>
      <c r="U239">
        <v>124</v>
      </c>
      <c r="V239">
        <v>125.4</v>
      </c>
      <c r="W239">
        <v>124.7</v>
      </c>
      <c r="X239" t="s">
        <v>21</v>
      </c>
      <c r="Y239">
        <v>13.191000000000001</v>
      </c>
      <c r="Z239">
        <f t="shared" si="18"/>
        <v>13.0435</v>
      </c>
      <c r="AA239">
        <v>0.13106553600000001</v>
      </c>
      <c r="AB239">
        <v>3.6377000000000002</v>
      </c>
      <c r="AC239">
        <f t="shared" si="19"/>
        <v>3.6377E-2</v>
      </c>
      <c r="AD239" s="8">
        <f t="shared" si="20"/>
        <v>8.2191780821917804E-2</v>
      </c>
      <c r="AE239">
        <f t="shared" si="21"/>
        <v>0.54290461353616326</v>
      </c>
      <c r="AF239">
        <f t="shared" si="22"/>
        <v>-0.45709538646383674</v>
      </c>
      <c r="AG239">
        <f t="shared" si="23"/>
        <v>8.5809227072326522E-2</v>
      </c>
    </row>
    <row r="240" spans="1:33" x14ac:dyDescent="0.25">
      <c r="A240" s="1">
        <v>46006</v>
      </c>
      <c r="B240">
        <v>6816.51</v>
      </c>
      <c r="C240">
        <v>6815</v>
      </c>
      <c r="D240" s="1">
        <v>46010</v>
      </c>
      <c r="E240" s="1">
        <v>46038</v>
      </c>
      <c r="F240">
        <v>30</v>
      </c>
      <c r="G240">
        <v>4</v>
      </c>
      <c r="H240">
        <v>32</v>
      </c>
      <c r="I240">
        <v>7.1428571428571425E-2</v>
      </c>
      <c r="J240">
        <v>0.9285714285714286</v>
      </c>
      <c r="K240" t="s">
        <v>19</v>
      </c>
      <c r="L240" t="s">
        <v>766</v>
      </c>
      <c r="M240">
        <v>47.1</v>
      </c>
      <c r="N240">
        <v>44.2</v>
      </c>
      <c r="O240">
        <v>45.1</v>
      </c>
      <c r="P240">
        <v>44.650000000000006</v>
      </c>
      <c r="Q240" t="s">
        <v>21</v>
      </c>
      <c r="R240">
        <v>12.023999999999999</v>
      </c>
      <c r="S240" t="s">
        <v>767</v>
      </c>
      <c r="T240">
        <v>121.39</v>
      </c>
      <c r="U240">
        <v>121.3</v>
      </c>
      <c r="V240">
        <v>122.8</v>
      </c>
      <c r="W240">
        <v>122.05</v>
      </c>
      <c r="X240" t="s">
        <v>21</v>
      </c>
      <c r="Y240">
        <v>13.148999999999999</v>
      </c>
      <c r="Z240">
        <f t="shared" si="18"/>
        <v>13.068642857142857</v>
      </c>
      <c r="AA240">
        <v>0.13197642900000001</v>
      </c>
      <c r="AB240">
        <v>3.6703999999999999</v>
      </c>
      <c r="AC240">
        <f t="shared" si="19"/>
        <v>3.6704000000000001E-2</v>
      </c>
      <c r="AD240" s="8">
        <f t="shared" si="20"/>
        <v>8.2191780821917804E-2</v>
      </c>
      <c r="AE240">
        <f t="shared" si="21"/>
        <v>0.54161582378181861</v>
      </c>
      <c r="AF240">
        <f t="shared" si="22"/>
        <v>-0.45838417621818139</v>
      </c>
      <c r="AG240">
        <f t="shared" si="23"/>
        <v>8.3231647563637212E-2</v>
      </c>
    </row>
    <row r="241" spans="1:33" x14ac:dyDescent="0.25">
      <c r="A241" s="1">
        <v>46007</v>
      </c>
      <c r="B241">
        <v>6800.26</v>
      </c>
      <c r="C241">
        <v>6800</v>
      </c>
      <c r="D241" s="1">
        <v>46010</v>
      </c>
      <c r="E241" s="1">
        <v>46038</v>
      </c>
      <c r="F241">
        <v>30</v>
      </c>
      <c r="G241">
        <v>3</v>
      </c>
      <c r="H241">
        <v>31</v>
      </c>
      <c r="I241">
        <v>3.5714285714285712E-2</v>
      </c>
      <c r="J241">
        <v>0.9642857142857143</v>
      </c>
      <c r="K241" t="s">
        <v>19</v>
      </c>
      <c r="L241" t="s">
        <v>782</v>
      </c>
      <c r="M241">
        <v>31.9</v>
      </c>
      <c r="N241">
        <v>29.2</v>
      </c>
      <c r="O241">
        <v>30.3</v>
      </c>
      <c r="P241">
        <v>29.75</v>
      </c>
      <c r="Q241" t="s">
        <v>21</v>
      </c>
      <c r="R241">
        <v>11.516999999999999</v>
      </c>
      <c r="S241" t="s">
        <v>783</v>
      </c>
      <c r="T241">
        <v>113.25</v>
      </c>
      <c r="U241">
        <v>109.1</v>
      </c>
      <c r="V241">
        <v>111.3</v>
      </c>
      <c r="W241">
        <v>110.19999999999999</v>
      </c>
      <c r="X241" t="s">
        <v>21</v>
      </c>
      <c r="Y241">
        <v>13.122999999999999</v>
      </c>
      <c r="Z241">
        <f t="shared" si="18"/>
        <v>13.065642857142857</v>
      </c>
      <c r="AA241">
        <v>0.13223874999999999</v>
      </c>
      <c r="AB241">
        <v>3.6573000000000002</v>
      </c>
      <c r="AC241">
        <f t="shared" si="19"/>
        <v>3.6573000000000001E-2</v>
      </c>
      <c r="AD241" s="8">
        <f t="shared" si="20"/>
        <v>8.2191780821917804E-2</v>
      </c>
      <c r="AE241">
        <f t="shared" si="21"/>
        <v>0.53953166771363836</v>
      </c>
      <c r="AF241">
        <f t="shared" si="22"/>
        <v>-0.46046833228636164</v>
      </c>
      <c r="AG241">
        <f t="shared" si="23"/>
        <v>7.9063335427276726E-2</v>
      </c>
    </row>
    <row r="242" spans="1:33" x14ac:dyDescent="0.25">
      <c r="A242" s="1">
        <v>46008</v>
      </c>
      <c r="B242">
        <v>6721.43</v>
      </c>
      <c r="C242">
        <v>6720</v>
      </c>
      <c r="D242" s="1">
        <v>46010</v>
      </c>
      <c r="E242" s="1">
        <v>46038</v>
      </c>
      <c r="F242">
        <v>30</v>
      </c>
      <c r="G242">
        <v>2</v>
      </c>
      <c r="H242">
        <v>30</v>
      </c>
      <c r="I242">
        <v>0</v>
      </c>
      <c r="J242">
        <v>1</v>
      </c>
      <c r="K242" t="s">
        <v>19</v>
      </c>
      <c r="L242" t="s">
        <v>747</v>
      </c>
      <c r="M242">
        <v>43.9</v>
      </c>
      <c r="N242">
        <v>40.1</v>
      </c>
      <c r="O242">
        <v>41.6</v>
      </c>
      <c r="P242">
        <v>40.85</v>
      </c>
      <c r="Q242" t="s">
        <v>21</v>
      </c>
      <c r="R242">
        <v>14.949</v>
      </c>
      <c r="S242" t="s">
        <v>784</v>
      </c>
      <c r="T242">
        <v>126.2</v>
      </c>
      <c r="U242">
        <v>127.7</v>
      </c>
      <c r="V242">
        <v>130.4</v>
      </c>
      <c r="W242">
        <v>129.05000000000001</v>
      </c>
      <c r="X242" t="s">
        <v>21</v>
      </c>
      <c r="Y242">
        <v>14.901</v>
      </c>
      <c r="Z242">
        <f t="shared" si="18"/>
        <v>14.901</v>
      </c>
      <c r="AA242">
        <v>0.150005</v>
      </c>
      <c r="AB242">
        <v>3.6288999999999998</v>
      </c>
      <c r="AC242">
        <f t="shared" si="19"/>
        <v>3.6288999999999995E-2</v>
      </c>
      <c r="AD242" s="8">
        <f t="shared" si="20"/>
        <v>8.2191780821917804E-2</v>
      </c>
      <c r="AE242">
        <f t="shared" si="21"/>
        <v>0.53816272371087681</v>
      </c>
      <c r="AF242">
        <f t="shared" si="22"/>
        <v>-0.46183727628912319</v>
      </c>
      <c r="AG242">
        <f t="shared" si="23"/>
        <v>7.6325447421753623E-2</v>
      </c>
    </row>
    <row r="243" spans="1:33" x14ac:dyDescent="0.25">
      <c r="A243" s="1">
        <v>46009</v>
      </c>
      <c r="B243">
        <v>6774.76</v>
      </c>
      <c r="C243">
        <v>6775</v>
      </c>
      <c r="D243" s="1">
        <v>46010</v>
      </c>
      <c r="E243" s="1">
        <v>46038</v>
      </c>
      <c r="F243">
        <v>30</v>
      </c>
      <c r="G243">
        <v>1</v>
      </c>
      <c r="H243">
        <v>29</v>
      </c>
      <c r="I243">
        <v>0</v>
      </c>
      <c r="J243">
        <v>1</v>
      </c>
      <c r="K243" t="s">
        <v>19</v>
      </c>
      <c r="L243" t="s">
        <v>785</v>
      </c>
      <c r="M243">
        <v>13.6</v>
      </c>
      <c r="N243">
        <v>12.7</v>
      </c>
      <c r="O243">
        <v>14</v>
      </c>
      <c r="P243">
        <v>13.35</v>
      </c>
      <c r="Q243" t="s">
        <v>21</v>
      </c>
      <c r="R243">
        <v>12.289</v>
      </c>
      <c r="S243" t="s">
        <v>786</v>
      </c>
      <c r="T243">
        <v>109.1</v>
      </c>
      <c r="U243">
        <v>107.7</v>
      </c>
      <c r="V243">
        <v>109.4</v>
      </c>
      <c r="W243">
        <v>108.55000000000001</v>
      </c>
      <c r="X243" t="s">
        <v>21</v>
      </c>
      <c r="Y243">
        <v>13.746</v>
      </c>
      <c r="Z243">
        <f t="shared" si="18"/>
        <v>13.746</v>
      </c>
      <c r="AA243">
        <v>0.137185</v>
      </c>
      <c r="AB243">
        <v>3.5802</v>
      </c>
      <c r="AC243">
        <f t="shared" si="19"/>
        <v>3.5802E-2</v>
      </c>
      <c r="AD243" s="8">
        <f t="shared" si="20"/>
        <v>8.2191780821917804E-2</v>
      </c>
      <c r="AE243">
        <f t="shared" si="21"/>
        <v>0.53728005097263454</v>
      </c>
      <c r="AF243">
        <f t="shared" si="22"/>
        <v>-0.46271994902736546</v>
      </c>
      <c r="AG243">
        <f t="shared" si="23"/>
        <v>7.4560101945269075E-2</v>
      </c>
    </row>
    <row r="244" spans="1:33" x14ac:dyDescent="0.25">
      <c r="A244" s="1">
        <v>46010</v>
      </c>
      <c r="B244">
        <v>6834.5</v>
      </c>
      <c r="C244">
        <v>6835</v>
      </c>
      <c r="D244" s="1">
        <v>46038</v>
      </c>
      <c r="E244" s="1">
        <v>46073</v>
      </c>
      <c r="F244">
        <v>30</v>
      </c>
      <c r="G244">
        <v>28</v>
      </c>
      <c r="H244">
        <v>63</v>
      </c>
      <c r="I244">
        <v>0.94285714285714284</v>
      </c>
      <c r="J244">
        <v>5.7142857142857141E-2</v>
      </c>
      <c r="K244" t="s">
        <v>19</v>
      </c>
      <c r="L244" t="s">
        <v>787</v>
      </c>
      <c r="M244">
        <v>98.55</v>
      </c>
      <c r="N244">
        <v>98.9</v>
      </c>
      <c r="O244">
        <v>100.7</v>
      </c>
      <c r="P244">
        <v>99.800000000000011</v>
      </c>
      <c r="Q244" t="s">
        <v>21</v>
      </c>
      <c r="R244">
        <v>12.173999999999999</v>
      </c>
      <c r="S244" t="s">
        <v>788</v>
      </c>
      <c r="T244">
        <v>168</v>
      </c>
      <c r="U244">
        <v>168.6</v>
      </c>
      <c r="V244">
        <v>170.8</v>
      </c>
      <c r="W244">
        <v>169.7</v>
      </c>
      <c r="X244" t="s">
        <v>21</v>
      </c>
      <c r="Y244">
        <v>13.404</v>
      </c>
      <c r="Z244">
        <f t="shared" si="18"/>
        <v>12.244285714285713</v>
      </c>
      <c r="AA244">
        <v>0.12334714300000001</v>
      </c>
      <c r="AB244">
        <v>3.5867</v>
      </c>
      <c r="AC244">
        <f t="shared" si="19"/>
        <v>3.5867000000000003E-2</v>
      </c>
      <c r="AD244" s="8">
        <f t="shared" si="20"/>
        <v>8.2191780821917804E-2</v>
      </c>
      <c r="AE244">
        <f t="shared" si="21"/>
        <v>0.53942167093776927</v>
      </c>
      <c r="AF244">
        <f t="shared" si="22"/>
        <v>-0.46057832906223073</v>
      </c>
      <c r="AG244">
        <f t="shared" si="23"/>
        <v>7.8843341875538542E-2</v>
      </c>
    </row>
    <row r="245" spans="1:33" x14ac:dyDescent="0.25">
      <c r="A245" s="1">
        <v>46013</v>
      </c>
      <c r="B245">
        <v>6878.49</v>
      </c>
      <c r="C245">
        <v>6880</v>
      </c>
      <c r="D245" s="1">
        <v>46038</v>
      </c>
      <c r="E245" s="1">
        <v>46073</v>
      </c>
      <c r="F245">
        <v>30</v>
      </c>
      <c r="G245">
        <v>25</v>
      </c>
      <c r="H245">
        <v>60</v>
      </c>
      <c r="I245">
        <v>0.8571428571428571</v>
      </c>
      <c r="J245">
        <v>0.14285714285714285</v>
      </c>
      <c r="K245" t="s">
        <v>19</v>
      </c>
      <c r="L245" t="s">
        <v>789</v>
      </c>
      <c r="M245">
        <v>85.35</v>
      </c>
      <c r="N245">
        <v>85.2</v>
      </c>
      <c r="O245">
        <v>86.4</v>
      </c>
      <c r="P245">
        <v>85.800000000000011</v>
      </c>
      <c r="Q245" t="s">
        <v>21</v>
      </c>
      <c r="R245">
        <v>10.923999999999999</v>
      </c>
      <c r="S245" t="s">
        <v>790</v>
      </c>
      <c r="T245">
        <v>157.91999999999999</v>
      </c>
      <c r="U245">
        <v>156.5</v>
      </c>
      <c r="V245">
        <v>158.1</v>
      </c>
      <c r="W245">
        <v>157.30000000000001</v>
      </c>
      <c r="X245" t="s">
        <v>21</v>
      </c>
      <c r="Y245">
        <v>12.629</v>
      </c>
      <c r="Z245">
        <f t="shared" si="18"/>
        <v>11.167571428571428</v>
      </c>
      <c r="AA245">
        <v>0.11257642900000001</v>
      </c>
      <c r="AB245">
        <v>3.6219999999999999</v>
      </c>
      <c r="AC245">
        <f t="shared" si="19"/>
        <v>3.6220000000000002E-2</v>
      </c>
      <c r="AD245" s="8">
        <f t="shared" si="20"/>
        <v>8.2191780821917804E-2</v>
      </c>
      <c r="AE245">
        <f t="shared" si="21"/>
        <v>0.54045315752341216</v>
      </c>
      <c r="AF245">
        <f t="shared" si="22"/>
        <v>-0.45954684247658784</v>
      </c>
      <c r="AG245">
        <f t="shared" si="23"/>
        <v>8.0906315046824329E-2</v>
      </c>
    </row>
    <row r="246" spans="1:33" x14ac:dyDescent="0.25">
      <c r="A246" s="1">
        <v>46014</v>
      </c>
      <c r="B246">
        <v>6909.79</v>
      </c>
      <c r="C246">
        <v>6910</v>
      </c>
      <c r="D246" s="1">
        <v>46038</v>
      </c>
      <c r="E246" s="1">
        <v>46073</v>
      </c>
      <c r="F246">
        <v>30</v>
      </c>
      <c r="G246">
        <v>24</v>
      </c>
      <c r="H246">
        <v>59</v>
      </c>
      <c r="I246">
        <v>0.82857142857142863</v>
      </c>
      <c r="J246">
        <v>0.17142857142857143</v>
      </c>
      <c r="K246" t="s">
        <v>19</v>
      </c>
      <c r="L246" t="s">
        <v>791</v>
      </c>
      <c r="M246">
        <v>80.099999999999994</v>
      </c>
      <c r="N246">
        <v>80.400000000000006</v>
      </c>
      <c r="O246">
        <v>81.7</v>
      </c>
      <c r="P246">
        <v>81.050000000000011</v>
      </c>
      <c r="Q246" t="s">
        <v>21</v>
      </c>
      <c r="R246">
        <v>10.733000000000001</v>
      </c>
      <c r="S246" t="s">
        <v>792</v>
      </c>
      <c r="T246">
        <v>155.15</v>
      </c>
      <c r="U246">
        <v>154</v>
      </c>
      <c r="V246">
        <v>155.6</v>
      </c>
      <c r="W246">
        <v>154.80000000000001</v>
      </c>
      <c r="X246" t="s">
        <v>21</v>
      </c>
      <c r="Y246">
        <v>12.624000000000001</v>
      </c>
      <c r="Z246">
        <f t="shared" si="18"/>
        <v>11.057171428571429</v>
      </c>
      <c r="AA246">
        <v>0.111272</v>
      </c>
      <c r="AB246">
        <v>3.6139999999999999</v>
      </c>
      <c r="AC246">
        <f t="shared" si="19"/>
        <v>3.6139999999999999E-2</v>
      </c>
      <c r="AD246" s="8">
        <f t="shared" si="20"/>
        <v>8.2191780821917804E-2</v>
      </c>
      <c r="AE246">
        <f t="shared" si="21"/>
        <v>0.54304656667421936</v>
      </c>
      <c r="AF246">
        <f t="shared" si="22"/>
        <v>-0.45695343332578064</v>
      </c>
      <c r="AG246">
        <f t="shared" si="23"/>
        <v>8.6093133348438711E-2</v>
      </c>
    </row>
    <row r="247" spans="1:33" x14ac:dyDescent="0.25">
      <c r="A247" s="1">
        <v>46015</v>
      </c>
      <c r="B247">
        <v>6932.05</v>
      </c>
      <c r="C247">
        <v>6930</v>
      </c>
      <c r="D247" s="1">
        <v>46038</v>
      </c>
      <c r="E247" s="1">
        <v>46073</v>
      </c>
      <c r="F247">
        <v>30</v>
      </c>
      <c r="G247">
        <v>23</v>
      </c>
      <c r="H247">
        <v>58</v>
      </c>
      <c r="I247">
        <v>0.8</v>
      </c>
      <c r="J247">
        <v>0.2</v>
      </c>
      <c r="K247" t="s">
        <v>19</v>
      </c>
      <c r="L247" t="s">
        <v>793</v>
      </c>
      <c r="M247">
        <v>78.069999999999993</v>
      </c>
      <c r="N247">
        <v>78</v>
      </c>
      <c r="O247">
        <v>78.900000000000006</v>
      </c>
      <c r="P247">
        <v>78.45</v>
      </c>
      <c r="Q247" t="s">
        <v>21</v>
      </c>
      <c r="R247">
        <v>10.573</v>
      </c>
      <c r="S247" t="s">
        <v>794</v>
      </c>
      <c r="T247">
        <v>157.5</v>
      </c>
      <c r="U247">
        <v>153.6</v>
      </c>
      <c r="V247">
        <v>154.69999999999999</v>
      </c>
      <c r="W247">
        <v>154.14999999999998</v>
      </c>
      <c r="X247" t="s">
        <v>21</v>
      </c>
      <c r="Y247">
        <v>12.625999999999999</v>
      </c>
      <c r="Z247">
        <f t="shared" si="18"/>
        <v>10.983600000000001</v>
      </c>
      <c r="AA247">
        <v>0.110648</v>
      </c>
      <c r="AB247">
        <v>3.6057000000000001</v>
      </c>
      <c r="AC247">
        <f t="shared" si="19"/>
        <v>3.6056999999999999E-2</v>
      </c>
      <c r="AD247" s="8">
        <f t="shared" si="20"/>
        <v>8.2191780821917804E-2</v>
      </c>
      <c r="AE247">
        <f t="shared" si="21"/>
        <v>0.54720751118136612</v>
      </c>
      <c r="AF247">
        <f t="shared" si="22"/>
        <v>-0.45279248881863388</v>
      </c>
      <c r="AG247">
        <f t="shared" si="23"/>
        <v>9.4415022362732248E-2</v>
      </c>
    </row>
    <row r="248" spans="1:33" x14ac:dyDescent="0.25">
      <c r="A248" s="1">
        <v>46017</v>
      </c>
      <c r="B248">
        <v>6929.94</v>
      </c>
      <c r="C248">
        <v>6930</v>
      </c>
      <c r="D248" s="1">
        <v>46038</v>
      </c>
      <c r="E248" s="1">
        <v>46073</v>
      </c>
      <c r="F248">
        <v>30</v>
      </c>
      <c r="G248">
        <v>21</v>
      </c>
      <c r="H248">
        <v>56</v>
      </c>
      <c r="I248">
        <v>0.74285714285714288</v>
      </c>
      <c r="J248">
        <v>0.25714285714285712</v>
      </c>
      <c r="K248" t="s">
        <v>19</v>
      </c>
      <c r="L248" t="s">
        <v>793</v>
      </c>
      <c r="M248">
        <v>73.319999999999993</v>
      </c>
      <c r="N248">
        <v>72</v>
      </c>
      <c r="O248">
        <v>73.3</v>
      </c>
      <c r="P248">
        <v>72.650000000000006</v>
      </c>
      <c r="Q248" t="s">
        <v>21</v>
      </c>
      <c r="R248">
        <v>10.302</v>
      </c>
      <c r="S248" t="s">
        <v>794</v>
      </c>
      <c r="T248">
        <v>152.24</v>
      </c>
      <c r="U248">
        <v>149.4</v>
      </c>
      <c r="V248">
        <v>151</v>
      </c>
      <c r="W248">
        <v>150.19999999999999</v>
      </c>
      <c r="X248" t="s">
        <v>21</v>
      </c>
      <c r="Y248">
        <v>12.587999999999999</v>
      </c>
      <c r="Z248">
        <f t="shared" si="18"/>
        <v>10.889828571428572</v>
      </c>
      <c r="AA248">
        <v>0.109943286</v>
      </c>
      <c r="AB248">
        <v>3.5790000000000002</v>
      </c>
      <c r="AC248">
        <f t="shared" si="19"/>
        <v>3.5790000000000002E-2</v>
      </c>
      <c r="AD248" s="8">
        <f t="shared" si="20"/>
        <v>8.2191780821917804E-2</v>
      </c>
      <c r="AE248">
        <f t="shared" si="21"/>
        <v>0.54332426338524165</v>
      </c>
      <c r="AF248">
        <f t="shared" si="22"/>
        <v>-0.45667573661475835</v>
      </c>
      <c r="AG248">
        <f t="shared" si="23"/>
        <v>8.6648526770483292E-2</v>
      </c>
    </row>
    <row r="249" spans="1:33" x14ac:dyDescent="0.25">
      <c r="A249" s="1">
        <v>46020</v>
      </c>
      <c r="B249">
        <v>6905.74</v>
      </c>
      <c r="C249">
        <v>6905</v>
      </c>
      <c r="D249" s="1">
        <v>46038</v>
      </c>
      <c r="E249" s="1">
        <v>46073</v>
      </c>
      <c r="F249">
        <v>30</v>
      </c>
      <c r="G249">
        <v>18</v>
      </c>
      <c r="H249">
        <v>53</v>
      </c>
      <c r="I249">
        <v>0.65714285714285714</v>
      </c>
      <c r="J249">
        <v>0.34285714285714286</v>
      </c>
      <c r="K249" t="s">
        <v>19</v>
      </c>
      <c r="L249" t="s">
        <v>795</v>
      </c>
      <c r="M249">
        <v>72.599999999999994</v>
      </c>
      <c r="N249">
        <v>72.7</v>
      </c>
      <c r="O249">
        <v>73.900000000000006</v>
      </c>
      <c r="P249">
        <v>73.300000000000011</v>
      </c>
      <c r="Q249" t="s">
        <v>21</v>
      </c>
      <c r="R249">
        <v>10.443</v>
      </c>
      <c r="S249" t="s">
        <v>796</v>
      </c>
      <c r="T249">
        <v>152.18</v>
      </c>
      <c r="U249">
        <v>149.6</v>
      </c>
      <c r="V249">
        <v>151.19999999999999</v>
      </c>
      <c r="W249">
        <v>150.39999999999998</v>
      </c>
      <c r="X249" t="s">
        <v>21</v>
      </c>
      <c r="Y249">
        <v>12.581</v>
      </c>
      <c r="Z249">
        <f t="shared" si="18"/>
        <v>11.176028571428571</v>
      </c>
      <c r="AA249">
        <v>0.112261714</v>
      </c>
      <c r="AB249">
        <v>3.5939999999999999</v>
      </c>
      <c r="AC249">
        <f t="shared" si="19"/>
        <v>3.594E-2</v>
      </c>
      <c r="AD249" s="8">
        <f t="shared" si="20"/>
        <v>8.2191780821917804E-2</v>
      </c>
      <c r="AE249">
        <f t="shared" si="21"/>
        <v>0.54427291642906472</v>
      </c>
      <c r="AF249">
        <f t="shared" si="22"/>
        <v>-0.45572708357093528</v>
      </c>
      <c r="AG249">
        <f t="shared" si="23"/>
        <v>8.8545832858129447E-2</v>
      </c>
    </row>
    <row r="250" spans="1:33" x14ac:dyDescent="0.25">
      <c r="A250" s="1">
        <v>46021</v>
      </c>
      <c r="B250">
        <v>6896.24</v>
      </c>
      <c r="C250">
        <v>6895</v>
      </c>
      <c r="D250" s="1">
        <v>46038</v>
      </c>
      <c r="E250" s="1">
        <v>46073</v>
      </c>
      <c r="F250">
        <v>30</v>
      </c>
      <c r="G250">
        <v>17</v>
      </c>
      <c r="H250">
        <v>52</v>
      </c>
      <c r="I250">
        <v>0.62857142857142856</v>
      </c>
      <c r="J250">
        <v>0.37142857142857144</v>
      </c>
      <c r="K250" t="s">
        <v>19</v>
      </c>
      <c r="L250" t="s">
        <v>797</v>
      </c>
      <c r="M250">
        <v>72.569999999999993</v>
      </c>
      <c r="N250">
        <v>70.400000000000006</v>
      </c>
      <c r="O250">
        <v>71.8</v>
      </c>
      <c r="P250">
        <v>71.099999999999994</v>
      </c>
      <c r="Q250" t="s">
        <v>21</v>
      </c>
      <c r="R250">
        <v>10.625</v>
      </c>
      <c r="S250" t="s">
        <v>798</v>
      </c>
      <c r="T250">
        <v>152.31</v>
      </c>
      <c r="U250">
        <v>147.6</v>
      </c>
      <c r="V250">
        <v>149.4</v>
      </c>
      <c r="W250">
        <v>148.5</v>
      </c>
      <c r="X250" t="s">
        <v>21</v>
      </c>
      <c r="Y250">
        <v>12.68</v>
      </c>
      <c r="Z250">
        <f t="shared" si="18"/>
        <v>11.388285714285715</v>
      </c>
      <c r="AA250">
        <v>0.114773714</v>
      </c>
      <c r="AB250">
        <v>3.5274000000000001</v>
      </c>
      <c r="AC250">
        <f t="shared" si="19"/>
        <v>3.5274E-2</v>
      </c>
      <c r="AD250" s="8">
        <f t="shared" si="20"/>
        <v>8.2191780821917804E-2</v>
      </c>
      <c r="AE250">
        <f t="shared" si="21"/>
        <v>0.54380624810799083</v>
      </c>
      <c r="AF250">
        <f t="shared" si="22"/>
        <v>-0.45619375189200917</v>
      </c>
      <c r="AG250">
        <f t="shared" si="23"/>
        <v>8.7612496215981661E-2</v>
      </c>
    </row>
    <row r="251" spans="1:33" x14ac:dyDescent="0.25">
      <c r="A251" s="1">
        <v>46022</v>
      </c>
      <c r="B251">
        <v>6845.5</v>
      </c>
      <c r="C251">
        <v>6845</v>
      </c>
      <c r="D251" s="1">
        <v>46038</v>
      </c>
      <c r="E251" s="1">
        <v>46073</v>
      </c>
      <c r="F251">
        <v>30</v>
      </c>
      <c r="G251">
        <v>16</v>
      </c>
      <c r="H251">
        <v>51</v>
      </c>
      <c r="I251">
        <v>0.6</v>
      </c>
      <c r="J251">
        <v>0.4</v>
      </c>
      <c r="K251" t="s">
        <v>19</v>
      </c>
      <c r="L251" t="s">
        <v>774</v>
      </c>
      <c r="M251">
        <v>74.44</v>
      </c>
      <c r="N251">
        <v>71.5</v>
      </c>
      <c r="O251">
        <v>72.8</v>
      </c>
      <c r="P251">
        <v>72.150000000000006</v>
      </c>
      <c r="Q251" t="s">
        <v>21</v>
      </c>
      <c r="R251">
        <v>11.523</v>
      </c>
      <c r="S251" t="s">
        <v>799</v>
      </c>
      <c r="T251">
        <v>152</v>
      </c>
      <c r="U251">
        <v>147.4</v>
      </c>
      <c r="V251">
        <v>148.80000000000001</v>
      </c>
      <c r="W251">
        <v>148.10000000000002</v>
      </c>
      <c r="X251" t="s">
        <v>21</v>
      </c>
      <c r="Y251">
        <v>13.102</v>
      </c>
      <c r="Z251">
        <f t="shared" si="18"/>
        <v>12.154599999999999</v>
      </c>
      <c r="AA251">
        <v>0.122406</v>
      </c>
      <c r="AB251">
        <v>3.5903999999999998</v>
      </c>
      <c r="AC251">
        <f t="shared" si="19"/>
        <v>3.5903999999999998E-2</v>
      </c>
      <c r="AD251" s="8">
        <f t="shared" si="20"/>
        <v>8.2191780821917804E-2</v>
      </c>
      <c r="AE251">
        <f t="shared" si="21"/>
        <v>0.54130411361011666</v>
      </c>
      <c r="AF251">
        <f t="shared" si="22"/>
        <v>-0.45869588638988334</v>
      </c>
      <c r="AG251">
        <f t="shared" si="23"/>
        <v>8.260822722023331E-2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3EC8-54BD-4383-95DE-AA7D839796D6}">
  <dimension ref="A1:AA251"/>
  <sheetViews>
    <sheetView topLeftCell="F1" workbookViewId="0">
      <selection activeCell="AA1" sqref="AA1"/>
    </sheetView>
  </sheetViews>
  <sheetFormatPr defaultColWidth="9" defaultRowHeight="15" x14ac:dyDescent="0.25"/>
  <cols>
    <col min="1" max="1" width="10.42578125" style="1" bestFit="1" customWidth="1"/>
    <col min="2" max="2" width="20.140625" bestFit="1" customWidth="1"/>
    <col min="3" max="3" width="10" bestFit="1" customWidth="1"/>
    <col min="4" max="5" width="14.140625" style="1" customWidth="1"/>
    <col min="9" max="9" width="16.42578125" bestFit="1" customWidth="1"/>
    <col min="10" max="10" width="13.42578125" bestFit="1" customWidth="1"/>
    <col min="12" max="12" width="23.140625" bestFit="1" customWidth="1"/>
    <col min="16" max="16" width="15.5703125" bestFit="1" customWidth="1"/>
    <col min="19" max="19" width="23.140625" bestFit="1" customWidth="1"/>
    <col min="23" max="23" width="15.5703125" bestFit="1" customWidth="1"/>
    <col min="24" max="24" width="9" bestFit="1" customWidth="1"/>
    <col min="26" max="26" width="12.140625" customWidth="1"/>
    <col min="27" max="27" width="16.42578125" bestFit="1" customWidth="1"/>
  </cols>
  <sheetData>
    <row r="1" spans="1:27" ht="15.75" x14ac:dyDescent="0.25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s="2" t="s">
        <v>814</v>
      </c>
      <c r="AA1" t="s">
        <v>826</v>
      </c>
    </row>
    <row r="2" spans="1:27" x14ac:dyDescent="0.25">
      <c r="A2" s="1">
        <v>45659</v>
      </c>
      <c r="B2">
        <v>5868.55</v>
      </c>
      <c r="C2">
        <v>5870</v>
      </c>
      <c r="D2" s="1">
        <v>45674</v>
      </c>
      <c r="E2" s="1">
        <v>45709</v>
      </c>
      <c r="F2">
        <v>30</v>
      </c>
      <c r="G2">
        <v>15</v>
      </c>
      <c r="H2">
        <v>50</v>
      </c>
      <c r="I2">
        <v>0.5714285714285714</v>
      </c>
      <c r="J2">
        <v>0.42857142857142855</v>
      </c>
      <c r="K2" t="s">
        <v>19</v>
      </c>
      <c r="L2" t="s">
        <v>20</v>
      </c>
      <c r="M2">
        <v>62.5</v>
      </c>
      <c r="N2">
        <v>62.3</v>
      </c>
      <c r="O2">
        <v>64.2</v>
      </c>
      <c r="P2">
        <v>63.25</v>
      </c>
      <c r="Q2" t="s">
        <v>21</v>
      </c>
      <c r="R2">
        <v>14.37</v>
      </c>
      <c r="S2" t="s">
        <v>22</v>
      </c>
      <c r="T2">
        <v>107.08</v>
      </c>
      <c r="U2">
        <v>106.9</v>
      </c>
      <c r="V2">
        <v>109.1</v>
      </c>
      <c r="W2">
        <v>108</v>
      </c>
      <c r="X2" t="s">
        <v>21</v>
      </c>
      <c r="Y2">
        <v>14.616</v>
      </c>
      <c r="Z2">
        <f>I2*R2+Y2*J2</f>
        <v>14.475428571428569</v>
      </c>
      <c r="AA2">
        <v>0.144062143</v>
      </c>
    </row>
    <row r="3" spans="1:27" x14ac:dyDescent="0.25">
      <c r="A3" s="1">
        <v>45660</v>
      </c>
      <c r="B3">
        <v>5942.47</v>
      </c>
      <c r="C3">
        <v>5940</v>
      </c>
      <c r="D3" s="1">
        <v>45674</v>
      </c>
      <c r="E3" s="1">
        <v>45709</v>
      </c>
      <c r="F3">
        <v>30</v>
      </c>
      <c r="G3" t="s">
        <v>410</v>
      </c>
      <c r="H3">
        <v>49</v>
      </c>
      <c r="I3">
        <v>0.54285714285714282</v>
      </c>
      <c r="J3">
        <v>0.45714285714285713</v>
      </c>
      <c r="K3" t="s">
        <v>19</v>
      </c>
      <c r="L3" t="s">
        <v>23</v>
      </c>
      <c r="M3">
        <v>52.1</v>
      </c>
      <c r="N3">
        <v>53.1</v>
      </c>
      <c r="O3">
        <v>54.8</v>
      </c>
      <c r="P3">
        <v>53.95</v>
      </c>
      <c r="Q3" t="s">
        <v>21</v>
      </c>
      <c r="R3">
        <v>12.444000000000001</v>
      </c>
      <c r="S3" t="s">
        <v>24</v>
      </c>
      <c r="T3">
        <v>98.67</v>
      </c>
      <c r="U3">
        <v>99.4</v>
      </c>
      <c r="V3">
        <v>101.2</v>
      </c>
      <c r="W3">
        <v>100.30000000000001</v>
      </c>
      <c r="X3" t="s">
        <v>21</v>
      </c>
      <c r="Y3">
        <v>13.532</v>
      </c>
      <c r="Z3">
        <f t="shared" ref="Z3:Z66" si="0">I3*R3+Y3*J3</f>
        <v>12.941371428571429</v>
      </c>
      <c r="AA3">
        <v>0.127562429</v>
      </c>
    </row>
    <row r="4" spans="1:27" x14ac:dyDescent="0.25">
      <c r="A4" s="1">
        <v>45663</v>
      </c>
      <c r="B4">
        <v>5975.38</v>
      </c>
      <c r="C4">
        <v>5975</v>
      </c>
      <c r="D4" s="1">
        <v>45674</v>
      </c>
      <c r="E4" s="1">
        <v>45709</v>
      </c>
      <c r="F4">
        <v>30</v>
      </c>
      <c r="G4">
        <v>11</v>
      </c>
      <c r="H4">
        <v>46</v>
      </c>
      <c r="I4">
        <v>0.45714285714285713</v>
      </c>
      <c r="J4">
        <v>0.54285714285714282</v>
      </c>
      <c r="K4" t="s">
        <v>19</v>
      </c>
      <c r="L4" t="s">
        <v>25</v>
      </c>
      <c r="M4">
        <v>49.54</v>
      </c>
      <c r="N4">
        <v>44.2</v>
      </c>
      <c r="O4">
        <v>45.6</v>
      </c>
      <c r="P4">
        <v>44.900000000000006</v>
      </c>
      <c r="Q4" t="s">
        <v>21</v>
      </c>
      <c r="R4">
        <v>12.683</v>
      </c>
      <c r="S4" t="s">
        <v>26</v>
      </c>
      <c r="T4">
        <v>96.59</v>
      </c>
      <c r="U4">
        <v>91.1</v>
      </c>
      <c r="V4">
        <v>92.6</v>
      </c>
      <c r="W4">
        <v>91.85</v>
      </c>
      <c r="X4" t="s">
        <v>21</v>
      </c>
      <c r="Y4">
        <v>13.336</v>
      </c>
      <c r="Z4">
        <f t="shared" si="0"/>
        <v>13.037485714285713</v>
      </c>
      <c r="AA4">
        <v>0.128181714</v>
      </c>
    </row>
    <row r="5" spans="1:27" x14ac:dyDescent="0.25">
      <c r="A5" s="1">
        <v>45664</v>
      </c>
      <c r="B5">
        <v>5909.03</v>
      </c>
      <c r="C5">
        <v>5910</v>
      </c>
      <c r="D5" s="1">
        <v>45674</v>
      </c>
      <c r="E5" s="1">
        <v>45709</v>
      </c>
      <c r="F5">
        <v>30</v>
      </c>
      <c r="G5">
        <v>10</v>
      </c>
      <c r="H5">
        <v>45</v>
      </c>
      <c r="I5">
        <v>0.42857142857142855</v>
      </c>
      <c r="J5">
        <v>0.5714285714285714</v>
      </c>
      <c r="K5" t="s">
        <v>19</v>
      </c>
      <c r="L5" t="s">
        <v>27</v>
      </c>
      <c r="M5">
        <v>51.5</v>
      </c>
      <c r="N5">
        <v>52.5</v>
      </c>
      <c r="O5">
        <v>53.9</v>
      </c>
      <c r="P5">
        <v>53.2</v>
      </c>
      <c r="Q5" t="s">
        <v>21</v>
      </c>
      <c r="R5">
        <v>14.702</v>
      </c>
      <c r="S5" t="s">
        <v>28</v>
      </c>
      <c r="T5">
        <v>95.71</v>
      </c>
      <c r="U5">
        <v>103.3</v>
      </c>
      <c r="V5">
        <v>104.9</v>
      </c>
      <c r="W5">
        <v>104.1</v>
      </c>
      <c r="X5" t="s">
        <v>21</v>
      </c>
      <c r="Y5">
        <v>14.647</v>
      </c>
      <c r="Z5">
        <f t="shared" si="0"/>
        <v>14.670571428571428</v>
      </c>
      <c r="AA5">
        <v>0.145198571</v>
      </c>
    </row>
    <row r="6" spans="1:27" x14ac:dyDescent="0.25">
      <c r="A6" s="1">
        <v>45665</v>
      </c>
      <c r="B6">
        <v>5918.25</v>
      </c>
      <c r="C6">
        <v>5920</v>
      </c>
      <c r="D6" s="1">
        <v>45674</v>
      </c>
      <c r="E6" s="1">
        <v>45709</v>
      </c>
      <c r="F6">
        <v>30</v>
      </c>
      <c r="G6">
        <v>9</v>
      </c>
      <c r="H6">
        <v>44</v>
      </c>
      <c r="I6">
        <v>0.4</v>
      </c>
      <c r="J6">
        <v>0.6</v>
      </c>
      <c r="K6" t="s">
        <v>19</v>
      </c>
      <c r="L6" t="s">
        <v>29</v>
      </c>
      <c r="M6">
        <v>50.78</v>
      </c>
      <c r="N6">
        <v>52.5</v>
      </c>
      <c r="O6">
        <v>54.6</v>
      </c>
      <c r="P6">
        <v>53.55</v>
      </c>
      <c r="Q6" t="s">
        <v>21</v>
      </c>
      <c r="R6">
        <v>14.647</v>
      </c>
      <c r="S6" t="s">
        <v>30</v>
      </c>
      <c r="T6">
        <v>108.93</v>
      </c>
      <c r="U6">
        <v>104.5</v>
      </c>
      <c r="V6">
        <v>107.5</v>
      </c>
      <c r="W6">
        <v>106</v>
      </c>
      <c r="X6" t="s">
        <v>21</v>
      </c>
      <c r="Y6">
        <v>14.526</v>
      </c>
      <c r="Z6">
        <f t="shared" si="0"/>
        <v>14.574400000000001</v>
      </c>
      <c r="AA6">
        <v>0.14439099999999999</v>
      </c>
    </row>
    <row r="7" spans="1:27" x14ac:dyDescent="0.25">
      <c r="A7" s="1">
        <v>45667</v>
      </c>
      <c r="B7">
        <v>5827.04</v>
      </c>
      <c r="C7">
        <v>5825</v>
      </c>
      <c r="D7" s="1">
        <v>45674</v>
      </c>
      <c r="E7" s="1">
        <v>45709</v>
      </c>
      <c r="F7">
        <v>30</v>
      </c>
      <c r="G7">
        <v>7</v>
      </c>
      <c r="H7">
        <v>42</v>
      </c>
      <c r="I7">
        <v>0.34285714285714286</v>
      </c>
      <c r="J7">
        <v>0.65714285714285714</v>
      </c>
      <c r="K7" t="s">
        <v>19</v>
      </c>
      <c r="L7" t="s">
        <v>31</v>
      </c>
      <c r="M7">
        <v>50.23</v>
      </c>
      <c r="N7">
        <v>50.9</v>
      </c>
      <c r="O7">
        <v>51.7</v>
      </c>
      <c r="P7">
        <v>51.3</v>
      </c>
      <c r="Q7" t="s">
        <v>21</v>
      </c>
      <c r="R7">
        <v>15.956</v>
      </c>
      <c r="S7" t="s">
        <v>32</v>
      </c>
      <c r="T7">
        <v>107</v>
      </c>
      <c r="U7">
        <v>110.4</v>
      </c>
      <c r="V7">
        <v>111.9</v>
      </c>
      <c r="W7">
        <v>111.15</v>
      </c>
      <c r="X7" t="s">
        <v>21</v>
      </c>
      <c r="Y7">
        <v>15.882999999999999</v>
      </c>
      <c r="Z7">
        <f t="shared" si="0"/>
        <v>15.908028571428572</v>
      </c>
      <c r="AA7">
        <v>0.15886814299999999</v>
      </c>
    </row>
    <row r="8" spans="1:27" x14ac:dyDescent="0.25">
      <c r="A8" s="1">
        <v>45670</v>
      </c>
      <c r="B8">
        <v>5836.22</v>
      </c>
      <c r="C8">
        <v>5835</v>
      </c>
      <c r="D8" s="1">
        <v>45674</v>
      </c>
      <c r="E8" s="1">
        <v>45709</v>
      </c>
      <c r="F8">
        <v>30</v>
      </c>
      <c r="G8">
        <v>4</v>
      </c>
      <c r="H8">
        <v>39</v>
      </c>
      <c r="I8">
        <v>0.25714285714285712</v>
      </c>
      <c r="J8">
        <v>0.74285714285714288</v>
      </c>
      <c r="K8" t="s">
        <v>19</v>
      </c>
      <c r="L8" t="s">
        <v>33</v>
      </c>
      <c r="M8">
        <v>44.3</v>
      </c>
      <c r="N8">
        <v>41.1</v>
      </c>
      <c r="O8">
        <v>41.7</v>
      </c>
      <c r="P8">
        <v>41.400000000000006</v>
      </c>
      <c r="Q8" t="s">
        <v>21</v>
      </c>
      <c r="R8">
        <v>16.381</v>
      </c>
      <c r="S8" t="s">
        <v>34</v>
      </c>
      <c r="T8">
        <v>110</v>
      </c>
      <c r="U8">
        <v>100.7</v>
      </c>
      <c r="V8">
        <v>101.6</v>
      </c>
      <c r="W8">
        <v>101.15</v>
      </c>
      <c r="X8" t="s">
        <v>21</v>
      </c>
      <c r="Y8">
        <v>15.417999999999999</v>
      </c>
      <c r="Z8">
        <f t="shared" si="0"/>
        <v>15.66562857142857</v>
      </c>
      <c r="AA8">
        <v>0.15632428600000001</v>
      </c>
    </row>
    <row r="9" spans="1:27" x14ac:dyDescent="0.25">
      <c r="A9" s="1">
        <v>45671</v>
      </c>
      <c r="B9">
        <v>5842.91</v>
      </c>
      <c r="C9">
        <v>5845</v>
      </c>
      <c r="D9" s="1">
        <v>45674</v>
      </c>
      <c r="E9" s="1">
        <v>45709</v>
      </c>
      <c r="F9">
        <v>30</v>
      </c>
      <c r="G9">
        <v>3</v>
      </c>
      <c r="H9">
        <v>38</v>
      </c>
      <c r="I9">
        <v>0.22857142857142856</v>
      </c>
      <c r="J9">
        <v>0.77142857142857146</v>
      </c>
      <c r="K9" t="s">
        <v>19</v>
      </c>
      <c r="L9" t="s">
        <v>35</v>
      </c>
      <c r="M9">
        <v>40.06</v>
      </c>
      <c r="N9">
        <v>38</v>
      </c>
      <c r="O9">
        <v>39</v>
      </c>
      <c r="P9">
        <v>38.5</v>
      </c>
      <c r="Q9" t="s">
        <v>21</v>
      </c>
      <c r="R9">
        <v>18.417999999999999</v>
      </c>
      <c r="S9" t="s">
        <v>36</v>
      </c>
      <c r="T9">
        <v>96.72</v>
      </c>
      <c r="U9">
        <v>97.6</v>
      </c>
      <c r="V9">
        <v>99.7</v>
      </c>
      <c r="W9">
        <v>98.65</v>
      </c>
      <c r="X9" t="s">
        <v>21</v>
      </c>
      <c r="Y9">
        <v>15.36</v>
      </c>
      <c r="Z9">
        <f t="shared" si="0"/>
        <v>16.058971428571429</v>
      </c>
      <c r="AA9">
        <v>0.158039714</v>
      </c>
    </row>
    <row r="10" spans="1:27" x14ac:dyDescent="0.25">
      <c r="A10" s="1">
        <v>45672</v>
      </c>
      <c r="B10">
        <v>5949.91</v>
      </c>
      <c r="C10">
        <v>5950</v>
      </c>
      <c r="D10" s="1">
        <v>45674</v>
      </c>
      <c r="E10" s="1">
        <v>45709</v>
      </c>
      <c r="F10">
        <v>30</v>
      </c>
      <c r="G10">
        <v>2</v>
      </c>
      <c r="H10">
        <v>37</v>
      </c>
      <c r="I10">
        <v>0.2</v>
      </c>
      <c r="J10">
        <v>0.8</v>
      </c>
      <c r="K10" t="s">
        <v>19</v>
      </c>
      <c r="L10" t="s">
        <v>37</v>
      </c>
      <c r="M10">
        <v>22.9</v>
      </c>
      <c r="N10">
        <v>21.8</v>
      </c>
      <c r="O10">
        <v>22.5</v>
      </c>
      <c r="P10">
        <v>22.15</v>
      </c>
      <c r="Q10" t="s">
        <v>21</v>
      </c>
      <c r="R10">
        <v>11.912000000000001</v>
      </c>
      <c r="S10" t="s">
        <v>38</v>
      </c>
      <c r="T10">
        <v>85.77</v>
      </c>
      <c r="U10">
        <v>85.3</v>
      </c>
      <c r="V10">
        <v>86.8</v>
      </c>
      <c r="W10">
        <v>86.05</v>
      </c>
      <c r="X10" t="s">
        <v>21</v>
      </c>
      <c r="Y10">
        <v>13.103999999999999</v>
      </c>
      <c r="Z10">
        <f t="shared" si="0"/>
        <v>12.865600000000001</v>
      </c>
      <c r="AA10">
        <v>0.12720799999999999</v>
      </c>
    </row>
    <row r="11" spans="1:27" x14ac:dyDescent="0.25">
      <c r="A11" s="1">
        <v>45673</v>
      </c>
      <c r="B11">
        <v>5937.34</v>
      </c>
      <c r="C11">
        <v>5935</v>
      </c>
      <c r="D11" s="1">
        <v>45674</v>
      </c>
      <c r="E11" s="1">
        <v>45709</v>
      </c>
      <c r="F11">
        <v>30</v>
      </c>
      <c r="G11">
        <v>1</v>
      </c>
      <c r="H11">
        <v>36</v>
      </c>
      <c r="I11">
        <v>0.17142857142857143</v>
      </c>
      <c r="J11">
        <v>0.82857142857142863</v>
      </c>
      <c r="K11" t="s">
        <v>19</v>
      </c>
      <c r="L11" t="s">
        <v>39</v>
      </c>
      <c r="M11">
        <v>15.5</v>
      </c>
      <c r="N11">
        <v>12.4</v>
      </c>
      <c r="O11">
        <v>14</v>
      </c>
      <c r="P11">
        <v>13.2</v>
      </c>
      <c r="Q11" t="s">
        <v>21</v>
      </c>
      <c r="R11">
        <v>9.1690000000000005</v>
      </c>
      <c r="S11" t="s">
        <v>40</v>
      </c>
      <c r="T11">
        <v>81.349999999999994</v>
      </c>
      <c r="U11">
        <v>85.3</v>
      </c>
      <c r="V11">
        <v>87.1</v>
      </c>
      <c r="W11">
        <v>86.199999999999989</v>
      </c>
      <c r="X11" t="s">
        <v>21</v>
      </c>
      <c r="Y11">
        <v>13.214</v>
      </c>
      <c r="Z11">
        <f t="shared" si="0"/>
        <v>12.520571428571429</v>
      </c>
      <c r="AA11">
        <v>0.12544928599999999</v>
      </c>
    </row>
    <row r="12" spans="1:27" x14ac:dyDescent="0.25">
      <c r="A12" s="1">
        <v>45674</v>
      </c>
      <c r="B12">
        <v>5996.66</v>
      </c>
      <c r="C12">
        <v>5995</v>
      </c>
      <c r="D12" s="1">
        <v>45709</v>
      </c>
      <c r="E12" s="1">
        <v>45737</v>
      </c>
      <c r="F12">
        <v>30</v>
      </c>
      <c r="G12">
        <v>35</v>
      </c>
      <c r="H12">
        <v>63</v>
      </c>
      <c r="I12">
        <v>1</v>
      </c>
      <c r="J12">
        <v>0</v>
      </c>
      <c r="K12" t="s">
        <v>19</v>
      </c>
      <c r="L12" t="s">
        <v>41</v>
      </c>
      <c r="M12">
        <v>82.5</v>
      </c>
      <c r="N12">
        <v>81.7</v>
      </c>
      <c r="O12">
        <v>83.4</v>
      </c>
      <c r="P12">
        <v>82.550000000000011</v>
      </c>
      <c r="Q12" t="s">
        <v>21</v>
      </c>
      <c r="R12">
        <v>13.061</v>
      </c>
      <c r="S12" t="s">
        <v>42</v>
      </c>
      <c r="T12">
        <v>110.1</v>
      </c>
      <c r="U12">
        <v>112.1</v>
      </c>
      <c r="V12">
        <v>113.5</v>
      </c>
      <c r="W12">
        <v>112.8</v>
      </c>
      <c r="X12" t="s">
        <v>21</v>
      </c>
      <c r="Y12">
        <v>13.459</v>
      </c>
      <c r="Z12">
        <f t="shared" si="0"/>
        <v>13.061</v>
      </c>
      <c r="AA12">
        <v>0.12961500000000001</v>
      </c>
    </row>
    <row r="13" spans="1:27" x14ac:dyDescent="0.25">
      <c r="A13" s="1">
        <v>45678</v>
      </c>
      <c r="B13">
        <v>6049.24</v>
      </c>
      <c r="C13">
        <v>6050</v>
      </c>
      <c r="D13" s="1">
        <v>45709</v>
      </c>
      <c r="E13" s="1">
        <v>45737</v>
      </c>
      <c r="F13">
        <v>30</v>
      </c>
      <c r="G13">
        <v>31</v>
      </c>
      <c r="H13">
        <v>59</v>
      </c>
      <c r="I13">
        <v>1</v>
      </c>
      <c r="J13">
        <v>0</v>
      </c>
      <c r="K13" t="s">
        <v>19</v>
      </c>
      <c r="L13" t="s">
        <v>43</v>
      </c>
      <c r="M13">
        <v>74.8</v>
      </c>
      <c r="N13">
        <v>69.900000000000006</v>
      </c>
      <c r="O13">
        <v>72.400000000000006</v>
      </c>
      <c r="P13">
        <v>71.150000000000006</v>
      </c>
      <c r="Q13" t="s">
        <v>21</v>
      </c>
      <c r="R13">
        <v>11.864000000000001</v>
      </c>
      <c r="S13" t="s">
        <v>44</v>
      </c>
      <c r="T13">
        <v>101.3</v>
      </c>
      <c r="U13">
        <v>99.7</v>
      </c>
      <c r="V13">
        <v>102.2</v>
      </c>
      <c r="W13">
        <v>100.95</v>
      </c>
      <c r="X13" t="s">
        <v>21</v>
      </c>
      <c r="Y13">
        <v>12.446999999999999</v>
      </c>
      <c r="Z13">
        <f t="shared" si="0"/>
        <v>11.864000000000001</v>
      </c>
      <c r="AA13">
        <v>0.11738</v>
      </c>
    </row>
    <row r="14" spans="1:27" x14ac:dyDescent="0.25">
      <c r="A14" s="1">
        <v>45679</v>
      </c>
      <c r="B14">
        <v>6086.37</v>
      </c>
      <c r="C14">
        <v>6085</v>
      </c>
      <c r="D14" s="1">
        <v>45709</v>
      </c>
      <c r="E14" s="1">
        <v>45737</v>
      </c>
      <c r="F14">
        <v>30</v>
      </c>
      <c r="G14">
        <v>30</v>
      </c>
      <c r="H14">
        <v>58</v>
      </c>
      <c r="I14">
        <v>1</v>
      </c>
      <c r="J14">
        <v>0</v>
      </c>
      <c r="K14" t="s">
        <v>19</v>
      </c>
      <c r="L14" t="s">
        <v>45</v>
      </c>
      <c r="M14">
        <v>71.5</v>
      </c>
      <c r="N14">
        <v>71</v>
      </c>
      <c r="O14">
        <v>72.400000000000006</v>
      </c>
      <c r="P14">
        <v>71.7</v>
      </c>
      <c r="Q14" t="s">
        <v>21</v>
      </c>
      <c r="R14">
        <v>11.632999999999999</v>
      </c>
      <c r="S14" t="s">
        <v>46</v>
      </c>
      <c r="T14">
        <v>102.12</v>
      </c>
      <c r="U14">
        <v>102.1</v>
      </c>
      <c r="V14">
        <v>103.4</v>
      </c>
      <c r="W14">
        <v>102.75</v>
      </c>
      <c r="X14" t="s">
        <v>21</v>
      </c>
      <c r="Y14">
        <v>12.433</v>
      </c>
      <c r="Z14">
        <f t="shared" si="0"/>
        <v>11.632999999999999</v>
      </c>
      <c r="AA14">
        <v>0.11523</v>
      </c>
    </row>
    <row r="15" spans="1:27" x14ac:dyDescent="0.25">
      <c r="A15" s="1">
        <v>45680</v>
      </c>
      <c r="B15">
        <v>6118.71</v>
      </c>
      <c r="C15">
        <v>6120</v>
      </c>
      <c r="D15" s="1">
        <v>45709</v>
      </c>
      <c r="E15" s="1">
        <v>45737</v>
      </c>
      <c r="F15">
        <v>30</v>
      </c>
      <c r="G15">
        <v>29</v>
      </c>
      <c r="H15">
        <v>57</v>
      </c>
      <c r="I15">
        <v>0.9642857142857143</v>
      </c>
      <c r="J15">
        <v>3.5714285714285712E-2</v>
      </c>
      <c r="K15" t="s">
        <v>19</v>
      </c>
      <c r="L15" t="s">
        <v>47</v>
      </c>
      <c r="M15">
        <v>78.569999999999993</v>
      </c>
      <c r="N15">
        <v>71.8</v>
      </c>
      <c r="O15">
        <v>73.5</v>
      </c>
      <c r="P15">
        <v>72.650000000000006</v>
      </c>
      <c r="Q15" t="s">
        <v>21</v>
      </c>
      <c r="R15">
        <v>11.534000000000001</v>
      </c>
      <c r="S15" t="s">
        <v>48</v>
      </c>
      <c r="T15">
        <v>102.5</v>
      </c>
      <c r="U15">
        <v>103.1</v>
      </c>
      <c r="V15">
        <v>104.6</v>
      </c>
      <c r="W15">
        <v>103.85</v>
      </c>
      <c r="X15" t="s">
        <v>21</v>
      </c>
      <c r="Y15">
        <v>12.318</v>
      </c>
      <c r="Z15">
        <f t="shared" si="0"/>
        <v>11.562000000000001</v>
      </c>
      <c r="AA15">
        <v>0.114350893</v>
      </c>
    </row>
    <row r="16" spans="1:27" x14ac:dyDescent="0.25">
      <c r="A16" s="1">
        <v>45681</v>
      </c>
      <c r="B16">
        <v>6101.24</v>
      </c>
      <c r="C16">
        <v>6100</v>
      </c>
      <c r="D16" s="1">
        <v>45709</v>
      </c>
      <c r="E16" s="1">
        <v>45737</v>
      </c>
      <c r="F16">
        <v>30</v>
      </c>
      <c r="G16">
        <v>28</v>
      </c>
      <c r="H16">
        <v>56</v>
      </c>
      <c r="I16">
        <v>0.9285714285714286</v>
      </c>
      <c r="J16">
        <v>7.1428571428571425E-2</v>
      </c>
      <c r="K16" t="s">
        <v>19</v>
      </c>
      <c r="L16" t="s">
        <v>49</v>
      </c>
      <c r="M16">
        <v>70.099999999999994</v>
      </c>
      <c r="N16">
        <v>69</v>
      </c>
      <c r="O16">
        <v>70.3</v>
      </c>
      <c r="P16">
        <v>69.650000000000006</v>
      </c>
      <c r="Q16" t="s">
        <v>21</v>
      </c>
      <c r="R16">
        <v>11.537000000000001</v>
      </c>
      <c r="S16" t="s">
        <v>50</v>
      </c>
      <c r="T16">
        <v>99.77</v>
      </c>
      <c r="U16">
        <v>100.1</v>
      </c>
      <c r="V16">
        <v>101.4</v>
      </c>
      <c r="W16">
        <v>100.75</v>
      </c>
      <c r="X16" t="s">
        <v>21</v>
      </c>
      <c r="Y16">
        <v>12.286</v>
      </c>
      <c r="Z16">
        <f t="shared" si="0"/>
        <v>11.5905</v>
      </c>
      <c r="AA16">
        <v>0.11493</v>
      </c>
    </row>
    <row r="17" spans="1:27" x14ac:dyDescent="0.25">
      <c r="A17" s="1">
        <v>45684</v>
      </c>
      <c r="B17">
        <v>6012.28</v>
      </c>
      <c r="C17">
        <v>6010</v>
      </c>
      <c r="D17" s="1">
        <v>45709</v>
      </c>
      <c r="E17" s="1">
        <v>45737</v>
      </c>
      <c r="F17">
        <v>30</v>
      </c>
      <c r="G17">
        <v>25</v>
      </c>
      <c r="H17">
        <v>53</v>
      </c>
      <c r="I17">
        <v>0.8214285714285714</v>
      </c>
      <c r="J17">
        <v>0.17857142857142858</v>
      </c>
      <c r="K17" t="s">
        <v>19</v>
      </c>
      <c r="L17" t="s">
        <v>51</v>
      </c>
      <c r="M17">
        <v>85.27</v>
      </c>
      <c r="N17">
        <v>76</v>
      </c>
      <c r="O17">
        <v>78</v>
      </c>
      <c r="P17">
        <v>77</v>
      </c>
      <c r="Q17" t="s">
        <v>21</v>
      </c>
      <c r="R17">
        <v>13.885999999999999</v>
      </c>
      <c r="S17" t="s">
        <v>52</v>
      </c>
      <c r="T17">
        <v>120.83</v>
      </c>
      <c r="U17">
        <v>108.5</v>
      </c>
      <c r="V17">
        <v>110.5</v>
      </c>
      <c r="W17">
        <v>109.5</v>
      </c>
      <c r="X17" t="s">
        <v>21</v>
      </c>
      <c r="Y17">
        <v>13.946</v>
      </c>
      <c r="Z17">
        <f t="shared" si="0"/>
        <v>13.896714285714284</v>
      </c>
      <c r="AA17">
        <v>0.139041786</v>
      </c>
    </row>
    <row r="18" spans="1:27" x14ac:dyDescent="0.25">
      <c r="A18" s="1">
        <v>45685</v>
      </c>
      <c r="B18">
        <v>6067.7</v>
      </c>
      <c r="C18">
        <v>6070</v>
      </c>
      <c r="D18" s="1">
        <v>45709</v>
      </c>
      <c r="E18" s="1">
        <v>45737</v>
      </c>
      <c r="F18">
        <v>30</v>
      </c>
      <c r="G18">
        <v>24</v>
      </c>
      <c r="H18">
        <v>52</v>
      </c>
      <c r="I18">
        <v>0.7857142857142857</v>
      </c>
      <c r="J18">
        <v>0.21428571428571427</v>
      </c>
      <c r="K18" t="s">
        <v>19</v>
      </c>
      <c r="L18" t="s">
        <v>53</v>
      </c>
      <c r="M18">
        <v>73.599999999999994</v>
      </c>
      <c r="N18">
        <v>75.900000000000006</v>
      </c>
      <c r="O18">
        <v>77.599999999999994</v>
      </c>
      <c r="P18">
        <v>76.75</v>
      </c>
      <c r="Q18" t="s">
        <v>21</v>
      </c>
      <c r="R18">
        <v>12.676</v>
      </c>
      <c r="S18" t="s">
        <v>54</v>
      </c>
      <c r="T18">
        <v>106.3</v>
      </c>
      <c r="U18">
        <v>108.2</v>
      </c>
      <c r="V18">
        <v>109.7</v>
      </c>
      <c r="W18">
        <v>108.95</v>
      </c>
      <c r="X18" t="s">
        <v>21</v>
      </c>
      <c r="Y18">
        <v>13.023999999999999</v>
      </c>
      <c r="Z18">
        <f t="shared" si="0"/>
        <v>12.750571428571428</v>
      </c>
      <c r="AA18">
        <v>0.12704499999999999</v>
      </c>
    </row>
    <row r="19" spans="1:27" x14ac:dyDescent="0.25">
      <c r="A19" s="1">
        <v>45686</v>
      </c>
      <c r="B19">
        <v>6039.31</v>
      </c>
      <c r="C19">
        <v>6040</v>
      </c>
      <c r="D19" s="1">
        <v>45709</v>
      </c>
      <c r="E19" s="1">
        <v>45737</v>
      </c>
      <c r="F19">
        <v>30</v>
      </c>
      <c r="G19">
        <v>23</v>
      </c>
      <c r="H19">
        <v>51</v>
      </c>
      <c r="I19">
        <v>0.75</v>
      </c>
      <c r="J19">
        <v>0.25</v>
      </c>
      <c r="K19" t="s">
        <v>19</v>
      </c>
      <c r="L19" t="s">
        <v>55</v>
      </c>
      <c r="M19">
        <v>74.05</v>
      </c>
      <c r="N19">
        <v>66.8</v>
      </c>
      <c r="O19">
        <v>71.2</v>
      </c>
      <c r="P19">
        <v>69</v>
      </c>
      <c r="Q19" t="s">
        <v>21</v>
      </c>
      <c r="R19">
        <v>13.49</v>
      </c>
      <c r="S19" t="s">
        <v>56</v>
      </c>
      <c r="T19">
        <v>108.41</v>
      </c>
      <c r="U19">
        <v>99.3</v>
      </c>
      <c r="V19">
        <v>103.3</v>
      </c>
      <c r="W19">
        <v>101.3</v>
      </c>
      <c r="X19" t="s">
        <v>21</v>
      </c>
      <c r="Y19">
        <v>13.481999999999999</v>
      </c>
      <c r="Z19">
        <f t="shared" si="0"/>
        <v>13.488</v>
      </c>
      <c r="AA19">
        <v>0.13197125000000001</v>
      </c>
    </row>
    <row r="20" spans="1:27" x14ac:dyDescent="0.25">
      <c r="A20" s="1">
        <v>45687</v>
      </c>
      <c r="B20">
        <v>6071.17</v>
      </c>
      <c r="C20">
        <v>6070</v>
      </c>
      <c r="D20" s="1">
        <v>45709</v>
      </c>
      <c r="E20" s="1">
        <v>45737</v>
      </c>
      <c r="F20">
        <v>30</v>
      </c>
      <c r="G20">
        <v>22</v>
      </c>
      <c r="H20">
        <v>50</v>
      </c>
      <c r="I20">
        <v>0.7142857142857143</v>
      </c>
      <c r="J20">
        <v>0.2857142857142857</v>
      </c>
      <c r="K20" t="s">
        <v>19</v>
      </c>
      <c r="L20" t="s">
        <v>53</v>
      </c>
      <c r="M20">
        <v>67.599999999999994</v>
      </c>
      <c r="N20">
        <v>68.8</v>
      </c>
      <c r="O20">
        <v>72.7</v>
      </c>
      <c r="P20">
        <v>70.75</v>
      </c>
      <c r="Q20" t="s">
        <v>21</v>
      </c>
      <c r="R20">
        <v>12.644</v>
      </c>
      <c r="S20" t="s">
        <v>54</v>
      </c>
      <c r="T20">
        <v>105</v>
      </c>
      <c r="U20">
        <v>101.8</v>
      </c>
      <c r="V20">
        <v>106.7</v>
      </c>
      <c r="W20">
        <v>104.25</v>
      </c>
      <c r="X20" t="s">
        <v>21</v>
      </c>
      <c r="Y20">
        <v>13.084</v>
      </c>
      <c r="Z20">
        <f t="shared" si="0"/>
        <v>12.769714285714286</v>
      </c>
      <c r="AA20">
        <v>0.12592214299999999</v>
      </c>
    </row>
    <row r="21" spans="1:27" x14ac:dyDescent="0.25">
      <c r="A21" s="1">
        <v>45688</v>
      </c>
      <c r="B21">
        <v>6040.53</v>
      </c>
      <c r="C21">
        <v>6040</v>
      </c>
      <c r="D21" s="1">
        <v>45709</v>
      </c>
      <c r="E21" s="1">
        <v>45737</v>
      </c>
      <c r="F21">
        <v>30</v>
      </c>
      <c r="G21">
        <v>21</v>
      </c>
      <c r="H21">
        <v>49</v>
      </c>
      <c r="I21">
        <v>0.6785714285714286</v>
      </c>
      <c r="J21">
        <v>0.32142857142857145</v>
      </c>
      <c r="K21" t="s">
        <v>19</v>
      </c>
      <c r="L21" t="s">
        <v>55</v>
      </c>
      <c r="M21">
        <v>69.98</v>
      </c>
      <c r="N21">
        <v>70.099999999999994</v>
      </c>
      <c r="O21">
        <v>72.099999999999994</v>
      </c>
      <c r="P21">
        <v>71.099999999999994</v>
      </c>
      <c r="Q21" t="s">
        <v>21</v>
      </c>
      <c r="R21">
        <v>13.532999999999999</v>
      </c>
      <c r="S21" t="s">
        <v>56</v>
      </c>
      <c r="T21">
        <v>105.85</v>
      </c>
      <c r="U21">
        <v>105.1</v>
      </c>
      <c r="V21">
        <v>107.2</v>
      </c>
      <c r="W21">
        <v>106.15</v>
      </c>
      <c r="X21" t="s">
        <v>21</v>
      </c>
      <c r="Y21">
        <v>13.599</v>
      </c>
      <c r="Z21">
        <f t="shared" si="0"/>
        <v>13.554214285714286</v>
      </c>
      <c r="AA21">
        <v>0.134197857</v>
      </c>
    </row>
    <row r="22" spans="1:27" x14ac:dyDescent="0.25">
      <c r="A22" s="1">
        <v>45691</v>
      </c>
      <c r="B22">
        <v>5994.57</v>
      </c>
      <c r="C22">
        <v>5995</v>
      </c>
      <c r="D22" s="1">
        <v>45709</v>
      </c>
      <c r="E22" s="1">
        <v>45737</v>
      </c>
      <c r="F22">
        <v>30</v>
      </c>
      <c r="G22">
        <v>18</v>
      </c>
      <c r="H22">
        <v>46</v>
      </c>
      <c r="I22">
        <v>0.5714285714285714</v>
      </c>
      <c r="J22">
        <v>0.42857142857142855</v>
      </c>
      <c r="K22" t="s">
        <v>19</v>
      </c>
      <c r="L22" t="s">
        <v>41</v>
      </c>
      <c r="M22">
        <v>73.900000000000006</v>
      </c>
      <c r="N22">
        <v>58.8</v>
      </c>
      <c r="O22">
        <v>61.1</v>
      </c>
      <c r="P22">
        <v>59.95</v>
      </c>
      <c r="Q22" t="s">
        <v>21</v>
      </c>
      <c r="R22">
        <v>15.606999999999999</v>
      </c>
      <c r="S22" t="s">
        <v>42</v>
      </c>
      <c r="T22">
        <v>113.4</v>
      </c>
      <c r="U22">
        <v>95.3</v>
      </c>
      <c r="V22">
        <v>97.4</v>
      </c>
      <c r="W22">
        <v>96.35</v>
      </c>
      <c r="X22" t="s">
        <v>21</v>
      </c>
      <c r="Y22">
        <v>14.939</v>
      </c>
      <c r="Z22">
        <f t="shared" si="0"/>
        <v>15.320714285714285</v>
      </c>
      <c r="AA22">
        <v>0.14871928600000001</v>
      </c>
    </row>
    <row r="23" spans="1:27" x14ac:dyDescent="0.25">
      <c r="A23" s="1">
        <v>45692</v>
      </c>
      <c r="B23">
        <v>6037.88</v>
      </c>
      <c r="C23">
        <v>6040</v>
      </c>
      <c r="D23" s="1">
        <v>45709</v>
      </c>
      <c r="E23" s="1">
        <v>45737</v>
      </c>
      <c r="F23">
        <v>30</v>
      </c>
      <c r="G23">
        <v>17</v>
      </c>
      <c r="H23">
        <v>45</v>
      </c>
      <c r="I23">
        <v>0.5357142857142857</v>
      </c>
      <c r="J23">
        <v>0.4642857142857143</v>
      </c>
      <c r="K23" t="s">
        <v>19</v>
      </c>
      <c r="L23" t="s">
        <v>55</v>
      </c>
      <c r="M23">
        <v>66.430000000000007</v>
      </c>
      <c r="N23">
        <v>73.900000000000006</v>
      </c>
      <c r="O23">
        <v>75.8</v>
      </c>
      <c r="P23">
        <v>74.849999999999994</v>
      </c>
      <c r="Q23" t="s">
        <v>21</v>
      </c>
      <c r="R23">
        <v>13.558</v>
      </c>
      <c r="S23" t="s">
        <v>56</v>
      </c>
      <c r="T23">
        <v>101.86</v>
      </c>
      <c r="U23">
        <v>111.1</v>
      </c>
      <c r="V23">
        <v>112.6</v>
      </c>
      <c r="W23">
        <v>111.85</v>
      </c>
      <c r="X23" t="s">
        <v>21</v>
      </c>
      <c r="Y23">
        <v>13.673999999999999</v>
      </c>
      <c r="Z23">
        <f t="shared" si="0"/>
        <v>13.611857142857144</v>
      </c>
      <c r="AA23">
        <v>0.13462089299999999</v>
      </c>
    </row>
    <row r="24" spans="1:27" x14ac:dyDescent="0.25">
      <c r="A24" s="1">
        <v>45693</v>
      </c>
      <c r="B24">
        <v>6061.48</v>
      </c>
      <c r="C24">
        <v>6060</v>
      </c>
      <c r="D24" s="1">
        <v>45709</v>
      </c>
      <c r="E24" s="1">
        <v>45737</v>
      </c>
      <c r="F24">
        <v>30</v>
      </c>
      <c r="G24">
        <v>16</v>
      </c>
      <c r="H24">
        <v>44</v>
      </c>
      <c r="I24">
        <v>0.5</v>
      </c>
      <c r="J24">
        <v>0.5</v>
      </c>
      <c r="K24" t="s">
        <v>19</v>
      </c>
      <c r="L24" t="s">
        <v>57</v>
      </c>
      <c r="M24">
        <v>58.9</v>
      </c>
      <c r="N24">
        <v>54.7</v>
      </c>
      <c r="O24">
        <v>56.2</v>
      </c>
      <c r="P24">
        <v>55.45</v>
      </c>
      <c r="Q24" t="s">
        <v>21</v>
      </c>
      <c r="R24">
        <v>12.564</v>
      </c>
      <c r="S24" t="s">
        <v>58</v>
      </c>
      <c r="T24">
        <v>103.2</v>
      </c>
      <c r="U24">
        <v>94</v>
      </c>
      <c r="V24">
        <v>95.4</v>
      </c>
      <c r="W24">
        <v>94.7</v>
      </c>
      <c r="X24" t="s">
        <v>21</v>
      </c>
      <c r="Y24">
        <v>13.065</v>
      </c>
      <c r="Z24">
        <f t="shared" si="0"/>
        <v>12.814499999999999</v>
      </c>
      <c r="AA24">
        <v>0.126805</v>
      </c>
    </row>
    <row r="25" spans="1:27" x14ac:dyDescent="0.25">
      <c r="A25" s="1">
        <v>45694</v>
      </c>
      <c r="B25">
        <v>6083.57</v>
      </c>
      <c r="C25">
        <v>6085</v>
      </c>
      <c r="D25" s="1">
        <v>45709</v>
      </c>
      <c r="E25" s="1">
        <v>45737</v>
      </c>
      <c r="F25">
        <v>30</v>
      </c>
      <c r="G25">
        <v>15</v>
      </c>
      <c r="H25">
        <v>43</v>
      </c>
      <c r="I25">
        <v>0.4642857142857143</v>
      </c>
      <c r="J25">
        <v>0.5357142857142857</v>
      </c>
      <c r="K25" t="s">
        <v>19</v>
      </c>
      <c r="L25" t="s">
        <v>45</v>
      </c>
      <c r="M25">
        <v>60.7</v>
      </c>
      <c r="N25">
        <v>58.6</v>
      </c>
      <c r="O25">
        <v>60.6</v>
      </c>
      <c r="P25">
        <v>59.6</v>
      </c>
      <c r="Q25" t="s">
        <v>21</v>
      </c>
      <c r="R25">
        <v>11.581</v>
      </c>
      <c r="S25" t="s">
        <v>46</v>
      </c>
      <c r="T25">
        <v>100</v>
      </c>
      <c r="U25">
        <v>98.4</v>
      </c>
      <c r="V25">
        <v>100.6</v>
      </c>
      <c r="W25">
        <v>99.5</v>
      </c>
      <c r="X25" t="s">
        <v>21</v>
      </c>
      <c r="Y25">
        <v>12.622</v>
      </c>
      <c r="Z25">
        <f t="shared" si="0"/>
        <v>12.138678571428571</v>
      </c>
      <c r="AA25">
        <v>0.12069160700000001</v>
      </c>
    </row>
    <row r="26" spans="1:27" x14ac:dyDescent="0.25">
      <c r="A26" s="1">
        <v>45695</v>
      </c>
      <c r="B26">
        <v>6025.99</v>
      </c>
      <c r="C26">
        <v>6025</v>
      </c>
      <c r="D26" s="1">
        <v>45709</v>
      </c>
      <c r="E26" s="1">
        <v>45737</v>
      </c>
      <c r="F26">
        <v>30</v>
      </c>
      <c r="G26">
        <v>14</v>
      </c>
      <c r="H26">
        <v>42</v>
      </c>
      <c r="I26">
        <v>0.42857142857142855</v>
      </c>
      <c r="J26">
        <v>0.5714285714285714</v>
      </c>
      <c r="K26" t="s">
        <v>19</v>
      </c>
      <c r="L26" t="s">
        <v>59</v>
      </c>
      <c r="M26">
        <v>52.5</v>
      </c>
      <c r="N26">
        <v>52.3</v>
      </c>
      <c r="O26">
        <v>54.3</v>
      </c>
      <c r="P26">
        <v>53.3</v>
      </c>
      <c r="Q26" t="s">
        <v>21</v>
      </c>
      <c r="R26">
        <v>13.083</v>
      </c>
      <c r="S26" t="s">
        <v>60</v>
      </c>
      <c r="T26">
        <v>96.1</v>
      </c>
      <c r="U26">
        <v>95</v>
      </c>
      <c r="V26">
        <v>97.1</v>
      </c>
      <c r="W26">
        <v>96.05</v>
      </c>
      <c r="X26" t="s">
        <v>21</v>
      </c>
      <c r="Y26">
        <v>13.526999999999999</v>
      </c>
      <c r="Z26">
        <f t="shared" si="0"/>
        <v>13.336714285714285</v>
      </c>
      <c r="AA26">
        <v>0.13179571400000001</v>
      </c>
    </row>
    <row r="27" spans="1:27" x14ac:dyDescent="0.25">
      <c r="A27" s="1">
        <v>45698</v>
      </c>
      <c r="B27">
        <v>6066.44</v>
      </c>
      <c r="C27">
        <v>6065</v>
      </c>
      <c r="D27" s="1">
        <v>45709</v>
      </c>
      <c r="E27" s="1">
        <v>45737</v>
      </c>
      <c r="F27">
        <v>30</v>
      </c>
      <c r="G27">
        <v>11</v>
      </c>
      <c r="H27">
        <v>39</v>
      </c>
      <c r="I27">
        <v>0.32142857142857145</v>
      </c>
      <c r="J27">
        <v>0.6785714285714286</v>
      </c>
      <c r="K27" t="s">
        <v>19</v>
      </c>
      <c r="L27" t="s">
        <v>61</v>
      </c>
      <c r="M27">
        <v>43.51</v>
      </c>
      <c r="N27">
        <v>43.4</v>
      </c>
      <c r="O27">
        <v>44.6</v>
      </c>
      <c r="P27">
        <v>44</v>
      </c>
      <c r="Q27" t="s">
        <v>21</v>
      </c>
      <c r="R27">
        <v>11.285</v>
      </c>
      <c r="S27" t="s">
        <v>62</v>
      </c>
      <c r="T27">
        <v>89.67</v>
      </c>
      <c r="U27">
        <v>88.2</v>
      </c>
      <c r="V27">
        <v>89.3</v>
      </c>
      <c r="W27">
        <v>88.75</v>
      </c>
      <c r="X27" t="s">
        <v>21</v>
      </c>
      <c r="Y27">
        <v>12.6</v>
      </c>
      <c r="Z27">
        <f t="shared" si="0"/>
        <v>12.17732142857143</v>
      </c>
      <c r="AA27">
        <v>0.12051392900000001</v>
      </c>
    </row>
    <row r="28" spans="1:27" x14ac:dyDescent="0.25">
      <c r="A28" s="1">
        <v>45699</v>
      </c>
      <c r="B28">
        <v>6068.5</v>
      </c>
      <c r="C28">
        <v>6070</v>
      </c>
      <c r="D28" s="1">
        <v>45709</v>
      </c>
      <c r="E28" s="1">
        <v>45737</v>
      </c>
      <c r="F28">
        <v>30</v>
      </c>
      <c r="G28">
        <v>10</v>
      </c>
      <c r="H28">
        <v>38</v>
      </c>
      <c r="I28">
        <v>0.2857142857142857</v>
      </c>
      <c r="J28">
        <v>0.7142857142857143</v>
      </c>
      <c r="K28" t="s">
        <v>19</v>
      </c>
      <c r="L28" t="s">
        <v>53</v>
      </c>
      <c r="M28">
        <v>42</v>
      </c>
      <c r="N28">
        <v>42.6</v>
      </c>
      <c r="O28">
        <v>44.2</v>
      </c>
      <c r="P28">
        <v>43.400000000000006</v>
      </c>
      <c r="Q28" t="s">
        <v>21</v>
      </c>
      <c r="R28">
        <v>11.404</v>
      </c>
      <c r="S28" t="s">
        <v>54</v>
      </c>
      <c r="T28">
        <v>90.3</v>
      </c>
      <c r="U28">
        <v>88</v>
      </c>
      <c r="V28">
        <v>89.5</v>
      </c>
      <c r="W28">
        <v>88.75</v>
      </c>
      <c r="X28" t="s">
        <v>21</v>
      </c>
      <c r="Y28">
        <v>12.58</v>
      </c>
      <c r="Z28">
        <f t="shared" si="0"/>
        <v>12.244</v>
      </c>
      <c r="AA28">
        <v>0.121287857</v>
      </c>
    </row>
    <row r="29" spans="1:27" x14ac:dyDescent="0.25">
      <c r="A29" s="1">
        <v>45700</v>
      </c>
      <c r="B29">
        <v>6051.97</v>
      </c>
      <c r="C29">
        <v>6050</v>
      </c>
      <c r="D29" s="1">
        <v>45709</v>
      </c>
      <c r="E29" s="1">
        <v>45737</v>
      </c>
      <c r="F29">
        <v>30</v>
      </c>
      <c r="G29">
        <v>9</v>
      </c>
      <c r="H29">
        <v>37</v>
      </c>
      <c r="I29">
        <v>0.25</v>
      </c>
      <c r="J29">
        <v>0.75</v>
      </c>
      <c r="K29" t="s">
        <v>19</v>
      </c>
      <c r="L29" t="s">
        <v>43</v>
      </c>
      <c r="M29">
        <v>38.18</v>
      </c>
      <c r="N29">
        <v>36</v>
      </c>
      <c r="O29">
        <v>37.1</v>
      </c>
      <c r="P29">
        <v>36.549999999999997</v>
      </c>
      <c r="Q29" t="s">
        <v>21</v>
      </c>
      <c r="R29">
        <v>11.919</v>
      </c>
      <c r="S29" t="s">
        <v>44</v>
      </c>
      <c r="T29">
        <v>90.08</v>
      </c>
      <c r="U29">
        <v>84.2</v>
      </c>
      <c r="V29">
        <v>85.2</v>
      </c>
      <c r="W29">
        <v>84.7</v>
      </c>
      <c r="X29" t="s">
        <v>21</v>
      </c>
      <c r="Y29">
        <v>13.019</v>
      </c>
      <c r="Z29">
        <f t="shared" si="0"/>
        <v>12.744</v>
      </c>
      <c r="AA29">
        <v>0.12540499999999999</v>
      </c>
    </row>
    <row r="30" spans="1:27" x14ac:dyDescent="0.25">
      <c r="A30" s="1">
        <v>45701</v>
      </c>
      <c r="B30">
        <v>6115.07</v>
      </c>
      <c r="C30">
        <v>6115</v>
      </c>
      <c r="D30" s="1">
        <v>45709</v>
      </c>
      <c r="E30" s="1">
        <v>45737</v>
      </c>
      <c r="F30">
        <v>30</v>
      </c>
      <c r="G30">
        <v>8</v>
      </c>
      <c r="H30">
        <v>36</v>
      </c>
      <c r="I30">
        <v>0.21428571428571427</v>
      </c>
      <c r="J30">
        <v>0.7857142857142857</v>
      </c>
      <c r="K30" t="s">
        <v>19</v>
      </c>
      <c r="L30" t="s">
        <v>63</v>
      </c>
      <c r="M30">
        <v>33.229999999999997</v>
      </c>
      <c r="N30">
        <v>32.4</v>
      </c>
      <c r="O30">
        <v>34.1</v>
      </c>
      <c r="P30">
        <v>33.25</v>
      </c>
      <c r="Q30" t="s">
        <v>21</v>
      </c>
      <c r="R30">
        <v>10.24</v>
      </c>
      <c r="S30" t="s">
        <v>64</v>
      </c>
      <c r="T30">
        <v>81</v>
      </c>
      <c r="U30">
        <v>82.2</v>
      </c>
      <c r="V30">
        <v>84</v>
      </c>
      <c r="W30">
        <v>83.1</v>
      </c>
      <c r="X30" t="s">
        <v>21</v>
      </c>
      <c r="Y30">
        <v>12.135999999999999</v>
      </c>
      <c r="Z30">
        <f t="shared" si="0"/>
        <v>11.729714285714284</v>
      </c>
      <c r="AA30">
        <v>0.116072857</v>
      </c>
    </row>
    <row r="31" spans="1:27" x14ac:dyDescent="0.25">
      <c r="A31" s="1">
        <v>45702</v>
      </c>
      <c r="B31">
        <v>6114.63</v>
      </c>
      <c r="C31">
        <v>6115</v>
      </c>
      <c r="D31" s="1">
        <v>45709</v>
      </c>
      <c r="E31" s="1">
        <v>45737</v>
      </c>
      <c r="F31">
        <v>30</v>
      </c>
      <c r="G31">
        <v>7</v>
      </c>
      <c r="H31">
        <v>35</v>
      </c>
      <c r="I31">
        <v>0.17857142857142858</v>
      </c>
      <c r="J31">
        <v>0.8214285714285714</v>
      </c>
      <c r="K31" t="s">
        <v>19</v>
      </c>
      <c r="L31" t="s">
        <v>63</v>
      </c>
      <c r="M31">
        <v>26.8</v>
      </c>
      <c r="N31">
        <v>25.9</v>
      </c>
      <c r="O31">
        <v>26.6</v>
      </c>
      <c r="P31">
        <v>26.25</v>
      </c>
      <c r="Q31" t="s">
        <v>21</v>
      </c>
      <c r="R31">
        <v>9.4359999999999999</v>
      </c>
      <c r="S31" t="s">
        <v>64</v>
      </c>
      <c r="T31">
        <v>79.900000000000006</v>
      </c>
      <c r="U31">
        <v>78.2</v>
      </c>
      <c r="V31">
        <v>79.7</v>
      </c>
      <c r="W31">
        <v>78.95</v>
      </c>
      <c r="X31" t="s">
        <v>21</v>
      </c>
      <c r="Y31">
        <v>11.94</v>
      </c>
      <c r="Z31">
        <f t="shared" si="0"/>
        <v>11.492857142857142</v>
      </c>
      <c r="AA31">
        <v>0.113376607</v>
      </c>
    </row>
    <row r="32" spans="1:27" x14ac:dyDescent="0.25">
      <c r="A32" s="1">
        <v>45706</v>
      </c>
      <c r="B32">
        <v>6129.58</v>
      </c>
      <c r="C32">
        <v>6130</v>
      </c>
      <c r="D32" s="1">
        <v>45709</v>
      </c>
      <c r="E32" s="1">
        <v>45737</v>
      </c>
      <c r="F32">
        <v>30</v>
      </c>
      <c r="G32">
        <v>3</v>
      </c>
      <c r="H32">
        <v>31</v>
      </c>
      <c r="I32">
        <v>3.5714285714285712E-2</v>
      </c>
      <c r="J32">
        <v>0.9642857142857143</v>
      </c>
      <c r="K32" t="s">
        <v>19</v>
      </c>
      <c r="L32" t="s">
        <v>65</v>
      </c>
      <c r="M32">
        <v>19.809999999999999</v>
      </c>
      <c r="N32">
        <v>20.7</v>
      </c>
      <c r="O32">
        <v>21.5</v>
      </c>
      <c r="P32">
        <v>21.1</v>
      </c>
      <c r="Q32" t="s">
        <v>21</v>
      </c>
      <c r="R32">
        <v>7.91</v>
      </c>
      <c r="S32" t="s">
        <v>66</v>
      </c>
      <c r="T32">
        <v>75.599999999999994</v>
      </c>
      <c r="U32">
        <v>75.900000000000006</v>
      </c>
      <c r="V32">
        <v>77</v>
      </c>
      <c r="W32">
        <v>76.45</v>
      </c>
      <c r="X32" t="s">
        <v>21</v>
      </c>
      <c r="Y32">
        <v>11.516999999999999</v>
      </c>
      <c r="Z32">
        <f t="shared" si="0"/>
        <v>11.388178571428572</v>
      </c>
      <c r="AA32">
        <v>0.113011607</v>
      </c>
    </row>
    <row r="33" spans="1:27" x14ac:dyDescent="0.25">
      <c r="A33" s="1">
        <v>45707</v>
      </c>
      <c r="B33">
        <v>6144.15</v>
      </c>
      <c r="C33">
        <v>6145</v>
      </c>
      <c r="D33" s="1">
        <v>45709</v>
      </c>
      <c r="E33" s="1">
        <v>45737</v>
      </c>
      <c r="F33">
        <v>30</v>
      </c>
      <c r="G33">
        <v>2</v>
      </c>
      <c r="H33">
        <v>30</v>
      </c>
      <c r="I33">
        <v>0</v>
      </c>
      <c r="J33">
        <v>1</v>
      </c>
      <c r="K33" t="s">
        <v>19</v>
      </c>
      <c r="L33" t="s">
        <v>67</v>
      </c>
      <c r="M33">
        <v>17.899999999999999</v>
      </c>
      <c r="N33">
        <v>17.2</v>
      </c>
      <c r="O33">
        <v>18</v>
      </c>
      <c r="P33">
        <v>17.600000000000001</v>
      </c>
      <c r="Q33" t="s">
        <v>21</v>
      </c>
      <c r="R33">
        <v>6.8639999999999999</v>
      </c>
      <c r="S33" t="s">
        <v>68</v>
      </c>
      <c r="T33">
        <v>74.2</v>
      </c>
      <c r="U33">
        <v>75.2</v>
      </c>
      <c r="V33">
        <v>76.599999999999994</v>
      </c>
      <c r="W33">
        <v>75.900000000000006</v>
      </c>
      <c r="X33" t="s">
        <v>21</v>
      </c>
      <c r="Y33">
        <v>11.314</v>
      </c>
      <c r="Z33">
        <f t="shared" si="0"/>
        <v>11.314</v>
      </c>
      <c r="AA33">
        <v>0.112015</v>
      </c>
    </row>
    <row r="34" spans="1:27" x14ac:dyDescent="0.25">
      <c r="A34" s="1">
        <v>45708</v>
      </c>
      <c r="B34">
        <v>6117.52</v>
      </c>
      <c r="C34">
        <v>6120</v>
      </c>
      <c r="D34" s="1">
        <v>45709</v>
      </c>
      <c r="E34" s="1">
        <v>45737</v>
      </c>
      <c r="F34">
        <v>30</v>
      </c>
      <c r="G34">
        <v>1</v>
      </c>
      <c r="H34">
        <v>29</v>
      </c>
      <c r="I34">
        <v>0</v>
      </c>
      <c r="J34">
        <v>1</v>
      </c>
      <c r="K34" t="s">
        <v>19</v>
      </c>
      <c r="L34" t="s">
        <v>47</v>
      </c>
      <c r="M34">
        <v>11.8</v>
      </c>
      <c r="N34">
        <v>9.6</v>
      </c>
      <c r="O34">
        <v>11.2</v>
      </c>
      <c r="P34">
        <v>10.399999999999999</v>
      </c>
      <c r="Q34" t="s">
        <v>21</v>
      </c>
      <c r="R34">
        <v>6.4420000000000002</v>
      </c>
      <c r="S34" t="s">
        <v>48</v>
      </c>
      <c r="T34">
        <v>72.760000000000005</v>
      </c>
      <c r="U34">
        <v>73.599999999999994</v>
      </c>
      <c r="V34">
        <v>74.8</v>
      </c>
      <c r="W34">
        <v>74.199999999999989</v>
      </c>
      <c r="X34" t="s">
        <v>21</v>
      </c>
      <c r="Y34">
        <v>11.561</v>
      </c>
      <c r="Z34">
        <f t="shared" si="0"/>
        <v>11.561</v>
      </c>
      <c r="AA34">
        <v>0.11395</v>
      </c>
    </row>
    <row r="35" spans="1:27" x14ac:dyDescent="0.25">
      <c r="A35" s="1">
        <v>45709</v>
      </c>
      <c r="B35">
        <v>6013.13</v>
      </c>
      <c r="C35">
        <v>6015</v>
      </c>
      <c r="D35" s="1">
        <v>45737</v>
      </c>
      <c r="E35" s="1">
        <v>45764</v>
      </c>
      <c r="F35">
        <v>30</v>
      </c>
      <c r="G35">
        <v>28</v>
      </c>
      <c r="H35">
        <v>55</v>
      </c>
      <c r="I35">
        <v>0.92592592592592593</v>
      </c>
      <c r="J35">
        <v>7.407407407407407E-2</v>
      </c>
      <c r="K35" t="s">
        <v>19</v>
      </c>
      <c r="L35" t="s">
        <v>69</v>
      </c>
      <c r="M35">
        <v>87</v>
      </c>
      <c r="N35">
        <v>85.6</v>
      </c>
      <c r="O35">
        <v>87</v>
      </c>
      <c r="P35">
        <v>86.3</v>
      </c>
      <c r="Q35" t="s">
        <v>21</v>
      </c>
      <c r="R35">
        <v>14.151999999999999</v>
      </c>
      <c r="S35" t="s">
        <v>70</v>
      </c>
      <c r="T35">
        <v>114</v>
      </c>
      <c r="U35">
        <v>112.6</v>
      </c>
      <c r="V35">
        <v>115.2</v>
      </c>
      <c r="W35">
        <v>113.9</v>
      </c>
      <c r="X35" t="s">
        <v>21</v>
      </c>
      <c r="Y35">
        <v>14.083</v>
      </c>
      <c r="Z35">
        <f t="shared" si="0"/>
        <v>14.146888888888888</v>
      </c>
      <c r="AA35">
        <v>0.13998296299999999</v>
      </c>
    </row>
    <row r="36" spans="1:27" x14ac:dyDescent="0.25">
      <c r="A36" s="1">
        <v>45712</v>
      </c>
      <c r="B36">
        <v>5983.25</v>
      </c>
      <c r="C36">
        <v>5985</v>
      </c>
      <c r="D36" s="1">
        <v>45737</v>
      </c>
      <c r="E36" s="1">
        <v>45764</v>
      </c>
      <c r="F36">
        <v>30</v>
      </c>
      <c r="G36">
        <v>25</v>
      </c>
      <c r="H36">
        <v>52</v>
      </c>
      <c r="I36">
        <v>0.81481481481481477</v>
      </c>
      <c r="J36">
        <v>0.18518518518518517</v>
      </c>
      <c r="K36" t="s">
        <v>19</v>
      </c>
      <c r="L36" t="s">
        <v>71</v>
      </c>
      <c r="M36">
        <v>88.8</v>
      </c>
      <c r="N36">
        <v>85.6</v>
      </c>
      <c r="O36">
        <v>87.5</v>
      </c>
      <c r="P36">
        <v>86.55</v>
      </c>
      <c r="Q36" t="s">
        <v>21</v>
      </c>
      <c r="R36">
        <v>14.941000000000001</v>
      </c>
      <c r="S36" t="s">
        <v>72</v>
      </c>
      <c r="T36">
        <v>103.15</v>
      </c>
      <c r="U36">
        <v>113.3</v>
      </c>
      <c r="V36">
        <v>115.4</v>
      </c>
      <c r="W36">
        <v>114.35</v>
      </c>
      <c r="X36" t="s">
        <v>21</v>
      </c>
      <c r="Y36">
        <v>14.577</v>
      </c>
      <c r="Z36">
        <f t="shared" si="0"/>
        <v>14.873592592592592</v>
      </c>
      <c r="AA36">
        <v>0.14749000000000001</v>
      </c>
    </row>
    <row r="37" spans="1:27" x14ac:dyDescent="0.25">
      <c r="A37" s="1">
        <v>45713</v>
      </c>
      <c r="B37">
        <v>5955.25</v>
      </c>
      <c r="C37">
        <v>5955</v>
      </c>
      <c r="D37" s="1">
        <v>45737</v>
      </c>
      <c r="E37" s="1">
        <v>45764</v>
      </c>
      <c r="F37">
        <v>30</v>
      </c>
      <c r="G37">
        <v>24</v>
      </c>
      <c r="H37">
        <v>51</v>
      </c>
      <c r="I37">
        <v>0.77777777777777779</v>
      </c>
      <c r="J37">
        <v>0.22222222222222221</v>
      </c>
      <c r="K37" t="s">
        <v>19</v>
      </c>
      <c r="L37" t="s">
        <v>73</v>
      </c>
      <c r="M37">
        <v>87.45</v>
      </c>
      <c r="N37">
        <v>85.9</v>
      </c>
      <c r="O37">
        <v>87.2</v>
      </c>
      <c r="P37">
        <v>86.550000000000011</v>
      </c>
      <c r="Q37" t="s">
        <v>21</v>
      </c>
      <c r="R37">
        <v>15.677</v>
      </c>
      <c r="S37" t="s">
        <v>74</v>
      </c>
      <c r="T37">
        <v>111.39</v>
      </c>
      <c r="U37">
        <v>114</v>
      </c>
      <c r="V37">
        <v>115.5</v>
      </c>
      <c r="W37">
        <v>114.75</v>
      </c>
      <c r="X37" t="s">
        <v>21</v>
      </c>
      <c r="Y37">
        <v>15.086</v>
      </c>
      <c r="Z37">
        <f t="shared" si="0"/>
        <v>15.545666666666666</v>
      </c>
      <c r="AA37">
        <v>0.15411</v>
      </c>
    </row>
    <row r="38" spans="1:27" x14ac:dyDescent="0.25">
      <c r="A38" s="1">
        <v>45714</v>
      </c>
      <c r="B38">
        <v>5956.06</v>
      </c>
      <c r="C38">
        <v>5955</v>
      </c>
      <c r="D38" s="1">
        <v>45737</v>
      </c>
      <c r="E38" s="1">
        <v>45764</v>
      </c>
      <c r="F38">
        <v>30</v>
      </c>
      <c r="G38">
        <v>23</v>
      </c>
      <c r="H38">
        <v>50</v>
      </c>
      <c r="I38">
        <v>0.7407407407407407</v>
      </c>
      <c r="J38">
        <v>0.25925925925925924</v>
      </c>
      <c r="K38" t="s">
        <v>19</v>
      </c>
      <c r="L38" t="s">
        <v>73</v>
      </c>
      <c r="M38">
        <v>90.1</v>
      </c>
      <c r="N38">
        <v>77</v>
      </c>
      <c r="O38">
        <v>80.7</v>
      </c>
      <c r="P38">
        <v>78.849999999999994</v>
      </c>
      <c r="Q38" t="s">
        <v>21</v>
      </c>
      <c r="R38">
        <v>16.032</v>
      </c>
      <c r="S38" t="s">
        <v>74</v>
      </c>
      <c r="T38">
        <v>116.3</v>
      </c>
      <c r="U38">
        <v>105.3</v>
      </c>
      <c r="V38">
        <v>108.8</v>
      </c>
      <c r="W38">
        <v>107.05</v>
      </c>
      <c r="X38" t="s">
        <v>21</v>
      </c>
      <c r="Y38">
        <v>15.132999999999999</v>
      </c>
      <c r="Z38">
        <f t="shared" si="0"/>
        <v>15.798925925925925</v>
      </c>
      <c r="AA38">
        <v>0.15656851899999999</v>
      </c>
    </row>
    <row r="39" spans="1:27" x14ac:dyDescent="0.25">
      <c r="A39" s="1">
        <v>45715</v>
      </c>
      <c r="B39">
        <v>5861.57</v>
      </c>
      <c r="C39">
        <v>5860</v>
      </c>
      <c r="D39" s="1">
        <v>45737</v>
      </c>
      <c r="E39" s="1">
        <v>45764</v>
      </c>
      <c r="F39">
        <v>30</v>
      </c>
      <c r="G39">
        <v>22</v>
      </c>
      <c r="H39">
        <v>49</v>
      </c>
      <c r="I39">
        <v>0.70370370370370372</v>
      </c>
      <c r="J39">
        <v>0.29629629629629628</v>
      </c>
      <c r="K39" t="s">
        <v>19</v>
      </c>
      <c r="L39" t="s">
        <v>75</v>
      </c>
      <c r="M39">
        <v>97.08</v>
      </c>
      <c r="N39">
        <v>93.9</v>
      </c>
      <c r="O39">
        <v>96.1</v>
      </c>
      <c r="P39">
        <v>95</v>
      </c>
      <c r="Q39" t="s">
        <v>21</v>
      </c>
      <c r="R39">
        <v>18.061</v>
      </c>
      <c r="S39" t="s">
        <v>76</v>
      </c>
      <c r="T39">
        <v>124.57</v>
      </c>
      <c r="U39">
        <v>124.7</v>
      </c>
      <c r="V39">
        <v>126.9</v>
      </c>
      <c r="W39">
        <v>125.80000000000001</v>
      </c>
      <c r="X39" t="s">
        <v>21</v>
      </c>
      <c r="Y39">
        <v>16.812000000000001</v>
      </c>
      <c r="Z39">
        <f t="shared" si="0"/>
        <v>17.690925925925924</v>
      </c>
      <c r="AA39">
        <v>0.17633296300000001</v>
      </c>
    </row>
    <row r="40" spans="1:27" x14ac:dyDescent="0.25">
      <c r="A40" s="1">
        <v>45716</v>
      </c>
      <c r="B40">
        <v>5954.5</v>
      </c>
      <c r="C40">
        <v>5955</v>
      </c>
      <c r="D40" s="1">
        <v>45737</v>
      </c>
      <c r="E40" s="1">
        <v>45764</v>
      </c>
      <c r="F40">
        <v>30</v>
      </c>
      <c r="G40">
        <v>21</v>
      </c>
      <c r="H40">
        <v>48</v>
      </c>
      <c r="I40">
        <v>0.66666666666666663</v>
      </c>
      <c r="J40">
        <v>0.33333333333333331</v>
      </c>
      <c r="K40" t="s">
        <v>19</v>
      </c>
      <c r="L40" t="s">
        <v>73</v>
      </c>
      <c r="M40">
        <v>92</v>
      </c>
      <c r="N40">
        <v>91.3</v>
      </c>
      <c r="O40">
        <v>92.2</v>
      </c>
      <c r="P40">
        <v>91.75</v>
      </c>
      <c r="Q40" t="s">
        <v>21</v>
      </c>
      <c r="R40">
        <v>16.050999999999998</v>
      </c>
      <c r="S40" t="s">
        <v>74</v>
      </c>
      <c r="T40">
        <v>176.2</v>
      </c>
      <c r="U40">
        <v>122.1</v>
      </c>
      <c r="V40">
        <v>124.2</v>
      </c>
      <c r="W40">
        <v>123.15</v>
      </c>
      <c r="X40" t="s">
        <v>21</v>
      </c>
      <c r="Y40">
        <v>15.381</v>
      </c>
      <c r="Z40">
        <f t="shared" si="0"/>
        <v>15.827666666666666</v>
      </c>
      <c r="AA40">
        <v>0.158038333</v>
      </c>
    </row>
    <row r="41" spans="1:27" x14ac:dyDescent="0.25">
      <c r="A41" s="1">
        <v>45719</v>
      </c>
      <c r="B41">
        <v>5849.72</v>
      </c>
      <c r="C41">
        <v>5850</v>
      </c>
      <c r="D41" s="1">
        <v>45737</v>
      </c>
      <c r="E41" s="1">
        <v>45764</v>
      </c>
      <c r="F41">
        <v>30</v>
      </c>
      <c r="G41">
        <v>18</v>
      </c>
      <c r="H41">
        <v>45</v>
      </c>
      <c r="I41">
        <v>0.55555555555555558</v>
      </c>
      <c r="J41">
        <v>0.44444444444444442</v>
      </c>
      <c r="K41" t="s">
        <v>19</v>
      </c>
      <c r="L41" t="s">
        <v>77</v>
      </c>
      <c r="M41">
        <v>93</v>
      </c>
      <c r="N41">
        <v>90.7</v>
      </c>
      <c r="O41">
        <v>92.3</v>
      </c>
      <c r="P41">
        <v>91.5</v>
      </c>
      <c r="Q41" t="s">
        <v>21</v>
      </c>
      <c r="R41">
        <v>19.082000000000001</v>
      </c>
      <c r="S41" t="s">
        <v>78</v>
      </c>
      <c r="T41">
        <v>128.94</v>
      </c>
      <c r="U41">
        <v>125.2</v>
      </c>
      <c r="V41">
        <v>127</v>
      </c>
      <c r="W41">
        <v>126.1</v>
      </c>
      <c r="X41" t="s">
        <v>21</v>
      </c>
      <c r="Y41">
        <v>17.649000000000001</v>
      </c>
      <c r="Z41">
        <f t="shared" si="0"/>
        <v>18.445111111111114</v>
      </c>
      <c r="AA41">
        <v>0.18350222199999999</v>
      </c>
    </row>
    <row r="42" spans="1:27" x14ac:dyDescent="0.25">
      <c r="A42" s="1">
        <v>45720</v>
      </c>
      <c r="B42">
        <v>5778.15</v>
      </c>
      <c r="C42">
        <v>5780</v>
      </c>
      <c r="D42" s="1">
        <v>45737</v>
      </c>
      <c r="E42" s="1">
        <v>45764</v>
      </c>
      <c r="F42">
        <v>30</v>
      </c>
      <c r="G42">
        <v>17</v>
      </c>
      <c r="H42">
        <v>44</v>
      </c>
      <c r="I42">
        <v>0.51851851851851849</v>
      </c>
      <c r="J42">
        <v>0.48148148148148145</v>
      </c>
      <c r="K42" t="s">
        <v>19</v>
      </c>
      <c r="L42" t="s">
        <v>79</v>
      </c>
      <c r="M42">
        <v>97.5</v>
      </c>
      <c r="N42">
        <v>85.1</v>
      </c>
      <c r="O42">
        <v>86.5</v>
      </c>
      <c r="P42">
        <v>85.8</v>
      </c>
      <c r="Q42" t="s">
        <v>21</v>
      </c>
      <c r="R42">
        <v>20.588999999999999</v>
      </c>
      <c r="S42" t="s">
        <v>80</v>
      </c>
      <c r="T42">
        <v>139.06</v>
      </c>
      <c r="U42">
        <v>121</v>
      </c>
      <c r="V42">
        <v>122.5</v>
      </c>
      <c r="W42">
        <v>121.75</v>
      </c>
      <c r="X42" t="s">
        <v>21</v>
      </c>
      <c r="Y42">
        <v>18.544</v>
      </c>
      <c r="Z42">
        <f t="shared" si="0"/>
        <v>19.604370370370368</v>
      </c>
      <c r="AA42">
        <v>0.19487907400000001</v>
      </c>
    </row>
    <row r="43" spans="1:27" x14ac:dyDescent="0.25">
      <c r="A43" s="1">
        <v>45721</v>
      </c>
      <c r="B43">
        <v>5842.63</v>
      </c>
      <c r="C43">
        <v>5845</v>
      </c>
      <c r="D43" s="1">
        <v>45737</v>
      </c>
      <c r="E43" s="1">
        <v>45764</v>
      </c>
      <c r="F43">
        <v>30</v>
      </c>
      <c r="G43">
        <v>16</v>
      </c>
      <c r="H43">
        <v>43</v>
      </c>
      <c r="I43">
        <v>0.48148148148148145</v>
      </c>
      <c r="J43">
        <v>0.51851851851851849</v>
      </c>
      <c r="K43" t="s">
        <v>19</v>
      </c>
      <c r="L43" t="s">
        <v>81</v>
      </c>
      <c r="M43">
        <v>99</v>
      </c>
      <c r="N43">
        <v>97.3</v>
      </c>
      <c r="O43">
        <v>99.3</v>
      </c>
      <c r="P43">
        <v>98.3</v>
      </c>
      <c r="Q43" t="s">
        <v>21</v>
      </c>
      <c r="R43">
        <v>19.655999999999999</v>
      </c>
      <c r="S43" t="s">
        <v>82</v>
      </c>
      <c r="T43">
        <v>129.44</v>
      </c>
      <c r="U43">
        <v>130.5</v>
      </c>
      <c r="V43">
        <v>133.30000000000001</v>
      </c>
      <c r="W43">
        <v>131.9</v>
      </c>
      <c r="X43" t="s">
        <v>21</v>
      </c>
      <c r="Y43">
        <v>17.491</v>
      </c>
      <c r="Z43">
        <f t="shared" si="0"/>
        <v>18.533407407407406</v>
      </c>
      <c r="AA43">
        <v>0.18432185200000001</v>
      </c>
    </row>
    <row r="44" spans="1:27" x14ac:dyDescent="0.25">
      <c r="A44" s="1">
        <v>45722</v>
      </c>
      <c r="B44">
        <v>5738.52</v>
      </c>
      <c r="C44">
        <v>5740</v>
      </c>
      <c r="D44" s="1">
        <v>45737</v>
      </c>
      <c r="E44" s="1">
        <v>45764</v>
      </c>
      <c r="F44">
        <v>30</v>
      </c>
      <c r="G44">
        <v>15</v>
      </c>
      <c r="H44">
        <v>42</v>
      </c>
      <c r="I44">
        <v>0.44444444444444442</v>
      </c>
      <c r="J44">
        <v>0.55555555555555558</v>
      </c>
      <c r="K44" t="s">
        <v>19</v>
      </c>
      <c r="L44" t="s">
        <v>83</v>
      </c>
      <c r="M44">
        <v>99.7</v>
      </c>
      <c r="N44">
        <v>98</v>
      </c>
      <c r="O44">
        <v>100</v>
      </c>
      <c r="P44">
        <v>99</v>
      </c>
      <c r="Q44" t="s">
        <v>21</v>
      </c>
      <c r="R44">
        <v>23.155999999999999</v>
      </c>
      <c r="S44" t="s">
        <v>84</v>
      </c>
      <c r="T44">
        <v>137.97</v>
      </c>
      <c r="U44">
        <v>137.30000000000001</v>
      </c>
      <c r="V44">
        <v>139.5</v>
      </c>
      <c r="W44">
        <v>138.4</v>
      </c>
      <c r="X44" t="s">
        <v>21</v>
      </c>
      <c r="Y44">
        <v>20.076000000000001</v>
      </c>
      <c r="Z44">
        <f t="shared" si="0"/>
        <v>21.44488888888889</v>
      </c>
      <c r="AA44">
        <v>0.21380444400000001</v>
      </c>
    </row>
    <row r="45" spans="1:27" x14ac:dyDescent="0.25">
      <c r="A45" s="1">
        <v>45723</v>
      </c>
      <c r="B45">
        <v>5770.2</v>
      </c>
      <c r="C45">
        <v>5770</v>
      </c>
      <c r="D45" s="1">
        <v>45737</v>
      </c>
      <c r="E45" s="1">
        <v>45764</v>
      </c>
      <c r="F45">
        <v>30</v>
      </c>
      <c r="G45">
        <v>14</v>
      </c>
      <c r="H45">
        <v>41</v>
      </c>
      <c r="I45">
        <v>0.40740740740740738</v>
      </c>
      <c r="J45">
        <v>0.59259259259259256</v>
      </c>
      <c r="K45" t="s">
        <v>19</v>
      </c>
      <c r="L45" t="s">
        <v>85</v>
      </c>
      <c r="M45">
        <v>96</v>
      </c>
      <c r="N45">
        <v>93.8</v>
      </c>
      <c r="O45">
        <v>95.5</v>
      </c>
      <c r="P45">
        <v>94.65</v>
      </c>
      <c r="Q45" t="s">
        <v>21</v>
      </c>
      <c r="R45">
        <v>21.402999999999999</v>
      </c>
      <c r="S45" t="s">
        <v>86</v>
      </c>
      <c r="T45">
        <v>136.88</v>
      </c>
      <c r="U45">
        <v>134.1</v>
      </c>
      <c r="V45">
        <v>136.5</v>
      </c>
      <c r="W45">
        <v>135.30000000000001</v>
      </c>
      <c r="X45" t="s">
        <v>21</v>
      </c>
      <c r="Y45">
        <v>18.911999999999999</v>
      </c>
      <c r="Z45">
        <f t="shared" si="0"/>
        <v>19.92685185185185</v>
      </c>
      <c r="AA45">
        <v>0.19796277800000001</v>
      </c>
    </row>
    <row r="46" spans="1:27" x14ac:dyDescent="0.25">
      <c r="A46" s="1">
        <v>45726</v>
      </c>
      <c r="B46">
        <v>5614.56</v>
      </c>
      <c r="C46">
        <v>5615</v>
      </c>
      <c r="D46" s="1">
        <v>45737</v>
      </c>
      <c r="E46" s="1">
        <v>45764</v>
      </c>
      <c r="F46">
        <v>30</v>
      </c>
      <c r="G46">
        <v>11</v>
      </c>
      <c r="H46">
        <v>38</v>
      </c>
      <c r="I46">
        <v>0.29629629629629628</v>
      </c>
      <c r="J46">
        <v>0.70370370370370372</v>
      </c>
      <c r="K46" t="s">
        <v>19</v>
      </c>
      <c r="L46" t="s">
        <v>87</v>
      </c>
      <c r="M46">
        <v>104</v>
      </c>
      <c r="N46">
        <v>98.3</v>
      </c>
      <c r="O46">
        <v>100.5</v>
      </c>
      <c r="P46">
        <v>99.4</v>
      </c>
      <c r="Q46" t="s">
        <v>21</v>
      </c>
      <c r="R46">
        <v>25.170999999999999</v>
      </c>
      <c r="S46" t="s">
        <v>88</v>
      </c>
      <c r="T46">
        <v>138</v>
      </c>
      <c r="U46">
        <v>145.69999999999999</v>
      </c>
      <c r="V46">
        <v>148.5</v>
      </c>
      <c r="W46">
        <v>147.1</v>
      </c>
      <c r="X46" t="s">
        <v>21</v>
      </c>
      <c r="Y46">
        <v>21.792000000000002</v>
      </c>
      <c r="Z46">
        <f t="shared" si="0"/>
        <v>22.793185185185187</v>
      </c>
      <c r="AA46">
        <v>0.22893074099999999</v>
      </c>
    </row>
    <row r="47" spans="1:27" x14ac:dyDescent="0.25">
      <c r="A47" s="1">
        <v>45727</v>
      </c>
      <c r="B47">
        <v>5572.07</v>
      </c>
      <c r="C47">
        <v>5570</v>
      </c>
      <c r="D47" s="1">
        <v>45737</v>
      </c>
      <c r="E47" s="1">
        <v>45764</v>
      </c>
      <c r="F47">
        <v>30</v>
      </c>
      <c r="G47">
        <v>10</v>
      </c>
      <c r="H47">
        <v>37</v>
      </c>
      <c r="I47">
        <v>0.25925925925925924</v>
      </c>
      <c r="J47">
        <v>0.7407407407407407</v>
      </c>
      <c r="K47" t="s">
        <v>19</v>
      </c>
      <c r="L47" t="s">
        <v>89</v>
      </c>
      <c r="M47">
        <v>96.1</v>
      </c>
      <c r="N47">
        <v>95.8</v>
      </c>
      <c r="O47">
        <v>97.6</v>
      </c>
      <c r="P47">
        <v>96.699999999999989</v>
      </c>
      <c r="Q47" t="s">
        <v>21</v>
      </c>
      <c r="R47">
        <v>25.527999999999999</v>
      </c>
      <c r="S47" t="s">
        <v>90</v>
      </c>
      <c r="T47">
        <v>150.78</v>
      </c>
      <c r="U47">
        <v>147.9</v>
      </c>
      <c r="V47">
        <v>150.30000000000001</v>
      </c>
      <c r="W47">
        <v>149.10000000000002</v>
      </c>
      <c r="X47" t="s">
        <v>21</v>
      </c>
      <c r="Y47">
        <v>22.241</v>
      </c>
      <c r="Z47">
        <f t="shared" si="0"/>
        <v>23.093185185185185</v>
      </c>
      <c r="AA47">
        <v>0.23091055599999999</v>
      </c>
    </row>
    <row r="48" spans="1:27" x14ac:dyDescent="0.25">
      <c r="A48" s="1">
        <v>45728</v>
      </c>
      <c r="B48">
        <v>5599.3</v>
      </c>
      <c r="C48">
        <v>5600</v>
      </c>
      <c r="D48" s="1">
        <v>45737</v>
      </c>
      <c r="E48" s="1">
        <v>45764</v>
      </c>
      <c r="F48">
        <v>30</v>
      </c>
      <c r="G48">
        <v>9</v>
      </c>
      <c r="H48">
        <v>36</v>
      </c>
      <c r="I48">
        <v>0.22222222222222221</v>
      </c>
      <c r="J48">
        <v>0.77777777777777779</v>
      </c>
      <c r="K48" t="s">
        <v>19</v>
      </c>
      <c r="L48" t="s">
        <v>91</v>
      </c>
      <c r="M48">
        <v>83</v>
      </c>
      <c r="N48">
        <v>83.9</v>
      </c>
      <c r="O48">
        <v>85.6</v>
      </c>
      <c r="P48">
        <v>84.75</v>
      </c>
      <c r="Q48" t="s">
        <v>21</v>
      </c>
      <c r="R48">
        <v>22.853999999999999</v>
      </c>
      <c r="S48" t="s">
        <v>92</v>
      </c>
      <c r="T48">
        <v>133.1</v>
      </c>
      <c r="U48">
        <v>137.6</v>
      </c>
      <c r="V48">
        <v>139.6</v>
      </c>
      <c r="W48">
        <v>138.6</v>
      </c>
      <c r="X48" t="s">
        <v>21</v>
      </c>
      <c r="Y48">
        <v>20.471</v>
      </c>
      <c r="Z48">
        <f t="shared" si="0"/>
        <v>21.000555555555554</v>
      </c>
      <c r="AA48">
        <v>0.20916611099999999</v>
      </c>
    </row>
    <row r="49" spans="1:27" x14ac:dyDescent="0.25">
      <c r="A49" s="1">
        <v>45729</v>
      </c>
      <c r="B49">
        <v>5521.52</v>
      </c>
      <c r="C49">
        <v>5520</v>
      </c>
      <c r="D49" s="1">
        <v>45737</v>
      </c>
      <c r="E49" s="1">
        <v>45764</v>
      </c>
      <c r="F49">
        <v>30</v>
      </c>
      <c r="G49">
        <v>8</v>
      </c>
      <c r="H49">
        <v>35</v>
      </c>
      <c r="I49">
        <v>0.18518518518518517</v>
      </c>
      <c r="J49">
        <v>0.81481481481481477</v>
      </c>
      <c r="K49" t="s">
        <v>19</v>
      </c>
      <c r="L49" t="s">
        <v>93</v>
      </c>
      <c r="M49">
        <v>69.040000000000006</v>
      </c>
      <c r="N49">
        <v>70</v>
      </c>
      <c r="O49">
        <v>71.3</v>
      </c>
      <c r="P49">
        <v>70.650000000000006</v>
      </c>
      <c r="Q49" t="s">
        <v>21</v>
      </c>
      <c r="R49">
        <v>23.734999999999999</v>
      </c>
      <c r="S49" t="s">
        <v>94</v>
      </c>
      <c r="T49">
        <v>137.38</v>
      </c>
      <c r="U49">
        <v>130.9</v>
      </c>
      <c r="V49">
        <v>132.6</v>
      </c>
      <c r="W49">
        <v>131.75</v>
      </c>
      <c r="X49" t="s">
        <v>21</v>
      </c>
      <c r="Y49">
        <v>21.45</v>
      </c>
      <c r="Z49">
        <f t="shared" si="0"/>
        <v>21.873148148148147</v>
      </c>
      <c r="AA49">
        <v>0.217734444</v>
      </c>
    </row>
    <row r="50" spans="1:27" x14ac:dyDescent="0.25">
      <c r="A50" s="1">
        <v>45730</v>
      </c>
      <c r="B50">
        <v>5638.94</v>
      </c>
      <c r="C50">
        <v>5640</v>
      </c>
      <c r="D50" s="1">
        <v>45737</v>
      </c>
      <c r="E50" s="1">
        <v>45764</v>
      </c>
      <c r="F50">
        <v>30</v>
      </c>
      <c r="G50">
        <v>7</v>
      </c>
      <c r="H50">
        <v>34</v>
      </c>
      <c r="I50">
        <v>0.14814814814814814</v>
      </c>
      <c r="J50">
        <v>0.85185185185185186</v>
      </c>
      <c r="K50" t="s">
        <v>19</v>
      </c>
      <c r="L50" t="s">
        <v>95</v>
      </c>
      <c r="M50">
        <v>66.569999999999993</v>
      </c>
      <c r="N50">
        <v>66.099999999999994</v>
      </c>
      <c r="O50">
        <v>67.900000000000006</v>
      </c>
      <c r="P50">
        <v>67</v>
      </c>
      <c r="Q50" t="s">
        <v>21</v>
      </c>
      <c r="R50">
        <v>19.878</v>
      </c>
      <c r="S50" t="s">
        <v>96</v>
      </c>
      <c r="T50">
        <v>120.8</v>
      </c>
      <c r="U50">
        <v>124.6</v>
      </c>
      <c r="V50">
        <v>126.8</v>
      </c>
      <c r="W50">
        <v>125.69999999999999</v>
      </c>
      <c r="X50" t="s">
        <v>21</v>
      </c>
      <c r="Y50">
        <v>18.82</v>
      </c>
      <c r="Z50">
        <f t="shared" si="0"/>
        <v>18.976740740740741</v>
      </c>
      <c r="AA50">
        <v>0.18848388899999999</v>
      </c>
    </row>
    <row r="51" spans="1:27" x14ac:dyDescent="0.25">
      <c r="A51" s="1">
        <v>45733</v>
      </c>
      <c r="B51">
        <v>5675.12</v>
      </c>
      <c r="C51">
        <v>5675</v>
      </c>
      <c r="D51" s="1">
        <v>45737</v>
      </c>
      <c r="E51" s="1">
        <v>45764</v>
      </c>
      <c r="F51">
        <v>30</v>
      </c>
      <c r="G51">
        <v>4</v>
      </c>
      <c r="H51">
        <v>31</v>
      </c>
      <c r="I51">
        <v>3.7037037037037035E-2</v>
      </c>
      <c r="J51">
        <v>0.96296296296296291</v>
      </c>
      <c r="K51" t="s">
        <v>19</v>
      </c>
      <c r="L51" t="s">
        <v>97</v>
      </c>
      <c r="M51">
        <v>47.57</v>
      </c>
      <c r="N51">
        <v>46.2</v>
      </c>
      <c r="O51">
        <v>47.3</v>
      </c>
      <c r="P51">
        <v>46.75</v>
      </c>
      <c r="Q51" t="s">
        <v>21</v>
      </c>
      <c r="R51">
        <v>17.54</v>
      </c>
      <c r="S51" t="s">
        <v>98</v>
      </c>
      <c r="T51">
        <v>100.99</v>
      </c>
      <c r="U51">
        <v>107.3</v>
      </c>
      <c r="V51">
        <v>108.8</v>
      </c>
      <c r="W51">
        <v>108.05</v>
      </c>
      <c r="X51" t="s">
        <v>21</v>
      </c>
      <c r="Y51">
        <v>17.545000000000002</v>
      </c>
      <c r="Z51">
        <f t="shared" si="0"/>
        <v>17.544814814814814</v>
      </c>
      <c r="AA51">
        <v>0.175330926</v>
      </c>
    </row>
    <row r="52" spans="1:27" x14ac:dyDescent="0.25">
      <c r="A52" s="1">
        <v>45734</v>
      </c>
      <c r="B52">
        <v>5614.66</v>
      </c>
      <c r="C52">
        <v>5615</v>
      </c>
      <c r="D52" s="1">
        <v>45737</v>
      </c>
      <c r="E52" s="1">
        <v>45764</v>
      </c>
      <c r="F52">
        <v>30</v>
      </c>
      <c r="G52">
        <v>3</v>
      </c>
      <c r="H52">
        <v>30</v>
      </c>
      <c r="I52">
        <v>0</v>
      </c>
      <c r="J52">
        <v>1</v>
      </c>
      <c r="K52" t="s">
        <v>19</v>
      </c>
      <c r="L52" t="s">
        <v>87</v>
      </c>
      <c r="M52">
        <v>46.43</v>
      </c>
      <c r="N52">
        <v>44.6</v>
      </c>
      <c r="O52">
        <v>45.8</v>
      </c>
      <c r="P52">
        <v>45.2</v>
      </c>
      <c r="Q52" t="s">
        <v>21</v>
      </c>
      <c r="R52">
        <v>20.277999999999999</v>
      </c>
      <c r="S52" t="s">
        <v>88</v>
      </c>
      <c r="T52">
        <v>113.45</v>
      </c>
      <c r="U52">
        <v>112.6</v>
      </c>
      <c r="V52">
        <v>114.3</v>
      </c>
      <c r="W52">
        <v>113.44999999999999</v>
      </c>
      <c r="X52" t="s">
        <v>21</v>
      </c>
      <c r="Y52">
        <v>18.898</v>
      </c>
      <c r="Z52">
        <f t="shared" si="0"/>
        <v>18.898</v>
      </c>
      <c r="AA52">
        <v>0.18795000000000001</v>
      </c>
    </row>
    <row r="53" spans="1:27" x14ac:dyDescent="0.25">
      <c r="A53" s="1">
        <v>45735</v>
      </c>
      <c r="B53">
        <v>5675.29</v>
      </c>
      <c r="C53">
        <v>5675</v>
      </c>
      <c r="D53" s="1">
        <v>45737</v>
      </c>
      <c r="E53" s="1">
        <v>45764</v>
      </c>
      <c r="F53">
        <v>30</v>
      </c>
      <c r="G53">
        <v>2</v>
      </c>
      <c r="H53">
        <v>29</v>
      </c>
      <c r="I53">
        <v>0</v>
      </c>
      <c r="J53">
        <v>1</v>
      </c>
      <c r="K53" t="s">
        <v>19</v>
      </c>
      <c r="L53" t="s">
        <v>97</v>
      </c>
      <c r="M53">
        <v>27.22</v>
      </c>
      <c r="N53">
        <v>28.4</v>
      </c>
      <c r="O53">
        <v>29.5</v>
      </c>
      <c r="P53">
        <v>28.95</v>
      </c>
      <c r="Q53" t="s">
        <v>21</v>
      </c>
      <c r="R53">
        <v>16.405999999999999</v>
      </c>
      <c r="S53" t="s">
        <v>98</v>
      </c>
      <c r="T53">
        <v>99.5</v>
      </c>
      <c r="U53">
        <v>101.2</v>
      </c>
      <c r="V53">
        <v>103.1</v>
      </c>
      <c r="W53">
        <v>102.15</v>
      </c>
      <c r="X53" t="s">
        <v>21</v>
      </c>
      <c r="Y53">
        <v>17.324000000000002</v>
      </c>
      <c r="Z53">
        <f t="shared" si="0"/>
        <v>17.324000000000002</v>
      </c>
      <c r="AA53">
        <v>0.172765</v>
      </c>
    </row>
    <row r="54" spans="1:27" x14ac:dyDescent="0.25">
      <c r="A54" s="1">
        <v>45736</v>
      </c>
      <c r="B54">
        <v>5662.89</v>
      </c>
      <c r="C54">
        <v>5665</v>
      </c>
      <c r="D54" s="1">
        <v>45737</v>
      </c>
      <c r="E54" s="1">
        <v>45764</v>
      </c>
      <c r="F54">
        <v>30</v>
      </c>
      <c r="G54">
        <v>1</v>
      </c>
      <c r="H54">
        <v>28</v>
      </c>
      <c r="I54">
        <v>0</v>
      </c>
      <c r="J54">
        <v>1</v>
      </c>
      <c r="K54" t="s">
        <v>19</v>
      </c>
      <c r="L54" t="s">
        <v>99</v>
      </c>
      <c r="M54">
        <v>14.8</v>
      </c>
      <c r="N54">
        <v>14.8</v>
      </c>
      <c r="O54">
        <v>15.7</v>
      </c>
      <c r="P54">
        <v>15.25</v>
      </c>
      <c r="Q54" t="s">
        <v>21</v>
      </c>
      <c r="R54">
        <v>12.541</v>
      </c>
      <c r="S54" t="s">
        <v>100</v>
      </c>
      <c r="T54">
        <v>100.27</v>
      </c>
      <c r="U54">
        <v>99.6</v>
      </c>
      <c r="V54">
        <v>101.3</v>
      </c>
      <c r="W54">
        <v>100.44999999999999</v>
      </c>
      <c r="X54" t="s">
        <v>21</v>
      </c>
      <c r="Y54">
        <v>17.283999999999999</v>
      </c>
      <c r="Z54">
        <f t="shared" si="0"/>
        <v>17.283999999999999</v>
      </c>
      <c r="AA54">
        <v>0.17236000000000001</v>
      </c>
    </row>
    <row r="55" spans="1:27" x14ac:dyDescent="0.25">
      <c r="A55" s="1">
        <v>45737</v>
      </c>
      <c r="B55">
        <v>5667.56</v>
      </c>
      <c r="C55">
        <v>5670</v>
      </c>
      <c r="D55" s="1">
        <v>45764</v>
      </c>
      <c r="E55" s="1">
        <v>45793</v>
      </c>
      <c r="F55">
        <v>30</v>
      </c>
      <c r="G55">
        <v>27</v>
      </c>
      <c r="H55">
        <v>56</v>
      </c>
      <c r="I55">
        <v>0.89655172413793105</v>
      </c>
      <c r="J55">
        <v>0.10344827586206896</v>
      </c>
      <c r="K55" t="s">
        <v>19</v>
      </c>
      <c r="L55" t="s">
        <v>101</v>
      </c>
      <c r="M55">
        <v>106.89</v>
      </c>
      <c r="N55">
        <v>96.6</v>
      </c>
      <c r="O55">
        <v>97.8</v>
      </c>
      <c r="P55">
        <v>97.199999999999989</v>
      </c>
      <c r="Q55" t="s">
        <v>21</v>
      </c>
      <c r="R55">
        <v>16.960999999999999</v>
      </c>
      <c r="S55" t="s">
        <v>102</v>
      </c>
      <c r="T55">
        <v>144.80000000000001</v>
      </c>
      <c r="U55">
        <v>130.9</v>
      </c>
      <c r="V55">
        <v>132.4</v>
      </c>
      <c r="W55">
        <v>131.65</v>
      </c>
      <c r="X55" t="s">
        <v>21</v>
      </c>
      <c r="Y55">
        <v>16.626000000000001</v>
      </c>
      <c r="Z55">
        <f t="shared" si="0"/>
        <v>16.926344827586206</v>
      </c>
      <c r="AA55">
        <v>0.16874603399999999</v>
      </c>
    </row>
    <row r="56" spans="1:27" x14ac:dyDescent="0.25">
      <c r="A56" s="1">
        <v>45740</v>
      </c>
      <c r="B56">
        <v>5767.57</v>
      </c>
      <c r="C56">
        <v>5770</v>
      </c>
      <c r="D56" s="1">
        <v>45764</v>
      </c>
      <c r="E56" s="1">
        <v>45793</v>
      </c>
      <c r="F56">
        <v>30</v>
      </c>
      <c r="G56">
        <v>24</v>
      </c>
      <c r="H56">
        <v>53</v>
      </c>
      <c r="I56">
        <v>0.7931034482758621</v>
      </c>
      <c r="J56">
        <v>0.20689655172413793</v>
      </c>
      <c r="K56" t="s">
        <v>19</v>
      </c>
      <c r="L56" t="s">
        <v>86</v>
      </c>
      <c r="M56">
        <v>83.93</v>
      </c>
      <c r="N56">
        <v>86.3</v>
      </c>
      <c r="O56">
        <v>87.8</v>
      </c>
      <c r="P56">
        <v>87.05</v>
      </c>
      <c r="Q56" t="s">
        <v>21</v>
      </c>
      <c r="R56">
        <v>14.933</v>
      </c>
      <c r="S56" t="s">
        <v>103</v>
      </c>
      <c r="T56">
        <v>124.02</v>
      </c>
      <c r="U56">
        <v>120.3</v>
      </c>
      <c r="V56">
        <v>121.7</v>
      </c>
      <c r="W56">
        <v>121</v>
      </c>
      <c r="X56" t="s">
        <v>21</v>
      </c>
      <c r="Y56">
        <v>15.04</v>
      </c>
      <c r="Z56">
        <f t="shared" si="0"/>
        <v>14.955137931034482</v>
      </c>
      <c r="AA56">
        <v>0.149143793</v>
      </c>
    </row>
    <row r="57" spans="1:27" x14ac:dyDescent="0.25">
      <c r="A57" s="1">
        <v>45741</v>
      </c>
      <c r="B57">
        <v>5776.65</v>
      </c>
      <c r="C57">
        <v>5775</v>
      </c>
      <c r="D57" s="1">
        <v>45764</v>
      </c>
      <c r="E57" s="1">
        <v>45793</v>
      </c>
      <c r="F57">
        <v>30</v>
      </c>
      <c r="G57">
        <v>23</v>
      </c>
      <c r="H57">
        <v>52</v>
      </c>
      <c r="I57">
        <v>0.75862068965517238</v>
      </c>
      <c r="J57">
        <v>0.2413793103448276</v>
      </c>
      <c r="K57" t="s">
        <v>19</v>
      </c>
      <c r="L57" t="s">
        <v>104</v>
      </c>
      <c r="M57">
        <v>80</v>
      </c>
      <c r="N57">
        <v>76.7</v>
      </c>
      <c r="O57">
        <v>78.2</v>
      </c>
      <c r="P57">
        <v>77.45</v>
      </c>
      <c r="Q57" t="s">
        <v>21</v>
      </c>
      <c r="R57">
        <v>14.786</v>
      </c>
      <c r="S57" t="s">
        <v>105</v>
      </c>
      <c r="T57">
        <v>116.91</v>
      </c>
      <c r="U57">
        <v>112.6</v>
      </c>
      <c r="V57">
        <v>114.1</v>
      </c>
      <c r="W57">
        <v>113.35</v>
      </c>
      <c r="X57" t="s">
        <v>21</v>
      </c>
      <c r="Y57">
        <v>15.015000000000001</v>
      </c>
      <c r="Z57">
        <f t="shared" si="0"/>
        <v>14.841275862068965</v>
      </c>
      <c r="AA57">
        <v>0.147548966</v>
      </c>
    </row>
    <row r="58" spans="1:27" x14ac:dyDescent="0.25">
      <c r="A58" s="1">
        <v>45742</v>
      </c>
      <c r="B58">
        <v>5712.2</v>
      </c>
      <c r="C58">
        <v>5710</v>
      </c>
      <c r="D58" s="1">
        <v>45764</v>
      </c>
      <c r="E58" s="1">
        <v>45793</v>
      </c>
      <c r="F58">
        <v>30</v>
      </c>
      <c r="G58">
        <v>22</v>
      </c>
      <c r="H58">
        <v>51</v>
      </c>
      <c r="I58">
        <v>0.72413793103448276</v>
      </c>
      <c r="J58">
        <v>0.27586206896551724</v>
      </c>
      <c r="K58" t="s">
        <v>19</v>
      </c>
      <c r="L58" t="s">
        <v>106</v>
      </c>
      <c r="M58">
        <v>83.5</v>
      </c>
      <c r="N58">
        <v>86</v>
      </c>
      <c r="O58">
        <v>87.7</v>
      </c>
      <c r="P58">
        <v>86.85</v>
      </c>
      <c r="Q58" t="s">
        <v>21</v>
      </c>
      <c r="R58">
        <v>16.231999999999999</v>
      </c>
      <c r="S58" t="s">
        <v>107</v>
      </c>
      <c r="T58">
        <v>118.85</v>
      </c>
      <c r="U58">
        <v>122.6</v>
      </c>
      <c r="V58">
        <v>124.4</v>
      </c>
      <c r="W58">
        <v>123.5</v>
      </c>
      <c r="X58" t="s">
        <v>21</v>
      </c>
      <c r="Y58">
        <v>16.001999999999999</v>
      </c>
      <c r="Z58">
        <f t="shared" si="0"/>
        <v>16.168551724137931</v>
      </c>
      <c r="AA58">
        <v>0.161085172</v>
      </c>
    </row>
    <row r="59" spans="1:27" x14ac:dyDescent="0.25">
      <c r="A59" s="1">
        <v>45743</v>
      </c>
      <c r="B59">
        <v>5693.31</v>
      </c>
      <c r="C59">
        <v>5695</v>
      </c>
      <c r="D59" s="1">
        <v>45764</v>
      </c>
      <c r="E59" s="1">
        <v>45793</v>
      </c>
      <c r="F59">
        <v>30</v>
      </c>
      <c r="G59">
        <v>21</v>
      </c>
      <c r="H59">
        <v>50</v>
      </c>
      <c r="I59">
        <v>0.68965517241379315</v>
      </c>
      <c r="J59">
        <v>0.31034482758620691</v>
      </c>
      <c r="K59" t="s">
        <v>19</v>
      </c>
      <c r="L59" t="s">
        <v>108</v>
      </c>
      <c r="M59">
        <v>85</v>
      </c>
      <c r="N59">
        <v>85.3</v>
      </c>
      <c r="O59">
        <v>86.7</v>
      </c>
      <c r="P59">
        <v>86</v>
      </c>
      <c r="Q59" t="s">
        <v>21</v>
      </c>
      <c r="R59">
        <v>16.815000000000001</v>
      </c>
      <c r="S59" t="s">
        <v>109</v>
      </c>
      <c r="T59">
        <v>116.82</v>
      </c>
      <c r="U59">
        <v>122.8</v>
      </c>
      <c r="V59">
        <v>124.4</v>
      </c>
      <c r="W59">
        <v>123.6</v>
      </c>
      <c r="X59" t="s">
        <v>21</v>
      </c>
      <c r="Y59">
        <v>16.379000000000001</v>
      </c>
      <c r="Z59">
        <f t="shared" si="0"/>
        <v>16.679689655172417</v>
      </c>
      <c r="AA59">
        <v>0.165721379</v>
      </c>
    </row>
    <row r="60" spans="1:27" x14ac:dyDescent="0.25">
      <c r="A60" s="1">
        <v>45744</v>
      </c>
      <c r="B60">
        <v>5580.94</v>
      </c>
      <c r="C60">
        <v>5580</v>
      </c>
      <c r="D60" s="1">
        <v>45764</v>
      </c>
      <c r="E60" s="1">
        <v>45793</v>
      </c>
      <c r="F60">
        <v>30</v>
      </c>
      <c r="G60">
        <v>20</v>
      </c>
      <c r="H60">
        <v>49</v>
      </c>
      <c r="I60">
        <v>0.65517241379310343</v>
      </c>
      <c r="J60">
        <v>0.34482758620689657</v>
      </c>
      <c r="K60" t="s">
        <v>19</v>
      </c>
      <c r="L60" t="s">
        <v>110</v>
      </c>
      <c r="M60">
        <v>101.2</v>
      </c>
      <c r="N60">
        <v>107.1</v>
      </c>
      <c r="O60">
        <v>109</v>
      </c>
      <c r="P60">
        <v>108.05</v>
      </c>
      <c r="Q60" t="s">
        <v>21</v>
      </c>
      <c r="R60">
        <v>19.55</v>
      </c>
      <c r="S60" t="s">
        <v>111</v>
      </c>
      <c r="T60">
        <v>135.68</v>
      </c>
      <c r="U60">
        <v>148.30000000000001</v>
      </c>
      <c r="V60">
        <v>150.4</v>
      </c>
      <c r="W60">
        <v>149.35000000000002</v>
      </c>
      <c r="X60" t="s">
        <v>21</v>
      </c>
      <c r="Y60">
        <v>18.59</v>
      </c>
      <c r="Z60">
        <f t="shared" si="0"/>
        <v>19.218965517241379</v>
      </c>
      <c r="AA60">
        <v>0.191840862</v>
      </c>
    </row>
    <row r="61" spans="1:27" x14ac:dyDescent="0.25">
      <c r="A61" s="1">
        <v>45747</v>
      </c>
      <c r="B61">
        <v>5611.85</v>
      </c>
      <c r="C61">
        <v>5610</v>
      </c>
      <c r="D61" s="1">
        <v>45764</v>
      </c>
      <c r="E61" s="1">
        <v>45793</v>
      </c>
      <c r="F61">
        <v>30</v>
      </c>
      <c r="G61">
        <v>17</v>
      </c>
      <c r="H61">
        <v>46</v>
      </c>
      <c r="I61">
        <v>0.55172413793103448</v>
      </c>
      <c r="J61">
        <v>0.44827586206896552</v>
      </c>
      <c r="K61" t="s">
        <v>19</v>
      </c>
      <c r="L61" t="s">
        <v>112</v>
      </c>
      <c r="M61">
        <v>95.47</v>
      </c>
      <c r="N61">
        <v>95.1</v>
      </c>
      <c r="O61">
        <v>96.8</v>
      </c>
      <c r="P61">
        <v>95.949999999999989</v>
      </c>
      <c r="Q61" t="s">
        <v>21</v>
      </c>
      <c r="R61">
        <v>19.309000000000001</v>
      </c>
      <c r="S61" t="s">
        <v>113</v>
      </c>
      <c r="T61">
        <v>138.6</v>
      </c>
      <c r="U61">
        <v>137.1</v>
      </c>
      <c r="V61">
        <v>138.9</v>
      </c>
      <c r="W61">
        <v>138</v>
      </c>
      <c r="X61" t="s">
        <v>21</v>
      </c>
      <c r="Y61">
        <v>18.227</v>
      </c>
      <c r="Z61">
        <f t="shared" si="0"/>
        <v>18.82396551724138</v>
      </c>
      <c r="AA61">
        <v>0.188324828</v>
      </c>
    </row>
    <row r="62" spans="1:27" x14ac:dyDescent="0.25">
      <c r="A62" s="1">
        <v>45748</v>
      </c>
      <c r="B62">
        <v>5633.07</v>
      </c>
      <c r="C62">
        <v>5635</v>
      </c>
      <c r="D62" s="1">
        <v>45764</v>
      </c>
      <c r="E62" s="1">
        <v>45793</v>
      </c>
      <c r="F62">
        <v>30</v>
      </c>
      <c r="G62">
        <v>16</v>
      </c>
      <c r="H62">
        <v>45</v>
      </c>
      <c r="I62">
        <v>0.51724137931034486</v>
      </c>
      <c r="J62">
        <v>0.48275862068965519</v>
      </c>
      <c r="K62" t="s">
        <v>19</v>
      </c>
      <c r="L62" t="s">
        <v>114</v>
      </c>
      <c r="M62">
        <v>90.1</v>
      </c>
      <c r="N62">
        <v>90.7</v>
      </c>
      <c r="O62">
        <v>92.8</v>
      </c>
      <c r="P62">
        <v>91.75</v>
      </c>
      <c r="Q62" t="s">
        <v>21</v>
      </c>
      <c r="R62">
        <v>19.515000000000001</v>
      </c>
      <c r="S62" t="s">
        <v>115</v>
      </c>
      <c r="T62">
        <v>135</v>
      </c>
      <c r="U62">
        <v>132.9</v>
      </c>
      <c r="V62">
        <v>135.19999999999999</v>
      </c>
      <c r="W62">
        <v>134.05000000000001</v>
      </c>
      <c r="X62" t="s">
        <v>21</v>
      </c>
      <c r="Y62">
        <v>18.125</v>
      </c>
      <c r="Z62">
        <f t="shared" si="0"/>
        <v>18.843965517241379</v>
      </c>
      <c r="AA62">
        <v>0.18690241399999999</v>
      </c>
    </row>
    <row r="63" spans="1:27" x14ac:dyDescent="0.25">
      <c r="A63" s="1">
        <v>45749</v>
      </c>
      <c r="B63">
        <v>5670.97</v>
      </c>
      <c r="C63">
        <v>5670</v>
      </c>
      <c r="D63" s="1">
        <v>45764</v>
      </c>
      <c r="E63" s="1">
        <v>45793</v>
      </c>
      <c r="F63">
        <v>30</v>
      </c>
      <c r="G63">
        <v>15</v>
      </c>
      <c r="H63">
        <v>44</v>
      </c>
      <c r="I63">
        <v>0.48275862068965519</v>
      </c>
      <c r="J63">
        <v>0.51724137931034486</v>
      </c>
      <c r="K63" t="s">
        <v>19</v>
      </c>
      <c r="L63" t="s">
        <v>101</v>
      </c>
      <c r="M63">
        <v>90.93</v>
      </c>
      <c r="N63">
        <v>155.9</v>
      </c>
      <c r="O63">
        <v>167.3</v>
      </c>
      <c r="P63">
        <v>161.60000000000002</v>
      </c>
      <c r="Q63" t="s">
        <v>21</v>
      </c>
      <c r="R63">
        <v>19.341999999999999</v>
      </c>
      <c r="S63" t="s">
        <v>102</v>
      </c>
      <c r="T63" t="s">
        <v>21</v>
      </c>
      <c r="U63">
        <v>191.5</v>
      </c>
      <c r="V63">
        <v>205.8</v>
      </c>
      <c r="W63">
        <v>198.65</v>
      </c>
      <c r="X63" t="s">
        <v>21</v>
      </c>
      <c r="Y63">
        <v>17.780999999999999</v>
      </c>
      <c r="Z63">
        <f t="shared" si="0"/>
        <v>18.534586206896549</v>
      </c>
      <c r="AA63">
        <v>0.18502603400000001</v>
      </c>
    </row>
    <row r="64" spans="1:27" x14ac:dyDescent="0.25">
      <c r="A64" s="1">
        <v>45750</v>
      </c>
      <c r="B64">
        <v>5396.52</v>
      </c>
      <c r="C64">
        <v>5395</v>
      </c>
      <c r="D64" s="1">
        <v>45764</v>
      </c>
      <c r="E64" s="1">
        <v>45793</v>
      </c>
      <c r="F64">
        <v>30</v>
      </c>
      <c r="G64">
        <v>14</v>
      </c>
      <c r="H64">
        <v>43</v>
      </c>
      <c r="I64">
        <v>0.44827586206896552</v>
      </c>
      <c r="J64">
        <v>0.55172413793103448</v>
      </c>
      <c r="K64" t="s">
        <v>19</v>
      </c>
      <c r="L64" t="s">
        <v>116</v>
      </c>
      <c r="M64">
        <v>110.3</v>
      </c>
      <c r="N64">
        <v>118</v>
      </c>
      <c r="O64">
        <v>121.3</v>
      </c>
      <c r="P64">
        <v>119.65</v>
      </c>
      <c r="Q64" t="s">
        <v>21</v>
      </c>
      <c r="R64">
        <v>27.407</v>
      </c>
      <c r="S64" t="s">
        <v>117</v>
      </c>
      <c r="T64">
        <v>145.97999999999999</v>
      </c>
      <c r="U64">
        <v>174.1</v>
      </c>
      <c r="V64">
        <v>177.6</v>
      </c>
      <c r="W64">
        <v>175.85</v>
      </c>
      <c r="X64" t="s">
        <v>21</v>
      </c>
      <c r="Y64">
        <v>24.295000000000002</v>
      </c>
      <c r="Z64">
        <f t="shared" si="0"/>
        <v>25.69003448275862</v>
      </c>
      <c r="AA64">
        <v>0.25583620699999998</v>
      </c>
    </row>
    <row r="65" spans="1:27" x14ac:dyDescent="0.25">
      <c r="A65" s="1">
        <v>45751</v>
      </c>
      <c r="B65">
        <v>5074.08</v>
      </c>
      <c r="C65">
        <v>5075</v>
      </c>
      <c r="D65" s="1">
        <v>45764</v>
      </c>
      <c r="E65" s="1">
        <v>45793</v>
      </c>
      <c r="F65">
        <v>30</v>
      </c>
      <c r="G65">
        <v>13</v>
      </c>
      <c r="H65">
        <v>42</v>
      </c>
      <c r="I65">
        <v>0.41379310344827586</v>
      </c>
      <c r="J65">
        <v>0.58620689655172409</v>
      </c>
      <c r="K65" t="s">
        <v>19</v>
      </c>
      <c r="L65" t="s">
        <v>118</v>
      </c>
      <c r="M65">
        <v>175.16</v>
      </c>
      <c r="N65">
        <v>175</v>
      </c>
      <c r="O65">
        <v>179.2</v>
      </c>
      <c r="P65">
        <v>177.1</v>
      </c>
      <c r="Q65" t="s">
        <v>21</v>
      </c>
      <c r="R65">
        <v>44.582000000000001</v>
      </c>
      <c r="S65" t="s">
        <v>119</v>
      </c>
      <c r="T65">
        <v>216.48</v>
      </c>
      <c r="U65">
        <v>233.2</v>
      </c>
      <c r="V65">
        <v>237</v>
      </c>
      <c r="W65">
        <v>235.1</v>
      </c>
      <c r="X65" t="s">
        <v>21</v>
      </c>
      <c r="Y65">
        <v>34.283999999999999</v>
      </c>
      <c r="Z65">
        <f t="shared" si="0"/>
        <v>38.54524137931034</v>
      </c>
      <c r="AA65">
        <v>0.38442862100000003</v>
      </c>
    </row>
    <row r="66" spans="1:27" x14ac:dyDescent="0.25">
      <c r="A66" s="1">
        <v>45754</v>
      </c>
      <c r="B66">
        <v>5062.25</v>
      </c>
      <c r="C66">
        <v>5060</v>
      </c>
      <c r="D66" s="1">
        <v>45764</v>
      </c>
      <c r="E66" s="1">
        <v>45793</v>
      </c>
      <c r="F66">
        <v>30</v>
      </c>
      <c r="G66">
        <v>10</v>
      </c>
      <c r="H66">
        <v>39</v>
      </c>
      <c r="I66">
        <v>0.31034482758620691</v>
      </c>
      <c r="J66">
        <v>0.68965517241379315</v>
      </c>
      <c r="K66" t="s">
        <v>19</v>
      </c>
      <c r="L66" t="s">
        <v>120</v>
      </c>
      <c r="M66">
        <v>217.51</v>
      </c>
      <c r="N66">
        <v>162.9</v>
      </c>
      <c r="O66">
        <v>168.3</v>
      </c>
      <c r="P66">
        <v>165.60000000000002</v>
      </c>
      <c r="Q66" t="s">
        <v>21</v>
      </c>
      <c r="R66">
        <v>50.957000000000001</v>
      </c>
      <c r="S66" t="s">
        <v>121</v>
      </c>
      <c r="T66">
        <v>211.71</v>
      </c>
      <c r="U66">
        <v>218.4</v>
      </c>
      <c r="V66">
        <v>224.7</v>
      </c>
      <c r="W66">
        <v>221.55</v>
      </c>
      <c r="X66" t="s">
        <v>21</v>
      </c>
      <c r="Y66">
        <v>36.343000000000004</v>
      </c>
      <c r="Z66">
        <f t="shared" si="0"/>
        <v>40.878379310344833</v>
      </c>
      <c r="AA66">
        <v>0.406497414</v>
      </c>
    </row>
    <row r="67" spans="1:27" x14ac:dyDescent="0.25">
      <c r="A67" s="1">
        <v>45755</v>
      </c>
      <c r="B67">
        <v>4982.7700000000004</v>
      </c>
      <c r="C67">
        <v>4985</v>
      </c>
      <c r="D67" s="1">
        <v>45764</v>
      </c>
      <c r="E67" s="1">
        <v>45793</v>
      </c>
      <c r="F67">
        <v>30</v>
      </c>
      <c r="G67">
        <v>9</v>
      </c>
      <c r="H67">
        <v>38</v>
      </c>
      <c r="I67">
        <v>0.27586206896551724</v>
      </c>
      <c r="J67">
        <v>0.72413793103448276</v>
      </c>
      <c r="K67" t="s">
        <v>19</v>
      </c>
      <c r="L67" t="s">
        <v>122</v>
      </c>
      <c r="M67">
        <v>176.1</v>
      </c>
      <c r="N67">
        <v>176.3</v>
      </c>
      <c r="O67">
        <v>183.3</v>
      </c>
      <c r="P67">
        <v>179.8</v>
      </c>
      <c r="Q67" t="s">
        <v>21</v>
      </c>
      <c r="R67">
        <v>55.076999999999998</v>
      </c>
      <c r="S67" t="s">
        <v>123</v>
      </c>
      <c r="T67">
        <v>207.6</v>
      </c>
      <c r="U67">
        <v>244.9</v>
      </c>
      <c r="V67">
        <v>257.10000000000002</v>
      </c>
      <c r="W67">
        <v>251</v>
      </c>
      <c r="X67" t="s">
        <v>21</v>
      </c>
      <c r="Y67">
        <v>39.613</v>
      </c>
      <c r="Z67">
        <f t="shared" ref="Z67:Z130" si="1">I67*R67+Y67*J67</f>
        <v>43.878931034482761</v>
      </c>
      <c r="AA67">
        <v>0.43813068999999999</v>
      </c>
    </row>
    <row r="68" spans="1:27" x14ac:dyDescent="0.25">
      <c r="A68" s="1">
        <v>45756</v>
      </c>
      <c r="B68">
        <v>5456.9</v>
      </c>
      <c r="C68">
        <v>5455</v>
      </c>
      <c r="D68" s="1">
        <v>45764</v>
      </c>
      <c r="E68" s="1">
        <v>45793</v>
      </c>
      <c r="F68">
        <v>30</v>
      </c>
      <c r="G68">
        <v>8</v>
      </c>
      <c r="H68">
        <v>37</v>
      </c>
      <c r="I68">
        <v>0.2413793103448276</v>
      </c>
      <c r="J68">
        <v>0.75862068965517238</v>
      </c>
      <c r="K68" t="s">
        <v>19</v>
      </c>
      <c r="L68" t="s">
        <v>124</v>
      </c>
      <c r="M68">
        <v>108.4</v>
      </c>
      <c r="N68">
        <v>93.6</v>
      </c>
      <c r="O68">
        <v>98.1</v>
      </c>
      <c r="P68">
        <v>95.85</v>
      </c>
      <c r="Q68" t="s">
        <v>21</v>
      </c>
      <c r="R68">
        <v>32.881999999999998</v>
      </c>
      <c r="S68" t="s">
        <v>125</v>
      </c>
      <c r="T68">
        <v>168.06</v>
      </c>
      <c r="U68">
        <v>154.9</v>
      </c>
      <c r="V68">
        <v>160.80000000000001</v>
      </c>
      <c r="W68">
        <v>157.85000000000002</v>
      </c>
      <c r="X68" t="s">
        <v>21</v>
      </c>
      <c r="Y68">
        <v>25.341000000000001</v>
      </c>
      <c r="Z68">
        <f t="shared" si="1"/>
        <v>27.161241379310344</v>
      </c>
      <c r="AA68">
        <v>0.27596999999999999</v>
      </c>
    </row>
    <row r="69" spans="1:27" x14ac:dyDescent="0.25">
      <c r="A69" s="1">
        <v>45757</v>
      </c>
      <c r="B69">
        <v>5268.05</v>
      </c>
      <c r="C69">
        <v>5270</v>
      </c>
      <c r="D69" s="1">
        <v>45764</v>
      </c>
      <c r="E69" s="1">
        <v>45793</v>
      </c>
      <c r="F69">
        <v>30</v>
      </c>
      <c r="G69">
        <v>7</v>
      </c>
      <c r="H69">
        <v>36</v>
      </c>
      <c r="I69">
        <v>0.20689655172413793</v>
      </c>
      <c r="J69">
        <v>0.7931034482758621</v>
      </c>
      <c r="K69" t="s">
        <v>19</v>
      </c>
      <c r="L69" t="s">
        <v>126</v>
      </c>
      <c r="M69">
        <v>131.97</v>
      </c>
      <c r="N69">
        <v>128.19999999999999</v>
      </c>
      <c r="O69">
        <v>134.30000000000001</v>
      </c>
      <c r="P69">
        <v>131.25</v>
      </c>
      <c r="Q69" t="s">
        <v>21</v>
      </c>
      <c r="R69">
        <v>45.923000000000002</v>
      </c>
      <c r="S69" t="s">
        <v>127</v>
      </c>
      <c r="T69">
        <v>214.65</v>
      </c>
      <c r="U69">
        <v>211.9</v>
      </c>
      <c r="V69">
        <v>216.5</v>
      </c>
      <c r="W69">
        <v>214.2</v>
      </c>
      <c r="X69" t="s">
        <v>21</v>
      </c>
      <c r="Y69">
        <v>33.423999999999999</v>
      </c>
      <c r="Z69">
        <f t="shared" si="1"/>
        <v>36.010000000000005</v>
      </c>
      <c r="AA69">
        <v>0.36169672400000002</v>
      </c>
    </row>
    <row r="70" spans="1:27" x14ac:dyDescent="0.25">
      <c r="A70" s="1">
        <v>45758</v>
      </c>
      <c r="B70">
        <v>5363.36</v>
      </c>
      <c r="C70">
        <v>5365</v>
      </c>
      <c r="D70" s="1">
        <v>45764</v>
      </c>
      <c r="E70" s="1">
        <v>45793</v>
      </c>
      <c r="F70">
        <v>30</v>
      </c>
      <c r="G70">
        <v>6</v>
      </c>
      <c r="H70">
        <v>35</v>
      </c>
      <c r="I70">
        <v>0.17241379310344829</v>
      </c>
      <c r="J70">
        <v>0.82758620689655171</v>
      </c>
      <c r="K70" t="s">
        <v>19</v>
      </c>
      <c r="L70" t="s">
        <v>128</v>
      </c>
      <c r="M70">
        <v>102</v>
      </c>
      <c r="N70">
        <v>103.4</v>
      </c>
      <c r="O70">
        <v>106.9</v>
      </c>
      <c r="P70">
        <v>105.15</v>
      </c>
      <c r="Q70" t="s">
        <v>21</v>
      </c>
      <c r="R70">
        <v>39.616999999999997</v>
      </c>
      <c r="S70" t="s">
        <v>129</v>
      </c>
      <c r="T70">
        <v>208.1</v>
      </c>
      <c r="U70">
        <v>196.9</v>
      </c>
      <c r="V70">
        <v>200.8</v>
      </c>
      <c r="W70">
        <v>198.85000000000002</v>
      </c>
      <c r="X70" t="s">
        <v>21</v>
      </c>
      <c r="Y70">
        <v>31.251999999999999</v>
      </c>
      <c r="Z70">
        <f t="shared" si="1"/>
        <v>32.694241379310341</v>
      </c>
      <c r="AA70">
        <v>0.32767569000000002</v>
      </c>
    </row>
    <row r="71" spans="1:27" x14ac:dyDescent="0.25">
      <c r="A71" s="1">
        <v>45761</v>
      </c>
      <c r="B71">
        <v>5405.97</v>
      </c>
      <c r="C71">
        <v>5405</v>
      </c>
      <c r="D71" s="1">
        <v>45764</v>
      </c>
      <c r="E71" s="1">
        <v>45793</v>
      </c>
      <c r="F71">
        <v>30</v>
      </c>
      <c r="G71">
        <v>3</v>
      </c>
      <c r="H71">
        <v>32</v>
      </c>
      <c r="I71">
        <v>6.8965517241379309E-2</v>
      </c>
      <c r="J71">
        <v>0.93103448275862066</v>
      </c>
      <c r="K71" t="s">
        <v>19</v>
      </c>
      <c r="L71" t="s">
        <v>130</v>
      </c>
      <c r="M71">
        <v>59.7</v>
      </c>
      <c r="N71">
        <v>62</v>
      </c>
      <c r="O71">
        <v>64.099999999999994</v>
      </c>
      <c r="P71">
        <v>63.05</v>
      </c>
      <c r="Q71" t="s">
        <v>21</v>
      </c>
      <c r="R71">
        <v>27.300999999999998</v>
      </c>
      <c r="S71" t="s">
        <v>131</v>
      </c>
      <c r="T71">
        <v>155.75</v>
      </c>
      <c r="U71">
        <v>160.19999999999999</v>
      </c>
      <c r="V71">
        <v>163.4</v>
      </c>
      <c r="W71">
        <v>161.80000000000001</v>
      </c>
      <c r="X71" t="s">
        <v>21</v>
      </c>
      <c r="Y71">
        <v>25.702000000000002</v>
      </c>
      <c r="Z71">
        <f t="shared" si="1"/>
        <v>25.812275862068965</v>
      </c>
      <c r="AA71">
        <v>0.257250172</v>
      </c>
    </row>
    <row r="72" spans="1:27" x14ac:dyDescent="0.25">
      <c r="A72" s="1">
        <v>45762</v>
      </c>
      <c r="B72">
        <v>5396.63</v>
      </c>
      <c r="C72">
        <v>5395</v>
      </c>
      <c r="D72" s="1">
        <v>45764</v>
      </c>
      <c r="E72" s="1">
        <v>45793</v>
      </c>
      <c r="F72">
        <v>30</v>
      </c>
      <c r="G72">
        <v>2</v>
      </c>
      <c r="H72">
        <v>31</v>
      </c>
      <c r="I72">
        <v>3.4482758620689655E-2</v>
      </c>
      <c r="J72">
        <v>0.96551724137931039</v>
      </c>
      <c r="K72" t="s">
        <v>19</v>
      </c>
      <c r="L72" t="s">
        <v>116</v>
      </c>
      <c r="M72">
        <v>35.4</v>
      </c>
      <c r="N72">
        <v>37.9</v>
      </c>
      <c r="O72">
        <v>39.6</v>
      </c>
      <c r="P72">
        <v>38.75</v>
      </c>
      <c r="Q72" t="s">
        <v>21</v>
      </c>
      <c r="R72">
        <v>21.337</v>
      </c>
      <c r="S72" t="s">
        <v>117</v>
      </c>
      <c r="T72">
        <v>148.30000000000001</v>
      </c>
      <c r="U72">
        <v>149.30000000000001</v>
      </c>
      <c r="V72">
        <v>151.4</v>
      </c>
      <c r="W72">
        <v>150.35000000000002</v>
      </c>
      <c r="X72" t="s">
        <v>21</v>
      </c>
      <c r="Y72">
        <v>24.890999999999998</v>
      </c>
      <c r="Z72">
        <f t="shared" si="1"/>
        <v>24.768448275862067</v>
      </c>
      <c r="AA72">
        <v>0.24702017200000001</v>
      </c>
    </row>
    <row r="73" spans="1:27" x14ac:dyDescent="0.25">
      <c r="A73" s="1">
        <v>45763</v>
      </c>
      <c r="B73">
        <v>5275.7</v>
      </c>
      <c r="C73">
        <v>5275</v>
      </c>
      <c r="D73" s="1">
        <v>45764</v>
      </c>
      <c r="E73" s="1">
        <v>45793</v>
      </c>
      <c r="F73">
        <v>30</v>
      </c>
      <c r="G73">
        <v>1</v>
      </c>
      <c r="H73">
        <v>30</v>
      </c>
      <c r="I73">
        <v>0</v>
      </c>
      <c r="J73">
        <v>1</v>
      </c>
      <c r="K73" t="s">
        <v>19</v>
      </c>
      <c r="L73" t="s">
        <v>132</v>
      </c>
      <c r="M73">
        <v>30</v>
      </c>
      <c r="N73">
        <v>33.700000000000003</v>
      </c>
      <c r="O73">
        <v>35.799999999999997</v>
      </c>
      <c r="P73">
        <v>34.75</v>
      </c>
      <c r="Q73" t="s">
        <v>21</v>
      </c>
      <c r="R73">
        <v>27.207999999999998</v>
      </c>
      <c r="S73" t="s">
        <v>133</v>
      </c>
      <c r="T73">
        <v>162.1</v>
      </c>
      <c r="U73">
        <v>165.3</v>
      </c>
      <c r="V73">
        <v>169</v>
      </c>
      <c r="W73">
        <v>167.15</v>
      </c>
      <c r="X73" t="s">
        <v>21</v>
      </c>
      <c r="Y73">
        <v>27.991</v>
      </c>
      <c r="Z73">
        <f t="shared" si="1"/>
        <v>27.991</v>
      </c>
      <c r="AA73">
        <v>0.27918999999999999</v>
      </c>
    </row>
    <row r="74" spans="1:27" x14ac:dyDescent="0.25">
      <c r="A74" s="1">
        <v>45764</v>
      </c>
      <c r="B74">
        <v>5282.7</v>
      </c>
      <c r="C74">
        <v>5285</v>
      </c>
      <c r="D74" s="1">
        <v>45793</v>
      </c>
      <c r="E74" s="1">
        <v>45828</v>
      </c>
      <c r="F74">
        <v>30</v>
      </c>
      <c r="G74">
        <v>29</v>
      </c>
      <c r="H74">
        <v>64</v>
      </c>
      <c r="I74">
        <v>0</v>
      </c>
      <c r="J74">
        <v>1</v>
      </c>
      <c r="K74" t="s">
        <v>19</v>
      </c>
      <c r="L74" t="s">
        <v>134</v>
      </c>
      <c r="M74">
        <v>151.6</v>
      </c>
      <c r="N74">
        <v>140.5</v>
      </c>
      <c r="O74">
        <v>143.5</v>
      </c>
      <c r="P74">
        <v>142</v>
      </c>
      <c r="Q74" t="s">
        <v>21</v>
      </c>
      <c r="R74">
        <v>26.341000000000001</v>
      </c>
      <c r="S74" t="s">
        <v>135</v>
      </c>
      <c r="T74">
        <v>200.91</v>
      </c>
      <c r="U74">
        <v>196</v>
      </c>
      <c r="V74">
        <v>199.1</v>
      </c>
      <c r="W74">
        <v>197.55</v>
      </c>
      <c r="X74" t="s">
        <v>21</v>
      </c>
      <c r="Y74">
        <v>25.233000000000001</v>
      </c>
      <c r="Z74">
        <f t="shared" si="1"/>
        <v>25.233000000000001</v>
      </c>
      <c r="AA74">
        <v>0.25080999999999998</v>
      </c>
    </row>
    <row r="75" spans="1:27" x14ac:dyDescent="0.25">
      <c r="A75" s="1">
        <v>45768</v>
      </c>
      <c r="B75">
        <v>5158.2</v>
      </c>
      <c r="C75">
        <v>5160</v>
      </c>
      <c r="D75" s="1">
        <v>45793</v>
      </c>
      <c r="E75" s="1">
        <v>45828</v>
      </c>
      <c r="F75">
        <v>30</v>
      </c>
      <c r="G75">
        <v>25</v>
      </c>
      <c r="H75">
        <v>60</v>
      </c>
      <c r="I75">
        <v>0.8571428571428571</v>
      </c>
      <c r="J75">
        <v>0.14285714285714285</v>
      </c>
      <c r="K75" t="s">
        <v>19</v>
      </c>
      <c r="L75" t="s">
        <v>136</v>
      </c>
      <c r="M75">
        <v>159.84</v>
      </c>
      <c r="N75">
        <v>158.69999999999999</v>
      </c>
      <c r="O75">
        <v>160.80000000000001</v>
      </c>
      <c r="P75">
        <v>159.75</v>
      </c>
      <c r="Q75" t="s">
        <v>21</v>
      </c>
      <c r="R75">
        <v>29.402000000000001</v>
      </c>
      <c r="S75" t="s">
        <v>137</v>
      </c>
      <c r="T75">
        <v>219.48</v>
      </c>
      <c r="U75">
        <v>214.9</v>
      </c>
      <c r="V75">
        <v>217</v>
      </c>
      <c r="W75">
        <v>215.95</v>
      </c>
      <c r="X75" t="s">
        <v>21</v>
      </c>
      <c r="Y75">
        <v>27.448</v>
      </c>
      <c r="Z75">
        <f t="shared" si="1"/>
        <v>29.122857142857143</v>
      </c>
      <c r="AA75">
        <v>0.28958428600000002</v>
      </c>
    </row>
    <row r="76" spans="1:27" x14ac:dyDescent="0.25">
      <c r="A76" s="1">
        <v>45769</v>
      </c>
      <c r="B76">
        <v>5287.76</v>
      </c>
      <c r="C76">
        <v>5290</v>
      </c>
      <c r="D76" s="1">
        <v>45793</v>
      </c>
      <c r="E76" s="1">
        <v>45828</v>
      </c>
      <c r="F76">
        <v>30</v>
      </c>
      <c r="G76">
        <v>24</v>
      </c>
      <c r="H76">
        <v>59</v>
      </c>
      <c r="I76">
        <v>0.82857142857142863</v>
      </c>
      <c r="J76">
        <v>0.17142857142857143</v>
      </c>
      <c r="K76" t="s">
        <v>19</v>
      </c>
      <c r="L76" t="s">
        <v>138</v>
      </c>
      <c r="M76">
        <v>143.6</v>
      </c>
      <c r="N76">
        <v>143.1</v>
      </c>
      <c r="O76">
        <v>145.4</v>
      </c>
      <c r="P76">
        <v>144.25</v>
      </c>
      <c r="Q76" t="s">
        <v>21</v>
      </c>
      <c r="R76">
        <v>25.710999999999999</v>
      </c>
      <c r="S76" t="s">
        <v>139</v>
      </c>
      <c r="T76">
        <v>201</v>
      </c>
      <c r="U76">
        <v>201.2</v>
      </c>
      <c r="V76">
        <v>203.7</v>
      </c>
      <c r="W76">
        <v>202.45</v>
      </c>
      <c r="X76" t="s">
        <v>21</v>
      </c>
      <c r="Y76">
        <v>25.231000000000002</v>
      </c>
      <c r="Z76">
        <f t="shared" si="1"/>
        <v>25.628714285714285</v>
      </c>
      <c r="AA76">
        <v>0.25571571399999998</v>
      </c>
    </row>
    <row r="77" spans="1:27" x14ac:dyDescent="0.25">
      <c r="A77" s="1">
        <v>45770</v>
      </c>
      <c r="B77">
        <v>5375.86</v>
      </c>
      <c r="C77">
        <v>5375</v>
      </c>
      <c r="D77" s="1">
        <v>45793</v>
      </c>
      <c r="E77" s="1">
        <v>45828</v>
      </c>
      <c r="F77">
        <v>30</v>
      </c>
      <c r="G77">
        <v>23</v>
      </c>
      <c r="H77">
        <v>58</v>
      </c>
      <c r="I77">
        <v>0.8</v>
      </c>
      <c r="J77">
        <v>0.2</v>
      </c>
      <c r="K77" t="s">
        <v>19</v>
      </c>
      <c r="L77" t="s">
        <v>140</v>
      </c>
      <c r="M77">
        <v>132.68</v>
      </c>
      <c r="N77">
        <v>121.1</v>
      </c>
      <c r="O77">
        <v>131.5</v>
      </c>
      <c r="P77">
        <v>126.3</v>
      </c>
      <c r="Q77" t="s">
        <v>21</v>
      </c>
      <c r="R77">
        <v>24.805</v>
      </c>
      <c r="S77" t="s">
        <v>141</v>
      </c>
      <c r="T77">
        <v>192.18</v>
      </c>
      <c r="U77">
        <v>180.9</v>
      </c>
      <c r="V77">
        <v>191.1</v>
      </c>
      <c r="W77">
        <v>186</v>
      </c>
      <c r="X77" t="s">
        <v>21</v>
      </c>
      <c r="Y77">
        <v>24.103999999999999</v>
      </c>
      <c r="Z77">
        <f t="shared" si="1"/>
        <v>24.6648</v>
      </c>
      <c r="AA77">
        <v>0.24693699999999999</v>
      </c>
    </row>
    <row r="78" spans="1:27" x14ac:dyDescent="0.25">
      <c r="A78" s="1">
        <v>45771</v>
      </c>
      <c r="B78">
        <v>5484.77</v>
      </c>
      <c r="C78">
        <v>5485</v>
      </c>
      <c r="D78" s="1">
        <v>45793</v>
      </c>
      <c r="E78" s="1">
        <v>45828</v>
      </c>
      <c r="F78">
        <v>30</v>
      </c>
      <c r="G78">
        <v>22</v>
      </c>
      <c r="H78">
        <v>57</v>
      </c>
      <c r="I78">
        <v>0.77142857142857146</v>
      </c>
      <c r="J78">
        <v>0.22857142857142856</v>
      </c>
      <c r="K78" t="s">
        <v>19</v>
      </c>
      <c r="L78" t="s">
        <v>142</v>
      </c>
      <c r="M78">
        <v>127.07</v>
      </c>
      <c r="N78">
        <v>116</v>
      </c>
      <c r="O78">
        <v>118.6</v>
      </c>
      <c r="P78">
        <v>117.3</v>
      </c>
      <c r="Q78" t="s">
        <v>21</v>
      </c>
      <c r="R78">
        <v>23.207000000000001</v>
      </c>
      <c r="S78" t="s">
        <v>143</v>
      </c>
      <c r="T78">
        <v>175.99</v>
      </c>
      <c r="U78">
        <v>174</v>
      </c>
      <c r="V78">
        <v>176.8</v>
      </c>
      <c r="W78">
        <v>175.4</v>
      </c>
      <c r="X78" t="s">
        <v>21</v>
      </c>
      <c r="Y78">
        <v>22.571000000000002</v>
      </c>
      <c r="Z78">
        <f t="shared" si="1"/>
        <v>23.061628571428571</v>
      </c>
      <c r="AA78">
        <v>0.229158</v>
      </c>
    </row>
    <row r="79" spans="1:27" x14ac:dyDescent="0.25">
      <c r="A79" s="1">
        <v>45772</v>
      </c>
      <c r="B79">
        <v>5525.21</v>
      </c>
      <c r="C79">
        <v>5525</v>
      </c>
      <c r="D79" s="1">
        <v>45793</v>
      </c>
      <c r="E79" s="1">
        <v>45828</v>
      </c>
      <c r="F79">
        <v>30</v>
      </c>
      <c r="G79">
        <v>21</v>
      </c>
      <c r="H79">
        <v>56</v>
      </c>
      <c r="I79">
        <v>0.74285714285714288</v>
      </c>
      <c r="J79">
        <v>0.25714285714285712</v>
      </c>
      <c r="K79" t="s">
        <v>19</v>
      </c>
      <c r="L79" t="s">
        <v>144</v>
      </c>
      <c r="M79">
        <v>110.23</v>
      </c>
      <c r="N79">
        <v>109</v>
      </c>
      <c r="O79">
        <v>111</v>
      </c>
      <c r="P79">
        <v>110</v>
      </c>
      <c r="Q79" t="s">
        <v>21</v>
      </c>
      <c r="R79">
        <v>21.414999999999999</v>
      </c>
      <c r="S79" t="s">
        <v>145</v>
      </c>
      <c r="T79">
        <v>180.1</v>
      </c>
      <c r="U79">
        <v>167.9</v>
      </c>
      <c r="V79">
        <v>169.8</v>
      </c>
      <c r="W79">
        <v>168.85000000000002</v>
      </c>
      <c r="X79" t="s">
        <v>21</v>
      </c>
      <c r="Y79">
        <v>21.425999999999998</v>
      </c>
      <c r="Z79">
        <f t="shared" si="1"/>
        <v>21.417828571428572</v>
      </c>
      <c r="AA79">
        <v>0.21431014300000001</v>
      </c>
    </row>
    <row r="80" spans="1:27" x14ac:dyDescent="0.25">
      <c r="A80" s="1">
        <v>45775</v>
      </c>
      <c r="B80">
        <v>5528.75</v>
      </c>
      <c r="C80">
        <v>5530</v>
      </c>
      <c r="D80" s="1">
        <v>45793</v>
      </c>
      <c r="E80" s="1">
        <v>45828</v>
      </c>
      <c r="F80">
        <v>30</v>
      </c>
      <c r="G80">
        <v>18</v>
      </c>
      <c r="H80">
        <v>53</v>
      </c>
      <c r="I80">
        <v>0.65714285714285714</v>
      </c>
      <c r="J80">
        <v>0.34285714285714286</v>
      </c>
      <c r="K80" t="s">
        <v>19</v>
      </c>
      <c r="L80" t="s">
        <v>146</v>
      </c>
      <c r="M80">
        <v>105.52</v>
      </c>
      <c r="N80">
        <v>109.5</v>
      </c>
      <c r="O80">
        <v>111.3</v>
      </c>
      <c r="P80">
        <v>110.4</v>
      </c>
      <c r="Q80" t="s">
        <v>21</v>
      </c>
      <c r="R80">
        <v>21.213000000000001</v>
      </c>
      <c r="S80" t="s">
        <v>147</v>
      </c>
      <c r="T80">
        <v>163.53</v>
      </c>
      <c r="U80">
        <v>170.6</v>
      </c>
      <c r="V80">
        <v>172.4</v>
      </c>
      <c r="W80">
        <v>171.5</v>
      </c>
      <c r="X80" t="s">
        <v>21</v>
      </c>
      <c r="Y80">
        <v>21.393999999999998</v>
      </c>
      <c r="Z80">
        <f t="shared" si="1"/>
        <v>21.275057142857143</v>
      </c>
      <c r="AA80">
        <v>0.211943571</v>
      </c>
    </row>
    <row r="81" spans="1:27" x14ac:dyDescent="0.25">
      <c r="A81" s="1">
        <v>45776</v>
      </c>
      <c r="B81">
        <v>5560.83</v>
      </c>
      <c r="C81">
        <v>5560</v>
      </c>
      <c r="D81" s="1">
        <v>45793</v>
      </c>
      <c r="E81" s="1">
        <v>45828</v>
      </c>
      <c r="F81">
        <v>30</v>
      </c>
      <c r="G81">
        <v>17</v>
      </c>
      <c r="H81">
        <v>52</v>
      </c>
      <c r="I81">
        <v>0.62857142857142856</v>
      </c>
      <c r="J81">
        <v>0.37142857142857144</v>
      </c>
      <c r="K81" t="s">
        <v>19</v>
      </c>
      <c r="L81" t="s">
        <v>148</v>
      </c>
      <c r="M81">
        <v>98.1</v>
      </c>
      <c r="N81">
        <v>98.5</v>
      </c>
      <c r="O81">
        <v>100.4</v>
      </c>
      <c r="P81">
        <v>99.45</v>
      </c>
      <c r="Q81" t="s">
        <v>21</v>
      </c>
      <c r="R81">
        <v>20.405000000000001</v>
      </c>
      <c r="S81" t="s">
        <v>149</v>
      </c>
      <c r="T81">
        <v>174</v>
      </c>
      <c r="U81">
        <v>162.19999999999999</v>
      </c>
      <c r="V81">
        <v>164.1</v>
      </c>
      <c r="W81">
        <v>163.14999999999998</v>
      </c>
      <c r="X81" t="s">
        <v>21</v>
      </c>
      <c r="Y81">
        <v>20.873000000000001</v>
      </c>
      <c r="Z81">
        <f t="shared" si="1"/>
        <v>20.578828571428573</v>
      </c>
      <c r="AA81">
        <v>0.20586385700000001</v>
      </c>
    </row>
    <row r="82" spans="1:27" x14ac:dyDescent="0.25">
      <c r="A82" s="1">
        <v>45777</v>
      </c>
      <c r="B82">
        <v>5569.06</v>
      </c>
      <c r="C82">
        <v>5570</v>
      </c>
      <c r="D82" s="1">
        <v>45793</v>
      </c>
      <c r="E82" s="1">
        <v>45828</v>
      </c>
      <c r="F82">
        <v>30</v>
      </c>
      <c r="G82">
        <v>16</v>
      </c>
      <c r="H82">
        <v>51</v>
      </c>
      <c r="I82">
        <v>0.6</v>
      </c>
      <c r="J82">
        <v>0.4</v>
      </c>
      <c r="K82" t="s">
        <v>19</v>
      </c>
      <c r="L82" t="s">
        <v>150</v>
      </c>
      <c r="M82">
        <v>100.9</v>
      </c>
      <c r="N82">
        <v>86.9</v>
      </c>
      <c r="O82">
        <v>89.3</v>
      </c>
      <c r="P82">
        <v>88.1</v>
      </c>
      <c r="Q82" t="s">
        <v>21</v>
      </c>
      <c r="R82">
        <v>21.329000000000001</v>
      </c>
      <c r="S82" t="s">
        <v>151</v>
      </c>
      <c r="T82">
        <v>160.44</v>
      </c>
      <c r="U82">
        <v>152.80000000000001</v>
      </c>
      <c r="V82">
        <v>155.5</v>
      </c>
      <c r="W82">
        <v>154.15</v>
      </c>
      <c r="X82" t="s">
        <v>21</v>
      </c>
      <c r="Y82">
        <v>21.452999999999999</v>
      </c>
      <c r="Z82">
        <f t="shared" si="1"/>
        <v>21.378599999999999</v>
      </c>
      <c r="AA82">
        <v>0.21263099999999999</v>
      </c>
    </row>
    <row r="83" spans="1:27" x14ac:dyDescent="0.25">
      <c r="A83" s="1">
        <v>45778</v>
      </c>
      <c r="B83">
        <v>5604.14</v>
      </c>
      <c r="C83">
        <v>5605</v>
      </c>
      <c r="D83" s="1">
        <v>45793</v>
      </c>
      <c r="E83" s="1">
        <v>45828</v>
      </c>
      <c r="F83">
        <v>30</v>
      </c>
      <c r="G83">
        <v>15</v>
      </c>
      <c r="H83">
        <v>50</v>
      </c>
      <c r="I83">
        <v>0.5714285714285714</v>
      </c>
      <c r="J83">
        <v>0.42857142857142855</v>
      </c>
      <c r="K83" t="s">
        <v>19</v>
      </c>
      <c r="L83" t="s">
        <v>152</v>
      </c>
      <c r="M83">
        <v>92.17</v>
      </c>
      <c r="N83">
        <v>99.6</v>
      </c>
      <c r="O83">
        <v>102.1</v>
      </c>
      <c r="P83">
        <v>100.85</v>
      </c>
      <c r="Q83" t="s">
        <v>21</v>
      </c>
      <c r="R83">
        <v>20.582999999999998</v>
      </c>
      <c r="S83" t="s">
        <v>153</v>
      </c>
      <c r="T83">
        <v>168</v>
      </c>
      <c r="U83">
        <v>166.1</v>
      </c>
      <c r="V83">
        <v>169</v>
      </c>
      <c r="W83">
        <v>167.55</v>
      </c>
      <c r="X83" t="s">
        <v>21</v>
      </c>
      <c r="Y83">
        <v>20.96</v>
      </c>
      <c r="Z83">
        <f t="shared" si="1"/>
        <v>20.744571428571426</v>
      </c>
      <c r="AA83">
        <v>0.20842928599999999</v>
      </c>
    </row>
    <row r="84" spans="1:27" x14ac:dyDescent="0.25">
      <c r="A84" s="1">
        <v>45779</v>
      </c>
      <c r="B84">
        <v>5686.67</v>
      </c>
      <c r="C84">
        <v>5685</v>
      </c>
      <c r="D84" s="1">
        <v>45793</v>
      </c>
      <c r="E84" s="1">
        <v>45828</v>
      </c>
      <c r="F84">
        <v>30</v>
      </c>
      <c r="G84">
        <v>14</v>
      </c>
      <c r="H84">
        <v>49</v>
      </c>
      <c r="I84">
        <v>0.54285714285714282</v>
      </c>
      <c r="J84">
        <v>0.45714285714285713</v>
      </c>
      <c r="K84" t="s">
        <v>19</v>
      </c>
      <c r="L84" t="s">
        <v>154</v>
      </c>
      <c r="M84">
        <v>80</v>
      </c>
      <c r="N84">
        <v>78.400000000000006</v>
      </c>
      <c r="O84">
        <v>80</v>
      </c>
      <c r="P84">
        <v>79.2</v>
      </c>
      <c r="Q84" t="s">
        <v>21</v>
      </c>
      <c r="R84">
        <v>18.576000000000001</v>
      </c>
      <c r="S84" t="s">
        <v>155</v>
      </c>
      <c r="T84">
        <v>144.69999999999999</v>
      </c>
      <c r="U84">
        <v>147.1</v>
      </c>
      <c r="V84">
        <v>148.69999999999999</v>
      </c>
      <c r="W84">
        <v>147.89999999999998</v>
      </c>
      <c r="X84" t="s">
        <v>21</v>
      </c>
      <c r="Y84">
        <v>19.649999999999999</v>
      </c>
      <c r="Z84">
        <f t="shared" si="1"/>
        <v>19.066971428571428</v>
      </c>
      <c r="AA84">
        <v>0.18940257099999999</v>
      </c>
    </row>
    <row r="85" spans="1:27" x14ac:dyDescent="0.25">
      <c r="A85" s="1">
        <v>45782</v>
      </c>
      <c r="B85">
        <v>5650.38</v>
      </c>
      <c r="C85">
        <v>5650</v>
      </c>
      <c r="D85" s="1">
        <v>45793</v>
      </c>
      <c r="E85" s="1">
        <v>45828</v>
      </c>
      <c r="F85">
        <v>30</v>
      </c>
      <c r="G85">
        <v>11</v>
      </c>
      <c r="H85">
        <v>46</v>
      </c>
      <c r="I85">
        <v>0.45714285714285713</v>
      </c>
      <c r="J85">
        <v>0.54285714285714282</v>
      </c>
      <c r="K85" t="s">
        <v>19</v>
      </c>
      <c r="L85" t="s">
        <v>156</v>
      </c>
      <c r="M85">
        <v>73.8</v>
      </c>
      <c r="N85">
        <v>74.099999999999994</v>
      </c>
      <c r="O85">
        <v>75.5</v>
      </c>
      <c r="P85">
        <v>74.8</v>
      </c>
      <c r="Q85" t="s">
        <v>21</v>
      </c>
      <c r="R85">
        <v>18.294</v>
      </c>
      <c r="S85" t="s">
        <v>157</v>
      </c>
      <c r="T85">
        <v>148.99</v>
      </c>
      <c r="U85">
        <v>147.5</v>
      </c>
      <c r="V85">
        <v>149</v>
      </c>
      <c r="W85">
        <v>148.25</v>
      </c>
      <c r="X85" t="s">
        <v>21</v>
      </c>
      <c r="Y85">
        <v>19.907</v>
      </c>
      <c r="Z85">
        <f t="shared" si="1"/>
        <v>19.169628571428571</v>
      </c>
      <c r="AA85">
        <v>0.19162742899999999</v>
      </c>
    </row>
    <row r="86" spans="1:27" x14ac:dyDescent="0.25">
      <c r="A86" s="1">
        <v>45783</v>
      </c>
      <c r="B86">
        <v>5606.91</v>
      </c>
      <c r="C86">
        <v>5605</v>
      </c>
      <c r="D86" s="1">
        <v>45793</v>
      </c>
      <c r="E86" s="1">
        <v>45828</v>
      </c>
      <c r="F86">
        <v>30</v>
      </c>
      <c r="G86">
        <v>10</v>
      </c>
      <c r="H86">
        <v>45</v>
      </c>
      <c r="I86">
        <v>0.42857142857142855</v>
      </c>
      <c r="J86">
        <v>0.5714285714285714</v>
      </c>
      <c r="K86" t="s">
        <v>19</v>
      </c>
      <c r="L86" t="s">
        <v>152</v>
      </c>
      <c r="M86">
        <v>75.3</v>
      </c>
      <c r="N86">
        <v>81.5</v>
      </c>
      <c r="O86">
        <v>83.3</v>
      </c>
      <c r="P86">
        <v>82.4</v>
      </c>
      <c r="Q86" t="s">
        <v>21</v>
      </c>
      <c r="R86">
        <v>19.966000000000001</v>
      </c>
      <c r="S86" t="s">
        <v>153</v>
      </c>
      <c r="T86">
        <v>153.1</v>
      </c>
      <c r="U86">
        <v>158.4</v>
      </c>
      <c r="V86">
        <v>160.69999999999999</v>
      </c>
      <c r="W86">
        <v>159.55000000000001</v>
      </c>
      <c r="X86" t="s">
        <v>21</v>
      </c>
      <c r="Y86">
        <v>21.077999999999999</v>
      </c>
      <c r="Z86">
        <f t="shared" si="1"/>
        <v>20.601428571428571</v>
      </c>
      <c r="AA86">
        <v>0.204667143</v>
      </c>
    </row>
    <row r="87" spans="1:27" x14ac:dyDescent="0.25">
      <c r="A87" s="1">
        <v>45784</v>
      </c>
      <c r="B87">
        <v>5631.28</v>
      </c>
      <c r="C87">
        <v>5630</v>
      </c>
      <c r="D87" s="1">
        <v>45793</v>
      </c>
      <c r="E87" s="1">
        <v>45828</v>
      </c>
      <c r="F87">
        <v>30</v>
      </c>
      <c r="G87">
        <v>9</v>
      </c>
      <c r="H87">
        <v>44</v>
      </c>
      <c r="I87">
        <v>0.4</v>
      </c>
      <c r="J87">
        <v>0.6</v>
      </c>
      <c r="K87" t="s">
        <v>19</v>
      </c>
      <c r="L87" t="s">
        <v>158</v>
      </c>
      <c r="M87">
        <v>79.5</v>
      </c>
      <c r="N87">
        <v>70.099999999999994</v>
      </c>
      <c r="O87">
        <v>72.2</v>
      </c>
      <c r="P87">
        <v>71.150000000000006</v>
      </c>
      <c r="Q87" t="s">
        <v>21</v>
      </c>
      <c r="R87">
        <v>19.445</v>
      </c>
      <c r="S87" t="s">
        <v>159</v>
      </c>
      <c r="T87">
        <v>147.4</v>
      </c>
      <c r="U87">
        <v>147</v>
      </c>
      <c r="V87">
        <v>149.4</v>
      </c>
      <c r="W87">
        <v>148.19999999999999</v>
      </c>
      <c r="X87" t="s">
        <v>21</v>
      </c>
      <c r="Y87">
        <v>20.355</v>
      </c>
      <c r="Z87">
        <f t="shared" si="1"/>
        <v>19.991</v>
      </c>
      <c r="AA87">
        <v>0.19869000000000001</v>
      </c>
    </row>
    <row r="88" spans="1:27" x14ac:dyDescent="0.25">
      <c r="A88" s="1">
        <v>45785</v>
      </c>
      <c r="B88">
        <v>5663.94</v>
      </c>
      <c r="C88">
        <v>5665</v>
      </c>
      <c r="D88" s="1">
        <v>45793</v>
      </c>
      <c r="E88" s="1">
        <v>45828</v>
      </c>
      <c r="F88">
        <v>30</v>
      </c>
      <c r="G88">
        <v>8</v>
      </c>
      <c r="H88">
        <v>43</v>
      </c>
      <c r="I88">
        <v>0.37142857142857144</v>
      </c>
      <c r="J88">
        <v>0.62857142857142856</v>
      </c>
      <c r="K88" t="s">
        <v>19</v>
      </c>
      <c r="L88" t="s">
        <v>160</v>
      </c>
      <c r="M88">
        <v>52.38</v>
      </c>
      <c r="N88">
        <v>62.3</v>
      </c>
      <c r="O88">
        <v>63.8</v>
      </c>
      <c r="P88">
        <v>63.05</v>
      </c>
      <c r="Q88" t="s">
        <v>21</v>
      </c>
      <c r="R88">
        <v>18.995999999999999</v>
      </c>
      <c r="S88" t="s">
        <v>161</v>
      </c>
      <c r="T88">
        <v>137.4</v>
      </c>
      <c r="U88">
        <v>138.5</v>
      </c>
      <c r="V88">
        <v>140.30000000000001</v>
      </c>
      <c r="W88">
        <v>139.4</v>
      </c>
      <c r="X88" t="s">
        <v>21</v>
      </c>
      <c r="Y88">
        <v>19.66</v>
      </c>
      <c r="Z88">
        <f t="shared" si="1"/>
        <v>19.413371428571427</v>
      </c>
      <c r="AA88">
        <v>0.19303557099999999</v>
      </c>
    </row>
    <row r="89" spans="1:27" x14ac:dyDescent="0.25">
      <c r="A89" s="1">
        <v>45786</v>
      </c>
      <c r="B89">
        <v>5659.91</v>
      </c>
      <c r="C89">
        <v>5660</v>
      </c>
      <c r="D89" s="1">
        <v>45793</v>
      </c>
      <c r="E89" s="1">
        <v>45828</v>
      </c>
      <c r="F89">
        <v>30</v>
      </c>
      <c r="G89">
        <v>7</v>
      </c>
      <c r="H89">
        <v>42</v>
      </c>
      <c r="I89">
        <v>0.34285714285714286</v>
      </c>
      <c r="J89">
        <v>0.65714285714285714</v>
      </c>
      <c r="K89" t="s">
        <v>19</v>
      </c>
      <c r="L89" t="s">
        <v>162</v>
      </c>
      <c r="M89">
        <v>59.9</v>
      </c>
      <c r="N89">
        <v>56.2</v>
      </c>
      <c r="O89">
        <v>57.8</v>
      </c>
      <c r="P89">
        <v>57</v>
      </c>
      <c r="Q89" t="s">
        <v>21</v>
      </c>
      <c r="R89">
        <v>19.593</v>
      </c>
      <c r="S89" t="s">
        <v>163</v>
      </c>
      <c r="T89">
        <v>136.41</v>
      </c>
      <c r="U89">
        <v>132.5</v>
      </c>
      <c r="V89">
        <v>134.6</v>
      </c>
      <c r="W89">
        <v>133.55000000000001</v>
      </c>
      <c r="X89" t="s">
        <v>21</v>
      </c>
      <c r="Y89">
        <v>19.465</v>
      </c>
      <c r="Z89">
        <f t="shared" si="1"/>
        <v>19.508885714285714</v>
      </c>
      <c r="AA89">
        <v>0.19431728600000001</v>
      </c>
    </row>
    <row r="90" spans="1:27" x14ac:dyDescent="0.25">
      <c r="A90" s="1">
        <v>45789</v>
      </c>
      <c r="B90">
        <v>5844.19</v>
      </c>
      <c r="C90">
        <v>5845</v>
      </c>
      <c r="D90" s="1">
        <v>45793</v>
      </c>
      <c r="E90" s="1">
        <v>45828</v>
      </c>
      <c r="F90">
        <v>30</v>
      </c>
      <c r="G90">
        <v>4</v>
      </c>
      <c r="H90">
        <v>39</v>
      </c>
      <c r="I90">
        <v>0.25714285714285712</v>
      </c>
      <c r="J90">
        <v>0.74285714285714288</v>
      </c>
      <c r="K90" t="s">
        <v>19</v>
      </c>
      <c r="L90" t="s">
        <v>164</v>
      </c>
      <c r="M90">
        <v>38.770000000000003</v>
      </c>
      <c r="N90">
        <v>38.4</v>
      </c>
      <c r="O90">
        <v>39.799999999999997</v>
      </c>
      <c r="P90">
        <v>39.099999999999994</v>
      </c>
      <c r="Q90" t="s">
        <v>21</v>
      </c>
      <c r="R90">
        <v>14.664</v>
      </c>
      <c r="S90" t="s">
        <v>165</v>
      </c>
      <c r="T90">
        <v>110</v>
      </c>
      <c r="U90">
        <v>105.4</v>
      </c>
      <c r="V90">
        <v>106.6</v>
      </c>
      <c r="W90">
        <v>106</v>
      </c>
      <c r="X90" t="s">
        <v>21</v>
      </c>
      <c r="Y90">
        <v>15.419</v>
      </c>
      <c r="Z90">
        <f t="shared" si="1"/>
        <v>15.224857142857143</v>
      </c>
      <c r="AA90">
        <v>0.15064085699999999</v>
      </c>
    </row>
    <row r="91" spans="1:27" x14ac:dyDescent="0.25">
      <c r="A91" s="1">
        <v>45790</v>
      </c>
      <c r="B91">
        <v>5886.55</v>
      </c>
      <c r="C91">
        <v>5885</v>
      </c>
      <c r="D91" s="1">
        <v>45793</v>
      </c>
      <c r="E91" s="1">
        <v>45828</v>
      </c>
      <c r="F91">
        <v>30</v>
      </c>
      <c r="G91">
        <v>3</v>
      </c>
      <c r="H91">
        <v>38</v>
      </c>
      <c r="I91">
        <v>0.22857142857142856</v>
      </c>
      <c r="J91">
        <v>0.77142857142857146</v>
      </c>
      <c r="K91" t="s">
        <v>19</v>
      </c>
      <c r="L91" t="s">
        <v>166</v>
      </c>
      <c r="M91">
        <v>33.799999999999997</v>
      </c>
      <c r="N91">
        <v>33.4</v>
      </c>
      <c r="O91">
        <v>34.6</v>
      </c>
      <c r="P91">
        <v>34</v>
      </c>
      <c r="Q91" t="s">
        <v>21</v>
      </c>
      <c r="R91">
        <v>13.032</v>
      </c>
      <c r="S91" t="s">
        <v>167</v>
      </c>
      <c r="T91">
        <v>104.8</v>
      </c>
      <c r="U91">
        <v>103.4</v>
      </c>
      <c r="V91">
        <v>105.2</v>
      </c>
      <c r="W91">
        <v>104.30000000000001</v>
      </c>
      <c r="X91" t="s">
        <v>21</v>
      </c>
      <c r="Y91">
        <v>14.984</v>
      </c>
      <c r="Z91">
        <f t="shared" si="1"/>
        <v>14.537828571428571</v>
      </c>
      <c r="AA91">
        <v>0.14456728599999999</v>
      </c>
    </row>
    <row r="92" spans="1:27" x14ac:dyDescent="0.25">
      <c r="A92" s="1">
        <v>45791</v>
      </c>
      <c r="B92">
        <v>5892.58</v>
      </c>
      <c r="C92">
        <v>5895</v>
      </c>
      <c r="D92" s="1">
        <v>45793</v>
      </c>
      <c r="E92" s="1">
        <v>45828</v>
      </c>
      <c r="F92">
        <v>30</v>
      </c>
      <c r="G92">
        <v>2</v>
      </c>
      <c r="H92">
        <v>37</v>
      </c>
      <c r="I92">
        <v>0.2</v>
      </c>
      <c r="J92">
        <v>0.8</v>
      </c>
      <c r="K92" t="s">
        <v>19</v>
      </c>
      <c r="L92" t="s">
        <v>168</v>
      </c>
      <c r="M92">
        <v>28.82</v>
      </c>
      <c r="N92">
        <v>28.7</v>
      </c>
      <c r="O92">
        <v>29.9</v>
      </c>
      <c r="P92">
        <v>29.299999999999997</v>
      </c>
      <c r="Q92" t="s">
        <v>21</v>
      </c>
      <c r="R92">
        <v>13.153</v>
      </c>
      <c r="S92" t="s">
        <v>169</v>
      </c>
      <c r="T92">
        <v>106</v>
      </c>
      <c r="U92">
        <v>107.5</v>
      </c>
      <c r="V92">
        <v>109.3</v>
      </c>
      <c r="W92">
        <v>108.4</v>
      </c>
      <c r="X92" t="s">
        <v>21</v>
      </c>
      <c r="Y92">
        <v>15.483000000000001</v>
      </c>
      <c r="Z92">
        <f t="shared" si="1"/>
        <v>15.017000000000003</v>
      </c>
      <c r="AA92">
        <v>0.14896699999999999</v>
      </c>
    </row>
    <row r="93" spans="1:27" x14ac:dyDescent="0.25">
      <c r="A93" s="1">
        <v>45792</v>
      </c>
      <c r="B93">
        <v>5916.93</v>
      </c>
      <c r="C93">
        <v>5915</v>
      </c>
      <c r="D93" s="1">
        <v>45793</v>
      </c>
      <c r="E93" s="1">
        <v>45828</v>
      </c>
      <c r="F93">
        <v>30</v>
      </c>
      <c r="G93">
        <v>1</v>
      </c>
      <c r="H93">
        <v>36</v>
      </c>
      <c r="I93">
        <v>0.17142857142857143</v>
      </c>
      <c r="J93">
        <v>0.82857142857142863</v>
      </c>
      <c r="K93" t="s">
        <v>19</v>
      </c>
      <c r="L93" t="s">
        <v>170</v>
      </c>
      <c r="M93">
        <v>12</v>
      </c>
      <c r="N93">
        <v>13.3</v>
      </c>
      <c r="O93">
        <v>14.1</v>
      </c>
      <c r="P93">
        <v>13.7</v>
      </c>
      <c r="Q93" t="s">
        <v>21</v>
      </c>
      <c r="R93">
        <v>10.526</v>
      </c>
      <c r="S93" t="s">
        <v>171</v>
      </c>
      <c r="T93">
        <v>107.08</v>
      </c>
      <c r="U93">
        <v>99.1</v>
      </c>
      <c r="V93">
        <v>100.5</v>
      </c>
      <c r="W93">
        <v>99.8</v>
      </c>
      <c r="X93" t="s">
        <v>21</v>
      </c>
      <c r="Y93">
        <v>15.086</v>
      </c>
      <c r="Z93">
        <f t="shared" si="1"/>
        <v>14.304285714285715</v>
      </c>
      <c r="AA93">
        <v>0.14267685699999999</v>
      </c>
    </row>
    <row r="94" spans="1:27" x14ac:dyDescent="0.25">
      <c r="A94" s="1">
        <v>45793</v>
      </c>
      <c r="B94">
        <v>5958.38</v>
      </c>
      <c r="C94">
        <v>5960</v>
      </c>
      <c r="D94" s="1">
        <v>45828</v>
      </c>
      <c r="E94" s="1">
        <v>45856</v>
      </c>
      <c r="F94">
        <v>30</v>
      </c>
      <c r="G94">
        <v>35</v>
      </c>
      <c r="H94">
        <v>63</v>
      </c>
      <c r="I94">
        <v>1</v>
      </c>
      <c r="J94">
        <v>0</v>
      </c>
      <c r="K94" t="s">
        <v>19</v>
      </c>
      <c r="L94" t="s">
        <v>172</v>
      </c>
      <c r="M94">
        <v>98.37</v>
      </c>
      <c r="N94">
        <v>111.4</v>
      </c>
      <c r="O94">
        <v>114.3</v>
      </c>
      <c r="P94">
        <v>112.85</v>
      </c>
      <c r="Q94" t="s">
        <v>21</v>
      </c>
      <c r="R94">
        <v>14.803000000000001</v>
      </c>
      <c r="S94" t="s">
        <v>173</v>
      </c>
      <c r="T94">
        <v>134.18</v>
      </c>
      <c r="U94">
        <v>145.19999999999999</v>
      </c>
      <c r="V94">
        <v>148.80000000000001</v>
      </c>
      <c r="W94">
        <v>147</v>
      </c>
      <c r="X94" t="s">
        <v>21</v>
      </c>
      <c r="Y94">
        <v>15.611000000000001</v>
      </c>
      <c r="Z94">
        <f t="shared" si="1"/>
        <v>14.803000000000001</v>
      </c>
      <c r="AA94">
        <v>0.14706</v>
      </c>
    </row>
    <row r="95" spans="1:27" x14ac:dyDescent="0.25">
      <c r="A95" s="1">
        <v>45796</v>
      </c>
      <c r="B95">
        <v>5963.6</v>
      </c>
      <c r="C95">
        <v>5965</v>
      </c>
      <c r="D95" s="1">
        <v>45828</v>
      </c>
      <c r="E95" s="1">
        <v>45856</v>
      </c>
      <c r="F95">
        <v>30</v>
      </c>
      <c r="G95">
        <v>32</v>
      </c>
      <c r="H95">
        <v>60</v>
      </c>
      <c r="I95">
        <v>1</v>
      </c>
      <c r="J95">
        <v>0</v>
      </c>
      <c r="K95" t="s">
        <v>19</v>
      </c>
      <c r="L95" t="s">
        <v>174</v>
      </c>
      <c r="M95">
        <v>103</v>
      </c>
      <c r="N95">
        <v>97.4</v>
      </c>
      <c r="O95">
        <v>99.2</v>
      </c>
      <c r="P95">
        <v>98.300000000000011</v>
      </c>
      <c r="Q95" t="s">
        <v>21</v>
      </c>
      <c r="R95">
        <v>15.131</v>
      </c>
      <c r="S95" t="s">
        <v>175</v>
      </c>
      <c r="T95">
        <v>139.6</v>
      </c>
      <c r="U95">
        <v>133.30000000000001</v>
      </c>
      <c r="V95">
        <v>135.19999999999999</v>
      </c>
      <c r="W95">
        <v>134.25</v>
      </c>
      <c r="X95" t="s">
        <v>21</v>
      </c>
      <c r="Y95">
        <v>15.856999999999999</v>
      </c>
      <c r="Z95">
        <f t="shared" si="1"/>
        <v>15.131</v>
      </c>
      <c r="AA95">
        <v>0.15040999999999999</v>
      </c>
    </row>
    <row r="96" spans="1:27" x14ac:dyDescent="0.25">
      <c r="A96" s="1">
        <v>45797</v>
      </c>
      <c r="B96">
        <v>5940.46</v>
      </c>
      <c r="C96">
        <v>5940</v>
      </c>
      <c r="D96" s="1">
        <v>45828</v>
      </c>
      <c r="E96" s="1">
        <v>45856</v>
      </c>
      <c r="F96">
        <v>30</v>
      </c>
      <c r="G96">
        <v>31</v>
      </c>
      <c r="H96">
        <v>59</v>
      </c>
      <c r="I96">
        <v>1</v>
      </c>
      <c r="J96">
        <v>0</v>
      </c>
      <c r="K96" t="s">
        <v>19</v>
      </c>
      <c r="L96" t="s">
        <v>176</v>
      </c>
      <c r="M96">
        <v>98.06</v>
      </c>
      <c r="N96">
        <v>96.5</v>
      </c>
      <c r="O96">
        <v>97.9</v>
      </c>
      <c r="P96">
        <v>97.2</v>
      </c>
      <c r="Q96" t="s">
        <v>21</v>
      </c>
      <c r="R96">
        <v>15.372</v>
      </c>
      <c r="S96" t="s">
        <v>177</v>
      </c>
      <c r="T96">
        <v>133.69</v>
      </c>
      <c r="U96">
        <v>133.4</v>
      </c>
      <c r="V96">
        <v>134.80000000000001</v>
      </c>
      <c r="W96">
        <v>134.10000000000002</v>
      </c>
      <c r="X96" t="s">
        <v>21</v>
      </c>
      <c r="Y96">
        <v>16.068999999999999</v>
      </c>
      <c r="Z96">
        <f t="shared" si="1"/>
        <v>15.372</v>
      </c>
      <c r="AA96">
        <v>0.15259</v>
      </c>
    </row>
    <row r="97" spans="1:27" x14ac:dyDescent="0.25">
      <c r="A97" s="1">
        <v>45798</v>
      </c>
      <c r="B97">
        <v>5844.61</v>
      </c>
      <c r="C97">
        <v>5845</v>
      </c>
      <c r="D97" s="1">
        <v>45828</v>
      </c>
      <c r="E97" s="1">
        <v>45856</v>
      </c>
      <c r="F97">
        <v>30</v>
      </c>
      <c r="G97">
        <v>30</v>
      </c>
      <c r="H97">
        <v>58</v>
      </c>
      <c r="I97">
        <v>1</v>
      </c>
      <c r="J97">
        <v>0</v>
      </c>
      <c r="K97" t="s">
        <v>19</v>
      </c>
      <c r="L97" t="s">
        <v>165</v>
      </c>
      <c r="M97">
        <v>107.91</v>
      </c>
      <c r="N97">
        <v>107.8</v>
      </c>
      <c r="O97">
        <v>109.4</v>
      </c>
      <c r="P97">
        <v>108.6</v>
      </c>
      <c r="Q97" t="s">
        <v>21</v>
      </c>
      <c r="R97">
        <v>17.622</v>
      </c>
      <c r="S97" t="s">
        <v>178</v>
      </c>
      <c r="T97">
        <v>142.68</v>
      </c>
      <c r="U97">
        <v>146.4</v>
      </c>
      <c r="V97">
        <v>148</v>
      </c>
      <c r="W97">
        <v>147.19999999999999</v>
      </c>
      <c r="X97" t="s">
        <v>21</v>
      </c>
      <c r="Y97">
        <v>17.850999999999999</v>
      </c>
      <c r="Z97">
        <f t="shared" si="1"/>
        <v>17.622</v>
      </c>
      <c r="AA97">
        <v>0.175455</v>
      </c>
    </row>
    <row r="98" spans="1:27" x14ac:dyDescent="0.25">
      <c r="A98" s="1">
        <v>45799</v>
      </c>
      <c r="B98">
        <v>5842.01</v>
      </c>
      <c r="C98">
        <v>5840</v>
      </c>
      <c r="D98" s="1">
        <v>45828</v>
      </c>
      <c r="E98" s="1">
        <v>45856</v>
      </c>
      <c r="F98">
        <v>30</v>
      </c>
      <c r="G98">
        <v>29</v>
      </c>
      <c r="H98">
        <v>57</v>
      </c>
      <c r="I98">
        <v>0.9642857142857143</v>
      </c>
      <c r="J98">
        <v>3.5714285714285712E-2</v>
      </c>
      <c r="K98" t="s">
        <v>19</v>
      </c>
      <c r="L98" t="s">
        <v>179</v>
      </c>
      <c r="M98">
        <v>92.57</v>
      </c>
      <c r="N98">
        <v>97.2</v>
      </c>
      <c r="O98">
        <v>98.7</v>
      </c>
      <c r="P98">
        <v>97.95</v>
      </c>
      <c r="Q98" t="s">
        <v>21</v>
      </c>
      <c r="R98">
        <v>17.527999999999999</v>
      </c>
      <c r="S98" t="s">
        <v>180</v>
      </c>
      <c r="T98">
        <v>130.5</v>
      </c>
      <c r="U98">
        <v>137.1</v>
      </c>
      <c r="V98">
        <v>138.6</v>
      </c>
      <c r="W98">
        <v>137.85</v>
      </c>
      <c r="X98" t="s">
        <v>21</v>
      </c>
      <c r="Y98">
        <v>17.843</v>
      </c>
      <c r="Z98">
        <f t="shared" si="1"/>
        <v>17.539249999999999</v>
      </c>
      <c r="AA98">
        <v>0.17434875</v>
      </c>
    </row>
    <row r="99" spans="1:27" x14ac:dyDescent="0.25">
      <c r="A99" s="1">
        <v>45800</v>
      </c>
      <c r="B99">
        <v>5802.82</v>
      </c>
      <c r="C99">
        <v>5805</v>
      </c>
      <c r="D99" s="1">
        <v>45828</v>
      </c>
      <c r="E99" s="1">
        <v>45856</v>
      </c>
      <c r="F99">
        <v>30</v>
      </c>
      <c r="G99">
        <v>28</v>
      </c>
      <c r="H99">
        <v>56</v>
      </c>
      <c r="I99">
        <v>0.9285714285714286</v>
      </c>
      <c r="J99">
        <v>7.1428571428571425E-2</v>
      </c>
      <c r="K99" t="s">
        <v>19</v>
      </c>
      <c r="L99" t="s">
        <v>181</v>
      </c>
      <c r="M99">
        <v>111.9</v>
      </c>
      <c r="N99">
        <v>111.6</v>
      </c>
      <c r="O99">
        <v>113.3</v>
      </c>
      <c r="P99">
        <v>112.44999999999999</v>
      </c>
      <c r="Q99" t="s">
        <v>21</v>
      </c>
      <c r="R99">
        <v>19.077000000000002</v>
      </c>
      <c r="S99" t="s">
        <v>182</v>
      </c>
      <c r="T99">
        <v>144.94999999999999</v>
      </c>
      <c r="U99">
        <v>153.6</v>
      </c>
      <c r="V99">
        <v>155.4</v>
      </c>
      <c r="W99">
        <v>154.5</v>
      </c>
      <c r="X99" t="s">
        <v>21</v>
      </c>
      <c r="Y99">
        <v>19.081</v>
      </c>
      <c r="Z99">
        <f t="shared" si="1"/>
        <v>19.077285714285718</v>
      </c>
      <c r="AA99">
        <v>0.190894286</v>
      </c>
    </row>
    <row r="100" spans="1:27" x14ac:dyDescent="0.25">
      <c r="A100" s="1">
        <v>45804</v>
      </c>
      <c r="B100">
        <v>5921.54</v>
      </c>
      <c r="C100">
        <v>5920</v>
      </c>
      <c r="D100" s="1">
        <v>45828</v>
      </c>
      <c r="E100" s="1">
        <v>45856</v>
      </c>
      <c r="F100">
        <v>30</v>
      </c>
      <c r="G100">
        <v>24</v>
      </c>
      <c r="H100">
        <v>52</v>
      </c>
      <c r="I100">
        <v>0.7857142857142857</v>
      </c>
      <c r="J100">
        <v>0.21428571428571427</v>
      </c>
      <c r="K100" t="s">
        <v>19</v>
      </c>
      <c r="L100" t="s">
        <v>183</v>
      </c>
      <c r="M100">
        <v>90.12</v>
      </c>
      <c r="N100">
        <v>82.2</v>
      </c>
      <c r="O100">
        <v>83.5</v>
      </c>
      <c r="P100">
        <v>82.85</v>
      </c>
      <c r="Q100" t="s">
        <v>21</v>
      </c>
      <c r="R100">
        <v>15.545999999999999</v>
      </c>
      <c r="S100" t="s">
        <v>184</v>
      </c>
      <c r="T100">
        <v>140.37</v>
      </c>
      <c r="U100">
        <v>123.5</v>
      </c>
      <c r="V100">
        <v>124.9</v>
      </c>
      <c r="W100">
        <v>124.2</v>
      </c>
      <c r="X100" t="s">
        <v>21</v>
      </c>
      <c r="Y100">
        <v>16.192</v>
      </c>
      <c r="Z100">
        <f t="shared" si="1"/>
        <v>15.684428571428571</v>
      </c>
      <c r="AA100">
        <v>0.155891786</v>
      </c>
    </row>
    <row r="101" spans="1:27" x14ac:dyDescent="0.25">
      <c r="A101" s="1">
        <v>45805</v>
      </c>
      <c r="B101">
        <v>5888.55</v>
      </c>
      <c r="C101">
        <v>5890</v>
      </c>
      <c r="D101" s="1">
        <v>45828</v>
      </c>
      <c r="E101" s="1">
        <v>45856</v>
      </c>
      <c r="F101">
        <v>30</v>
      </c>
      <c r="G101">
        <v>23</v>
      </c>
      <c r="H101">
        <v>51</v>
      </c>
      <c r="I101">
        <v>0.75</v>
      </c>
      <c r="J101">
        <v>0.25</v>
      </c>
      <c r="K101" t="s">
        <v>19</v>
      </c>
      <c r="L101" t="s">
        <v>185</v>
      </c>
      <c r="M101">
        <v>78.099999999999994</v>
      </c>
      <c r="N101">
        <v>74.8</v>
      </c>
      <c r="O101">
        <v>76.900000000000006</v>
      </c>
      <c r="P101">
        <v>75.849999999999994</v>
      </c>
      <c r="Q101" t="s">
        <v>21</v>
      </c>
      <c r="R101">
        <v>15.831</v>
      </c>
      <c r="S101" t="s">
        <v>186</v>
      </c>
      <c r="T101">
        <v>118.7</v>
      </c>
      <c r="U101">
        <v>117.6</v>
      </c>
      <c r="V101">
        <v>119.8</v>
      </c>
      <c r="W101">
        <v>118.69999999999999</v>
      </c>
      <c r="X101" t="s">
        <v>21</v>
      </c>
      <c r="Y101">
        <v>16.619</v>
      </c>
      <c r="Z101">
        <f t="shared" si="1"/>
        <v>16.027999999999999</v>
      </c>
      <c r="AA101">
        <v>0.15990375000000001</v>
      </c>
    </row>
    <row r="102" spans="1:27" x14ac:dyDescent="0.25">
      <c r="A102" s="1">
        <v>45806</v>
      </c>
      <c r="B102">
        <v>5912.17</v>
      </c>
      <c r="C102">
        <v>5910</v>
      </c>
      <c r="D102" s="1">
        <v>45828</v>
      </c>
      <c r="E102" s="1">
        <v>45856</v>
      </c>
      <c r="F102">
        <v>30</v>
      </c>
      <c r="G102">
        <v>22</v>
      </c>
      <c r="H102">
        <v>50</v>
      </c>
      <c r="I102">
        <v>0.7142857142857143</v>
      </c>
      <c r="J102">
        <v>0.2857142857142857</v>
      </c>
      <c r="K102" t="s">
        <v>19</v>
      </c>
      <c r="L102" t="s">
        <v>187</v>
      </c>
      <c r="M102">
        <v>85</v>
      </c>
      <c r="N102">
        <v>85.8</v>
      </c>
      <c r="O102">
        <v>87.3</v>
      </c>
      <c r="P102">
        <v>86.55</v>
      </c>
      <c r="Q102" t="s">
        <v>21</v>
      </c>
      <c r="R102">
        <v>15.686</v>
      </c>
      <c r="S102" t="s">
        <v>188</v>
      </c>
      <c r="T102">
        <v>125.78</v>
      </c>
      <c r="U102">
        <v>128.19999999999999</v>
      </c>
      <c r="V102">
        <v>129.69999999999999</v>
      </c>
      <c r="W102">
        <v>128.94999999999999</v>
      </c>
      <c r="X102" t="s">
        <v>21</v>
      </c>
      <c r="Y102">
        <v>16.451000000000001</v>
      </c>
      <c r="Z102">
        <f t="shared" si="1"/>
        <v>15.904571428571428</v>
      </c>
      <c r="AA102">
        <v>0.15870642900000001</v>
      </c>
    </row>
    <row r="103" spans="1:27" x14ac:dyDescent="0.25">
      <c r="A103" s="1">
        <v>45807</v>
      </c>
      <c r="B103">
        <v>5911.69</v>
      </c>
      <c r="C103">
        <v>5910</v>
      </c>
      <c r="D103" s="1">
        <v>45828</v>
      </c>
      <c r="E103" s="1">
        <v>45856</v>
      </c>
      <c r="F103">
        <v>30</v>
      </c>
      <c r="G103">
        <v>21</v>
      </c>
      <c r="H103">
        <v>49</v>
      </c>
      <c r="I103">
        <v>0.6785714285714286</v>
      </c>
      <c r="J103">
        <v>0.32142857142857145</v>
      </c>
      <c r="K103" t="s">
        <v>19</v>
      </c>
      <c r="L103" t="s">
        <v>187</v>
      </c>
      <c r="M103">
        <v>85</v>
      </c>
      <c r="N103">
        <v>83.4</v>
      </c>
      <c r="O103">
        <v>85</v>
      </c>
      <c r="P103">
        <v>84.2</v>
      </c>
      <c r="Q103" t="s">
        <v>21</v>
      </c>
      <c r="R103">
        <v>15.593</v>
      </c>
      <c r="S103" t="s">
        <v>188</v>
      </c>
      <c r="T103">
        <v>120.9</v>
      </c>
      <c r="U103">
        <v>126</v>
      </c>
      <c r="V103">
        <v>127.7</v>
      </c>
      <c r="W103">
        <v>126.85</v>
      </c>
      <c r="X103" t="s">
        <v>21</v>
      </c>
      <c r="Y103">
        <v>16.273</v>
      </c>
      <c r="Z103">
        <f t="shared" si="1"/>
        <v>15.81157142857143</v>
      </c>
      <c r="AA103">
        <v>0.157938571</v>
      </c>
    </row>
    <row r="104" spans="1:27" x14ac:dyDescent="0.25">
      <c r="A104" s="1">
        <v>45810</v>
      </c>
      <c r="B104">
        <v>5935.94</v>
      </c>
      <c r="C104">
        <v>5935</v>
      </c>
      <c r="D104" s="1">
        <v>45828</v>
      </c>
      <c r="E104" s="1">
        <v>45856</v>
      </c>
      <c r="F104">
        <v>30</v>
      </c>
      <c r="G104">
        <v>18</v>
      </c>
      <c r="H104">
        <v>46</v>
      </c>
      <c r="I104">
        <v>0.5714285714285714</v>
      </c>
      <c r="J104">
        <v>0.42857142857142855</v>
      </c>
      <c r="K104" t="s">
        <v>19</v>
      </c>
      <c r="L104" t="s">
        <v>189</v>
      </c>
      <c r="M104">
        <v>80</v>
      </c>
      <c r="N104">
        <v>72.400000000000006</v>
      </c>
      <c r="O104">
        <v>73.400000000000006</v>
      </c>
      <c r="P104">
        <v>72.900000000000006</v>
      </c>
      <c r="Q104" t="s">
        <v>21</v>
      </c>
      <c r="R104">
        <v>14.962</v>
      </c>
      <c r="S104" t="s">
        <v>190</v>
      </c>
      <c r="T104">
        <v>118</v>
      </c>
      <c r="U104">
        <v>116.8</v>
      </c>
      <c r="V104">
        <v>118</v>
      </c>
      <c r="W104">
        <v>117.4</v>
      </c>
      <c r="X104" t="s">
        <v>21</v>
      </c>
      <c r="Y104">
        <v>15.93</v>
      </c>
      <c r="Z104">
        <f t="shared" si="1"/>
        <v>15.376857142857142</v>
      </c>
      <c r="AA104">
        <v>0.15318214299999999</v>
      </c>
    </row>
    <row r="105" spans="1:27" x14ac:dyDescent="0.25">
      <c r="A105" s="1">
        <v>45811</v>
      </c>
      <c r="B105">
        <v>5970.37</v>
      </c>
      <c r="C105">
        <v>5970</v>
      </c>
      <c r="D105" s="1">
        <v>45828</v>
      </c>
      <c r="E105" s="1">
        <v>45856</v>
      </c>
      <c r="F105">
        <v>30</v>
      </c>
      <c r="G105">
        <v>17</v>
      </c>
      <c r="H105">
        <v>45</v>
      </c>
      <c r="I105">
        <v>0.5357142857142857</v>
      </c>
      <c r="J105">
        <v>0.4642857142857143</v>
      </c>
      <c r="K105" t="s">
        <v>19</v>
      </c>
      <c r="L105" t="s">
        <v>191</v>
      </c>
      <c r="M105">
        <v>71</v>
      </c>
      <c r="N105">
        <v>68.2</v>
      </c>
      <c r="O105">
        <v>69.400000000000006</v>
      </c>
      <c r="P105">
        <v>68.800000000000011</v>
      </c>
      <c r="Q105" t="s">
        <v>21</v>
      </c>
      <c r="R105">
        <v>15.127000000000001</v>
      </c>
      <c r="S105" t="s">
        <v>192</v>
      </c>
      <c r="T105">
        <v>112.18</v>
      </c>
      <c r="U105">
        <v>112.7</v>
      </c>
      <c r="V105">
        <v>114.1</v>
      </c>
      <c r="W105">
        <v>113.4</v>
      </c>
      <c r="X105" t="s">
        <v>21</v>
      </c>
      <c r="Y105">
        <v>15.667999999999999</v>
      </c>
      <c r="Z105">
        <f t="shared" si="1"/>
        <v>15.37817857142857</v>
      </c>
      <c r="AA105">
        <v>0.149686607</v>
      </c>
    </row>
    <row r="106" spans="1:27" x14ac:dyDescent="0.25">
      <c r="A106" s="1">
        <v>45812</v>
      </c>
      <c r="B106">
        <v>5970.81</v>
      </c>
      <c r="C106">
        <v>5970</v>
      </c>
      <c r="D106" s="1">
        <v>45828</v>
      </c>
      <c r="E106" s="1">
        <v>45856</v>
      </c>
      <c r="F106">
        <v>30</v>
      </c>
      <c r="G106">
        <v>16</v>
      </c>
      <c r="H106">
        <v>44</v>
      </c>
      <c r="I106">
        <v>0.5</v>
      </c>
      <c r="J106">
        <v>0.5</v>
      </c>
      <c r="K106" t="s">
        <v>19</v>
      </c>
      <c r="L106" t="s">
        <v>191</v>
      </c>
      <c r="M106">
        <v>61.83</v>
      </c>
      <c r="N106">
        <v>66.900000000000006</v>
      </c>
      <c r="O106">
        <v>68</v>
      </c>
      <c r="P106">
        <v>67.45</v>
      </c>
      <c r="Q106" t="s">
        <v>21</v>
      </c>
      <c r="R106">
        <v>14.295</v>
      </c>
      <c r="S106" t="s">
        <v>192</v>
      </c>
      <c r="T106">
        <v>113.2</v>
      </c>
      <c r="U106">
        <v>113.2</v>
      </c>
      <c r="V106">
        <v>114.7</v>
      </c>
      <c r="W106">
        <v>113.95</v>
      </c>
      <c r="X106" t="s">
        <v>21</v>
      </c>
      <c r="Y106">
        <v>15.526999999999999</v>
      </c>
      <c r="Z106">
        <f t="shared" si="1"/>
        <v>14.911</v>
      </c>
      <c r="AA106">
        <v>0.14819499999999999</v>
      </c>
    </row>
    <row r="107" spans="1:27" x14ac:dyDescent="0.25">
      <c r="A107" s="1">
        <v>45813</v>
      </c>
      <c r="B107">
        <v>5939.3</v>
      </c>
      <c r="C107">
        <v>5940</v>
      </c>
      <c r="D107" s="1">
        <v>45828</v>
      </c>
      <c r="E107" s="1">
        <v>45856</v>
      </c>
      <c r="F107">
        <v>30</v>
      </c>
      <c r="G107">
        <v>15</v>
      </c>
      <c r="H107">
        <v>43</v>
      </c>
      <c r="I107">
        <v>0.4642857142857143</v>
      </c>
      <c r="J107">
        <v>0.5357142857142857</v>
      </c>
      <c r="K107" t="s">
        <v>19</v>
      </c>
      <c r="L107" t="s">
        <v>176</v>
      </c>
      <c r="M107">
        <v>65.3</v>
      </c>
      <c r="N107">
        <v>70.8</v>
      </c>
      <c r="O107">
        <v>72.5</v>
      </c>
      <c r="P107">
        <v>71.650000000000006</v>
      </c>
      <c r="Q107" t="s">
        <v>21</v>
      </c>
      <c r="R107">
        <v>15.198</v>
      </c>
      <c r="S107" t="s">
        <v>177</v>
      </c>
      <c r="T107">
        <v>107.01</v>
      </c>
      <c r="U107">
        <v>117.3</v>
      </c>
      <c r="V107">
        <v>119.4</v>
      </c>
      <c r="W107">
        <v>118.35</v>
      </c>
      <c r="X107" t="s">
        <v>21</v>
      </c>
      <c r="Y107">
        <v>15.894</v>
      </c>
      <c r="Z107">
        <f t="shared" si="1"/>
        <v>15.570857142857143</v>
      </c>
      <c r="AA107">
        <v>0.155207857</v>
      </c>
    </row>
    <row r="108" spans="1:27" x14ac:dyDescent="0.25">
      <c r="A108" s="1">
        <v>45814</v>
      </c>
      <c r="B108">
        <v>6000.36</v>
      </c>
      <c r="C108">
        <v>6000</v>
      </c>
      <c r="D108" s="1">
        <v>45828</v>
      </c>
      <c r="E108" s="1">
        <v>45856</v>
      </c>
      <c r="F108">
        <v>30</v>
      </c>
      <c r="G108">
        <v>14</v>
      </c>
      <c r="H108">
        <v>42</v>
      </c>
      <c r="I108">
        <v>0.42857142857142855</v>
      </c>
      <c r="J108">
        <v>0.5714285714285714</v>
      </c>
      <c r="K108" t="s">
        <v>19</v>
      </c>
      <c r="L108" t="s">
        <v>193</v>
      </c>
      <c r="M108">
        <v>56.63</v>
      </c>
      <c r="N108">
        <v>54.7</v>
      </c>
      <c r="O108">
        <v>55.9</v>
      </c>
      <c r="P108">
        <v>55.3</v>
      </c>
      <c r="Q108" t="s">
        <v>21</v>
      </c>
      <c r="R108">
        <v>13.013</v>
      </c>
      <c r="S108" t="s">
        <v>194</v>
      </c>
      <c r="T108">
        <v>101.8</v>
      </c>
      <c r="U108">
        <v>102.9</v>
      </c>
      <c r="V108">
        <v>104.2</v>
      </c>
      <c r="W108">
        <v>103.55000000000001</v>
      </c>
      <c r="X108" t="s">
        <v>21</v>
      </c>
      <c r="Y108">
        <v>14.542</v>
      </c>
      <c r="Z108">
        <f t="shared" si="1"/>
        <v>13.886714285714286</v>
      </c>
      <c r="AA108">
        <v>0.13782071400000001</v>
      </c>
    </row>
    <row r="109" spans="1:27" x14ac:dyDescent="0.25">
      <c r="A109" s="1">
        <v>45817</v>
      </c>
      <c r="B109">
        <v>6005.88</v>
      </c>
      <c r="C109">
        <v>6005</v>
      </c>
      <c r="D109" s="1">
        <v>45828</v>
      </c>
      <c r="E109" s="1">
        <v>45856</v>
      </c>
      <c r="F109">
        <v>30</v>
      </c>
      <c r="G109">
        <v>11</v>
      </c>
      <c r="H109">
        <v>39</v>
      </c>
      <c r="I109">
        <v>0.32142857142857145</v>
      </c>
      <c r="J109">
        <v>0.6785714285714286</v>
      </c>
      <c r="K109" t="s">
        <v>19</v>
      </c>
      <c r="L109" t="s">
        <v>195</v>
      </c>
      <c r="M109">
        <v>52.89</v>
      </c>
      <c r="N109">
        <v>51.6</v>
      </c>
      <c r="O109">
        <v>52.7</v>
      </c>
      <c r="P109">
        <v>52.150000000000006</v>
      </c>
      <c r="Q109" t="s">
        <v>21</v>
      </c>
      <c r="R109">
        <v>13.092000000000001</v>
      </c>
      <c r="S109" t="s">
        <v>196</v>
      </c>
      <c r="T109">
        <v>98.1</v>
      </c>
      <c r="U109">
        <v>100.4</v>
      </c>
      <c r="V109">
        <v>101.6</v>
      </c>
      <c r="W109">
        <v>101</v>
      </c>
      <c r="X109" t="s">
        <v>21</v>
      </c>
      <c r="Y109">
        <v>14.587999999999999</v>
      </c>
      <c r="Z109">
        <f t="shared" si="1"/>
        <v>14.107142857142858</v>
      </c>
      <c r="AA109">
        <v>0.14002017899999999</v>
      </c>
    </row>
    <row r="110" spans="1:27" x14ac:dyDescent="0.25">
      <c r="A110" s="1">
        <v>45818</v>
      </c>
      <c r="B110">
        <v>6038.81</v>
      </c>
      <c r="C110">
        <v>6040</v>
      </c>
      <c r="D110" s="1">
        <v>45828</v>
      </c>
      <c r="E110" s="1">
        <v>45856</v>
      </c>
      <c r="F110">
        <v>30</v>
      </c>
      <c r="G110">
        <v>10</v>
      </c>
      <c r="H110">
        <v>38</v>
      </c>
      <c r="I110">
        <v>0.2857142857142857</v>
      </c>
      <c r="J110">
        <v>0.7142857142857143</v>
      </c>
      <c r="K110" t="s">
        <v>19</v>
      </c>
      <c r="L110" t="s">
        <v>197</v>
      </c>
      <c r="M110">
        <v>51.5</v>
      </c>
      <c r="N110">
        <v>51.1</v>
      </c>
      <c r="O110">
        <v>52.2</v>
      </c>
      <c r="P110">
        <v>51.650000000000006</v>
      </c>
      <c r="Q110" t="s">
        <v>21</v>
      </c>
      <c r="R110">
        <v>12.846</v>
      </c>
      <c r="S110" t="s">
        <v>198</v>
      </c>
      <c r="T110">
        <v>98.51</v>
      </c>
      <c r="U110">
        <v>100.2</v>
      </c>
      <c r="V110">
        <v>101.6</v>
      </c>
      <c r="W110">
        <v>100.9</v>
      </c>
      <c r="X110" t="s">
        <v>21</v>
      </c>
      <c r="Y110">
        <v>14.324999999999999</v>
      </c>
      <c r="Z110">
        <f t="shared" si="1"/>
        <v>13.902428571428572</v>
      </c>
      <c r="AA110">
        <v>0.138305714</v>
      </c>
    </row>
    <row r="111" spans="1:27" x14ac:dyDescent="0.25">
      <c r="A111" s="1">
        <v>45819</v>
      </c>
      <c r="B111">
        <v>6022.24</v>
      </c>
      <c r="C111">
        <v>6020</v>
      </c>
      <c r="D111" s="1">
        <v>45828</v>
      </c>
      <c r="E111" s="1">
        <v>45856</v>
      </c>
      <c r="F111">
        <v>30</v>
      </c>
      <c r="G111">
        <v>9</v>
      </c>
      <c r="H111">
        <v>37</v>
      </c>
      <c r="I111">
        <v>0.25</v>
      </c>
      <c r="J111">
        <v>0.75</v>
      </c>
      <c r="K111" t="s">
        <v>19</v>
      </c>
      <c r="L111" t="s">
        <v>199</v>
      </c>
      <c r="M111">
        <v>45.83</v>
      </c>
      <c r="N111">
        <v>45</v>
      </c>
      <c r="O111">
        <v>47.4</v>
      </c>
      <c r="P111">
        <v>46.2</v>
      </c>
      <c r="Q111" t="s">
        <v>21</v>
      </c>
      <c r="R111">
        <v>13.467000000000001</v>
      </c>
      <c r="S111" t="s">
        <v>200</v>
      </c>
      <c r="T111">
        <v>98.19</v>
      </c>
      <c r="U111">
        <v>96.4</v>
      </c>
      <c r="V111">
        <v>99.4</v>
      </c>
      <c r="W111">
        <v>97.9</v>
      </c>
      <c r="X111" t="s">
        <v>21</v>
      </c>
      <c r="Y111">
        <v>14.699</v>
      </c>
      <c r="Z111">
        <f t="shared" si="1"/>
        <v>14.391</v>
      </c>
      <c r="AA111">
        <v>0.14329375</v>
      </c>
    </row>
    <row r="112" spans="1:27" x14ac:dyDescent="0.25">
      <c r="A112" s="1">
        <v>45820</v>
      </c>
      <c r="B112">
        <v>6045.26</v>
      </c>
      <c r="C112">
        <v>6045</v>
      </c>
      <c r="D112" s="1">
        <v>45828</v>
      </c>
      <c r="E112" s="1">
        <v>45856</v>
      </c>
      <c r="F112">
        <v>30</v>
      </c>
      <c r="G112">
        <v>8</v>
      </c>
      <c r="H112">
        <v>36</v>
      </c>
      <c r="I112">
        <v>0.21428571428571427</v>
      </c>
      <c r="J112">
        <v>0.7857142857142857</v>
      </c>
      <c r="K112" t="s">
        <v>19</v>
      </c>
      <c r="L112" t="s">
        <v>201</v>
      </c>
      <c r="M112">
        <v>47</v>
      </c>
      <c r="N112">
        <v>46.9</v>
      </c>
      <c r="O112">
        <v>47.8</v>
      </c>
      <c r="P112">
        <v>47.349999999999994</v>
      </c>
      <c r="Q112" t="s">
        <v>21</v>
      </c>
      <c r="R112">
        <v>13.782</v>
      </c>
      <c r="S112" t="s">
        <v>202</v>
      </c>
      <c r="T112">
        <v>99.58</v>
      </c>
      <c r="U112">
        <v>101.9</v>
      </c>
      <c r="V112">
        <v>103.2</v>
      </c>
      <c r="W112">
        <v>102.55000000000001</v>
      </c>
      <c r="X112" t="s">
        <v>21</v>
      </c>
      <c r="Y112">
        <v>15.002000000000001</v>
      </c>
      <c r="Z112">
        <f t="shared" si="1"/>
        <v>14.740571428571428</v>
      </c>
      <c r="AA112">
        <v>0.14583571400000001</v>
      </c>
    </row>
    <row r="113" spans="1:27" x14ac:dyDescent="0.25">
      <c r="A113" s="1">
        <v>45821</v>
      </c>
      <c r="B113">
        <v>5976.97</v>
      </c>
      <c r="C113">
        <v>5975</v>
      </c>
      <c r="D113" s="1">
        <v>45828</v>
      </c>
      <c r="E113" s="1">
        <v>45856</v>
      </c>
      <c r="F113">
        <v>30</v>
      </c>
      <c r="G113">
        <v>7</v>
      </c>
      <c r="H113">
        <v>35</v>
      </c>
      <c r="I113">
        <v>0.17857142857142858</v>
      </c>
      <c r="J113">
        <v>0.8214285714285714</v>
      </c>
      <c r="K113" t="s">
        <v>19</v>
      </c>
      <c r="L113" t="s">
        <v>203</v>
      </c>
      <c r="M113">
        <v>46.65</v>
      </c>
      <c r="N113">
        <v>50.7</v>
      </c>
      <c r="O113">
        <v>53.4</v>
      </c>
      <c r="P113">
        <v>52.05</v>
      </c>
      <c r="Q113" t="s">
        <v>21</v>
      </c>
      <c r="R113">
        <v>17.524000000000001</v>
      </c>
      <c r="S113" t="s">
        <v>204</v>
      </c>
      <c r="T113">
        <v>113.32</v>
      </c>
      <c r="U113">
        <v>108.7</v>
      </c>
      <c r="V113">
        <v>114.7</v>
      </c>
      <c r="W113">
        <v>111.7</v>
      </c>
      <c r="X113" t="s">
        <v>21</v>
      </c>
      <c r="Y113">
        <v>17.114000000000001</v>
      </c>
      <c r="Z113">
        <f t="shared" si="1"/>
        <v>17.187214285714283</v>
      </c>
      <c r="AA113">
        <v>0.171137857</v>
      </c>
    </row>
    <row r="114" spans="1:27" x14ac:dyDescent="0.25">
      <c r="A114" s="1">
        <v>45824</v>
      </c>
      <c r="B114">
        <v>6033.11</v>
      </c>
      <c r="C114">
        <v>6035</v>
      </c>
      <c r="D114" s="1">
        <v>45828</v>
      </c>
      <c r="E114" s="1">
        <v>45856</v>
      </c>
      <c r="F114">
        <v>30</v>
      </c>
      <c r="G114">
        <v>4</v>
      </c>
      <c r="H114">
        <v>32</v>
      </c>
      <c r="I114">
        <v>7.1428571428571425E-2</v>
      </c>
      <c r="J114">
        <v>0.9285714285714286</v>
      </c>
      <c r="K114" t="s">
        <v>19</v>
      </c>
      <c r="L114" t="s">
        <v>205</v>
      </c>
      <c r="M114">
        <v>39.200000000000003</v>
      </c>
      <c r="N114">
        <v>33.6</v>
      </c>
      <c r="O114">
        <v>34.4</v>
      </c>
      <c r="P114">
        <v>34</v>
      </c>
      <c r="Q114" t="s">
        <v>21</v>
      </c>
      <c r="R114">
        <v>13.61</v>
      </c>
      <c r="S114" t="s">
        <v>206</v>
      </c>
      <c r="T114">
        <v>98.6</v>
      </c>
      <c r="U114">
        <v>95.2</v>
      </c>
      <c r="V114">
        <v>96.8</v>
      </c>
      <c r="W114">
        <v>96</v>
      </c>
      <c r="X114" t="s">
        <v>21</v>
      </c>
      <c r="Y114">
        <v>15.087999999999999</v>
      </c>
      <c r="Z114">
        <f t="shared" si="1"/>
        <v>14.982428571428573</v>
      </c>
      <c r="AA114">
        <v>0.14859035700000001</v>
      </c>
    </row>
    <row r="115" spans="1:27" x14ac:dyDescent="0.25">
      <c r="A115" s="1">
        <v>45825</v>
      </c>
      <c r="B115">
        <v>5982.72</v>
      </c>
      <c r="C115">
        <v>5985</v>
      </c>
      <c r="D115" s="1">
        <v>45828</v>
      </c>
      <c r="E115" s="1">
        <v>45856</v>
      </c>
      <c r="F115">
        <v>30</v>
      </c>
      <c r="G115">
        <v>3</v>
      </c>
      <c r="H115">
        <v>31</v>
      </c>
      <c r="I115">
        <v>3.5714285714285712E-2</v>
      </c>
      <c r="J115">
        <v>0.9642857142857143</v>
      </c>
      <c r="K115" t="s">
        <v>19</v>
      </c>
      <c r="L115" t="s">
        <v>207</v>
      </c>
      <c r="M115">
        <v>41.52</v>
      </c>
      <c r="N115">
        <v>41.8</v>
      </c>
      <c r="O115">
        <v>43</v>
      </c>
      <c r="P115">
        <v>42.4</v>
      </c>
      <c r="Q115" t="s">
        <v>21</v>
      </c>
      <c r="R115">
        <v>19.635999999999999</v>
      </c>
      <c r="S115" t="s">
        <v>208</v>
      </c>
      <c r="T115">
        <v>110.17</v>
      </c>
      <c r="U115">
        <v>107.6</v>
      </c>
      <c r="V115">
        <v>110.5</v>
      </c>
      <c r="W115">
        <v>109.05</v>
      </c>
      <c r="X115" t="s">
        <v>21</v>
      </c>
      <c r="Y115">
        <v>17.209</v>
      </c>
      <c r="Z115">
        <f t="shared" si="1"/>
        <v>17.295678571428571</v>
      </c>
      <c r="AA115">
        <v>0.172253929</v>
      </c>
    </row>
    <row r="116" spans="1:27" x14ac:dyDescent="0.25">
      <c r="A116" s="1">
        <v>45826</v>
      </c>
      <c r="B116">
        <v>5980.87</v>
      </c>
      <c r="C116">
        <v>5980</v>
      </c>
      <c r="D116" s="1">
        <v>45828</v>
      </c>
      <c r="E116" s="1">
        <v>45856</v>
      </c>
      <c r="F116">
        <v>30</v>
      </c>
      <c r="G116">
        <v>2</v>
      </c>
      <c r="H116">
        <v>30</v>
      </c>
      <c r="I116">
        <v>0</v>
      </c>
      <c r="J116">
        <v>1</v>
      </c>
      <c r="K116" t="s">
        <v>19</v>
      </c>
      <c r="L116" t="s">
        <v>209</v>
      </c>
      <c r="M116">
        <v>20.43</v>
      </c>
      <c r="N116">
        <v>22.2</v>
      </c>
      <c r="O116">
        <v>24</v>
      </c>
      <c r="P116">
        <v>23.1</v>
      </c>
      <c r="Q116" t="s">
        <v>21</v>
      </c>
      <c r="R116">
        <v>16.172999999999998</v>
      </c>
      <c r="S116" t="s">
        <v>210</v>
      </c>
      <c r="T116">
        <v>99.1</v>
      </c>
      <c r="U116">
        <v>99.6</v>
      </c>
      <c r="V116">
        <v>102.1</v>
      </c>
      <c r="W116">
        <v>100.85</v>
      </c>
      <c r="X116" t="s">
        <v>21</v>
      </c>
      <c r="Y116">
        <v>16.585999999999999</v>
      </c>
      <c r="Z116">
        <f t="shared" si="1"/>
        <v>16.585999999999999</v>
      </c>
      <c r="AA116">
        <v>0.165295</v>
      </c>
    </row>
    <row r="117" spans="1:27" x14ac:dyDescent="0.25">
      <c r="A117" s="1">
        <v>45828</v>
      </c>
      <c r="B117">
        <v>5967.84</v>
      </c>
      <c r="C117">
        <v>5970</v>
      </c>
      <c r="D117" s="1">
        <v>45856</v>
      </c>
      <c r="E117" s="1">
        <v>45884</v>
      </c>
      <c r="F117">
        <v>30</v>
      </c>
      <c r="G117">
        <v>28</v>
      </c>
      <c r="H117">
        <v>56</v>
      </c>
      <c r="I117">
        <v>0.9285714285714286</v>
      </c>
      <c r="J117">
        <v>7.1428571428571425E-2</v>
      </c>
      <c r="K117" t="s">
        <v>19</v>
      </c>
      <c r="L117" t="s">
        <v>192</v>
      </c>
      <c r="M117">
        <v>104.7</v>
      </c>
      <c r="N117">
        <v>96.4</v>
      </c>
      <c r="O117">
        <v>98.8</v>
      </c>
      <c r="P117">
        <v>97.6</v>
      </c>
      <c r="Q117" t="s">
        <v>21</v>
      </c>
      <c r="R117">
        <v>16.649000000000001</v>
      </c>
      <c r="S117" t="s">
        <v>211</v>
      </c>
      <c r="T117">
        <v>146.25</v>
      </c>
      <c r="U117">
        <v>138.5</v>
      </c>
      <c r="V117">
        <v>141.4</v>
      </c>
      <c r="W117">
        <v>139.94999999999999</v>
      </c>
      <c r="X117" t="s">
        <v>21</v>
      </c>
      <c r="Y117">
        <v>16.989999999999998</v>
      </c>
      <c r="Z117">
        <f t="shared" si="1"/>
        <v>16.673357142857142</v>
      </c>
      <c r="AA117">
        <v>0.16576285700000001</v>
      </c>
    </row>
    <row r="118" spans="1:27" x14ac:dyDescent="0.25">
      <c r="A118" s="1">
        <v>45831</v>
      </c>
      <c r="B118">
        <v>6025.17</v>
      </c>
      <c r="C118">
        <v>6025</v>
      </c>
      <c r="D118" s="1">
        <v>45856</v>
      </c>
      <c r="E118" s="1">
        <v>45884</v>
      </c>
      <c r="F118">
        <v>30</v>
      </c>
      <c r="G118">
        <v>25</v>
      </c>
      <c r="H118">
        <v>53</v>
      </c>
      <c r="I118">
        <v>0.8214285714285714</v>
      </c>
      <c r="J118">
        <v>0.17857142857142858</v>
      </c>
      <c r="K118" t="s">
        <v>19</v>
      </c>
      <c r="L118" t="s">
        <v>212</v>
      </c>
      <c r="M118">
        <v>87.72</v>
      </c>
      <c r="N118">
        <v>86.4</v>
      </c>
      <c r="O118">
        <v>87.7</v>
      </c>
      <c r="P118">
        <v>87.050000000000011</v>
      </c>
      <c r="Q118" t="s">
        <v>21</v>
      </c>
      <c r="R118">
        <v>15.013999999999999</v>
      </c>
      <c r="S118" t="s">
        <v>213</v>
      </c>
      <c r="T118">
        <v>134.9</v>
      </c>
      <c r="U118">
        <v>129.30000000000001</v>
      </c>
      <c r="V118">
        <v>130.9</v>
      </c>
      <c r="W118">
        <v>130.10000000000002</v>
      </c>
      <c r="X118" t="s">
        <v>21</v>
      </c>
      <c r="Y118">
        <v>15.821</v>
      </c>
      <c r="Z118">
        <f t="shared" si="1"/>
        <v>15.158107142857142</v>
      </c>
      <c r="AA118">
        <v>0.15138089299999999</v>
      </c>
    </row>
    <row r="119" spans="1:27" x14ac:dyDescent="0.25">
      <c r="A119" s="1">
        <v>45832</v>
      </c>
      <c r="B119">
        <v>6092.18</v>
      </c>
      <c r="C119">
        <v>6090</v>
      </c>
      <c r="D119" s="1">
        <v>45856</v>
      </c>
      <c r="E119" s="1">
        <v>45884</v>
      </c>
      <c r="F119">
        <v>30</v>
      </c>
      <c r="G119">
        <v>24</v>
      </c>
      <c r="H119">
        <v>52</v>
      </c>
      <c r="I119">
        <v>0.7857142857142857</v>
      </c>
      <c r="J119">
        <v>0.21428571428571427</v>
      </c>
      <c r="K119" t="s">
        <v>19</v>
      </c>
      <c r="L119" t="s">
        <v>214</v>
      </c>
      <c r="M119">
        <v>71.47</v>
      </c>
      <c r="N119">
        <v>76.099999999999994</v>
      </c>
      <c r="O119">
        <v>77.3</v>
      </c>
      <c r="P119">
        <v>76.699999999999989</v>
      </c>
      <c r="Q119" t="s">
        <v>21</v>
      </c>
      <c r="R119">
        <v>13.571</v>
      </c>
      <c r="S119" t="s">
        <v>215</v>
      </c>
      <c r="T119">
        <v>113.8</v>
      </c>
      <c r="U119">
        <v>116.5</v>
      </c>
      <c r="V119">
        <v>118.1</v>
      </c>
      <c r="W119">
        <v>117.3</v>
      </c>
      <c r="X119" t="s">
        <v>21</v>
      </c>
      <c r="Y119">
        <v>14.488</v>
      </c>
      <c r="Z119">
        <f t="shared" si="1"/>
        <v>13.767499999999998</v>
      </c>
      <c r="AA119">
        <v>0.137442857</v>
      </c>
    </row>
    <row r="120" spans="1:27" x14ac:dyDescent="0.25">
      <c r="A120" s="1">
        <v>45833</v>
      </c>
      <c r="B120">
        <v>6092.16</v>
      </c>
      <c r="C120">
        <v>6090</v>
      </c>
      <c r="D120" s="1">
        <v>45856</v>
      </c>
      <c r="E120" s="1">
        <v>45884</v>
      </c>
      <c r="F120">
        <v>30</v>
      </c>
      <c r="G120">
        <v>23</v>
      </c>
      <c r="H120">
        <v>51</v>
      </c>
      <c r="I120">
        <v>0.75</v>
      </c>
      <c r="J120">
        <v>0.25</v>
      </c>
      <c r="K120" t="s">
        <v>19</v>
      </c>
      <c r="L120" t="s">
        <v>214</v>
      </c>
      <c r="M120">
        <v>74.2</v>
      </c>
      <c r="N120">
        <v>71.099999999999994</v>
      </c>
      <c r="O120">
        <v>72.8</v>
      </c>
      <c r="P120">
        <v>71.949999999999989</v>
      </c>
      <c r="Q120" t="s">
        <v>21</v>
      </c>
      <c r="R120">
        <v>13.422000000000001</v>
      </c>
      <c r="S120" t="s">
        <v>215</v>
      </c>
      <c r="T120">
        <v>113.4</v>
      </c>
      <c r="U120">
        <v>112.3</v>
      </c>
      <c r="V120">
        <v>114.4</v>
      </c>
      <c r="W120">
        <v>113.35</v>
      </c>
      <c r="X120" t="s">
        <v>21</v>
      </c>
      <c r="Y120">
        <v>14.403</v>
      </c>
      <c r="Z120">
        <f t="shared" si="1"/>
        <v>13.667250000000001</v>
      </c>
      <c r="AA120">
        <v>0.13573125</v>
      </c>
    </row>
    <row r="121" spans="1:27" x14ac:dyDescent="0.25">
      <c r="A121" s="1">
        <v>45834</v>
      </c>
      <c r="B121">
        <v>6141.02</v>
      </c>
      <c r="C121">
        <v>6140</v>
      </c>
      <c r="D121" s="1">
        <v>45856</v>
      </c>
      <c r="E121" s="1">
        <v>45884</v>
      </c>
      <c r="F121">
        <v>30</v>
      </c>
      <c r="G121">
        <v>22</v>
      </c>
      <c r="H121">
        <v>50</v>
      </c>
      <c r="I121">
        <v>0.7142857142857143</v>
      </c>
      <c r="J121">
        <v>0.2857142857142857</v>
      </c>
      <c r="K121" t="s">
        <v>19</v>
      </c>
      <c r="L121" t="s">
        <v>216</v>
      </c>
      <c r="M121">
        <v>68.7</v>
      </c>
      <c r="N121">
        <v>66.900000000000006</v>
      </c>
      <c r="O121">
        <v>69.5</v>
      </c>
      <c r="P121">
        <v>68.2</v>
      </c>
      <c r="Q121" t="s">
        <v>21</v>
      </c>
      <c r="R121">
        <v>13.05</v>
      </c>
      <c r="S121" t="s">
        <v>217</v>
      </c>
      <c r="T121">
        <v>112.1</v>
      </c>
      <c r="U121">
        <v>109</v>
      </c>
      <c r="V121">
        <v>112.3</v>
      </c>
      <c r="W121">
        <v>110.65</v>
      </c>
      <c r="X121" t="s">
        <v>21</v>
      </c>
      <c r="Y121">
        <v>14.151999999999999</v>
      </c>
      <c r="Z121">
        <f t="shared" si="1"/>
        <v>13.364857142857144</v>
      </c>
      <c r="AA121">
        <v>0.13306142900000001</v>
      </c>
    </row>
    <row r="122" spans="1:27" x14ac:dyDescent="0.25">
      <c r="A122" s="1">
        <v>45835</v>
      </c>
      <c r="B122">
        <v>6173.07</v>
      </c>
      <c r="C122">
        <v>6175</v>
      </c>
      <c r="D122" s="1">
        <v>45856</v>
      </c>
      <c r="E122" s="1">
        <v>45884</v>
      </c>
      <c r="F122">
        <v>30</v>
      </c>
      <c r="G122">
        <v>21</v>
      </c>
      <c r="H122">
        <v>49</v>
      </c>
      <c r="I122">
        <v>0.6785714285714286</v>
      </c>
      <c r="J122">
        <v>0.32142857142857145</v>
      </c>
      <c r="K122" t="s">
        <v>19</v>
      </c>
      <c r="L122" t="s">
        <v>218</v>
      </c>
      <c r="M122">
        <v>70.180000000000007</v>
      </c>
      <c r="N122">
        <v>65.7</v>
      </c>
      <c r="O122">
        <v>70.3</v>
      </c>
      <c r="P122">
        <v>68</v>
      </c>
      <c r="Q122" t="s">
        <v>21</v>
      </c>
      <c r="R122">
        <v>12.750999999999999</v>
      </c>
      <c r="S122" t="s">
        <v>219</v>
      </c>
      <c r="T122">
        <v>122.2</v>
      </c>
      <c r="U122">
        <v>110.9</v>
      </c>
      <c r="V122">
        <v>117.9</v>
      </c>
      <c r="W122">
        <v>114.4</v>
      </c>
      <c r="X122" t="s">
        <v>21</v>
      </c>
      <c r="Y122">
        <v>14.15</v>
      </c>
      <c r="Z122">
        <f t="shared" si="1"/>
        <v>13.200678571428572</v>
      </c>
      <c r="AA122">
        <v>0.13161732100000001</v>
      </c>
    </row>
    <row r="123" spans="1:27" x14ac:dyDescent="0.25">
      <c r="A123" s="1">
        <v>45838</v>
      </c>
      <c r="B123">
        <v>6204.95</v>
      </c>
      <c r="C123">
        <v>6205</v>
      </c>
      <c r="D123" s="1">
        <v>45856</v>
      </c>
      <c r="E123" s="1">
        <v>45884</v>
      </c>
      <c r="F123">
        <v>30</v>
      </c>
      <c r="G123">
        <v>18</v>
      </c>
      <c r="H123">
        <v>46</v>
      </c>
      <c r="I123">
        <v>0.5714285714285714</v>
      </c>
      <c r="J123">
        <v>0.42857142857142855</v>
      </c>
      <c r="K123" t="s">
        <v>19</v>
      </c>
      <c r="L123" t="s">
        <v>220</v>
      </c>
      <c r="M123">
        <v>65</v>
      </c>
      <c r="N123">
        <v>68</v>
      </c>
      <c r="O123">
        <v>69.2</v>
      </c>
      <c r="P123">
        <v>68.599999999999994</v>
      </c>
      <c r="Q123" t="s">
        <v>21</v>
      </c>
      <c r="R123">
        <v>12.577</v>
      </c>
      <c r="S123" t="s">
        <v>221</v>
      </c>
      <c r="T123">
        <v>109.1</v>
      </c>
      <c r="U123">
        <v>113</v>
      </c>
      <c r="V123">
        <v>114.5</v>
      </c>
      <c r="W123">
        <v>113.75</v>
      </c>
      <c r="X123" t="s">
        <v>21</v>
      </c>
      <c r="Y123">
        <v>13.93</v>
      </c>
      <c r="Z123">
        <f t="shared" si="1"/>
        <v>13.156857142857142</v>
      </c>
      <c r="AA123">
        <v>0.13114500000000001</v>
      </c>
    </row>
    <row r="124" spans="1:27" x14ac:dyDescent="0.25">
      <c r="A124" s="1">
        <v>45839</v>
      </c>
      <c r="B124">
        <v>6198.01</v>
      </c>
      <c r="C124">
        <v>6200</v>
      </c>
      <c r="D124" s="1">
        <v>45856</v>
      </c>
      <c r="E124" s="1">
        <v>45884</v>
      </c>
      <c r="F124">
        <v>30</v>
      </c>
      <c r="G124">
        <v>17</v>
      </c>
      <c r="H124">
        <v>45</v>
      </c>
      <c r="I124">
        <v>0.5357142857142857</v>
      </c>
      <c r="J124">
        <v>0.4642857142857143</v>
      </c>
      <c r="K124" t="s">
        <v>19</v>
      </c>
      <c r="L124" t="s">
        <v>222</v>
      </c>
      <c r="M124">
        <v>63.7</v>
      </c>
      <c r="N124">
        <v>62.8</v>
      </c>
      <c r="O124">
        <v>63.8</v>
      </c>
      <c r="P124">
        <v>63.3</v>
      </c>
      <c r="Q124" t="s">
        <v>21</v>
      </c>
      <c r="R124">
        <v>12.816000000000001</v>
      </c>
      <c r="S124" t="s">
        <v>223</v>
      </c>
      <c r="T124">
        <v>105.54</v>
      </c>
      <c r="U124">
        <v>109.2</v>
      </c>
      <c r="V124">
        <v>110.4</v>
      </c>
      <c r="W124">
        <v>109.80000000000001</v>
      </c>
      <c r="X124" t="s">
        <v>21</v>
      </c>
      <c r="Y124">
        <v>14.132999999999999</v>
      </c>
      <c r="Z124">
        <f t="shared" si="1"/>
        <v>13.427464285714287</v>
      </c>
      <c r="AA124">
        <v>0.13393696399999999</v>
      </c>
    </row>
    <row r="125" spans="1:27" x14ac:dyDescent="0.25">
      <c r="A125" s="1">
        <v>45840</v>
      </c>
      <c r="B125">
        <v>6227.42</v>
      </c>
      <c r="C125">
        <v>6225</v>
      </c>
      <c r="D125" s="1">
        <v>45856</v>
      </c>
      <c r="E125" s="1">
        <v>45884</v>
      </c>
      <c r="F125">
        <v>30</v>
      </c>
      <c r="G125">
        <v>16</v>
      </c>
      <c r="H125">
        <v>44</v>
      </c>
      <c r="I125">
        <v>0.5</v>
      </c>
      <c r="J125">
        <v>0.5</v>
      </c>
      <c r="K125" t="s">
        <v>19</v>
      </c>
      <c r="L125" t="s">
        <v>224</v>
      </c>
      <c r="M125">
        <v>59.6</v>
      </c>
      <c r="N125">
        <v>57.3</v>
      </c>
      <c r="O125">
        <v>58.2</v>
      </c>
      <c r="P125">
        <v>57.75</v>
      </c>
      <c r="Q125" t="s">
        <v>21</v>
      </c>
      <c r="R125">
        <v>12.654999999999999</v>
      </c>
      <c r="S125" t="s">
        <v>225</v>
      </c>
      <c r="T125">
        <v>108</v>
      </c>
      <c r="U125">
        <v>105.4</v>
      </c>
      <c r="V125">
        <v>106.6</v>
      </c>
      <c r="W125">
        <v>106</v>
      </c>
      <c r="X125" t="s">
        <v>21</v>
      </c>
      <c r="Y125">
        <v>14.086</v>
      </c>
      <c r="Z125">
        <f t="shared" si="1"/>
        <v>13.3705</v>
      </c>
      <c r="AA125">
        <v>0.13301750000000001</v>
      </c>
    </row>
    <row r="126" spans="1:27" x14ac:dyDescent="0.25">
      <c r="A126" s="1">
        <v>45841</v>
      </c>
      <c r="B126">
        <v>6279.35</v>
      </c>
      <c r="C126">
        <v>6280</v>
      </c>
      <c r="D126" s="1">
        <v>45856</v>
      </c>
      <c r="E126" s="1">
        <v>45884</v>
      </c>
      <c r="F126">
        <v>30</v>
      </c>
      <c r="G126">
        <v>15</v>
      </c>
      <c r="H126">
        <v>43</v>
      </c>
      <c r="I126">
        <v>0.4642857142857143</v>
      </c>
      <c r="J126">
        <v>0.5357142857142857</v>
      </c>
      <c r="K126" t="s">
        <v>19</v>
      </c>
      <c r="L126" t="s">
        <v>226</v>
      </c>
      <c r="M126">
        <v>57.75</v>
      </c>
      <c r="N126">
        <v>58.3</v>
      </c>
      <c r="O126">
        <v>59.1</v>
      </c>
      <c r="P126">
        <v>58.7</v>
      </c>
      <c r="Q126" t="s">
        <v>21</v>
      </c>
      <c r="R126">
        <v>12.488</v>
      </c>
      <c r="S126" t="s">
        <v>227</v>
      </c>
      <c r="T126">
        <v>106.8</v>
      </c>
      <c r="U126">
        <v>107.4</v>
      </c>
      <c r="V126">
        <v>108.6</v>
      </c>
      <c r="W126">
        <v>108</v>
      </c>
      <c r="X126" t="s">
        <v>21</v>
      </c>
      <c r="Y126">
        <v>13.961</v>
      </c>
      <c r="Z126">
        <f t="shared" si="1"/>
        <v>13.277107142857144</v>
      </c>
      <c r="AA126">
        <v>0.131907143</v>
      </c>
    </row>
    <row r="127" spans="1:27" x14ac:dyDescent="0.25">
      <c r="A127" s="1">
        <v>45845</v>
      </c>
      <c r="B127">
        <v>6229.98</v>
      </c>
      <c r="C127">
        <v>6230</v>
      </c>
      <c r="D127" s="1">
        <v>45856</v>
      </c>
      <c r="E127" s="1">
        <v>45884</v>
      </c>
      <c r="F127">
        <v>30</v>
      </c>
      <c r="G127">
        <v>11</v>
      </c>
      <c r="H127">
        <v>39</v>
      </c>
      <c r="I127">
        <v>0.32142857142857145</v>
      </c>
      <c r="J127">
        <v>0.6785714285714286</v>
      </c>
      <c r="K127" t="s">
        <v>19</v>
      </c>
      <c r="L127" t="s">
        <v>228</v>
      </c>
      <c r="M127">
        <v>58.7</v>
      </c>
      <c r="N127">
        <v>60.5</v>
      </c>
      <c r="O127">
        <v>61.8</v>
      </c>
      <c r="P127">
        <v>61.15</v>
      </c>
      <c r="Q127" t="s">
        <v>21</v>
      </c>
      <c r="R127">
        <v>12.694000000000001</v>
      </c>
      <c r="S127" t="s">
        <v>229</v>
      </c>
      <c r="T127">
        <v>120.53</v>
      </c>
      <c r="U127">
        <v>113</v>
      </c>
      <c r="V127">
        <v>115.5</v>
      </c>
      <c r="W127">
        <v>114.25</v>
      </c>
      <c r="X127" t="s">
        <v>21</v>
      </c>
      <c r="Y127">
        <v>14.47</v>
      </c>
      <c r="Z127">
        <f t="shared" si="1"/>
        <v>13.899142857142859</v>
      </c>
      <c r="AA127">
        <v>0.13827482099999999</v>
      </c>
    </row>
    <row r="128" spans="1:27" x14ac:dyDescent="0.25">
      <c r="A128" s="1">
        <v>45846</v>
      </c>
      <c r="B128">
        <v>6225.52</v>
      </c>
      <c r="C128">
        <v>6225</v>
      </c>
      <c r="D128" s="1">
        <v>45856</v>
      </c>
      <c r="E128" s="1">
        <v>45884</v>
      </c>
      <c r="F128">
        <v>30</v>
      </c>
      <c r="G128">
        <v>10</v>
      </c>
      <c r="H128">
        <v>38</v>
      </c>
      <c r="I128">
        <v>0.2857142857142857</v>
      </c>
      <c r="J128">
        <v>0.7142857142857143</v>
      </c>
      <c r="K128" t="s">
        <v>19</v>
      </c>
      <c r="L128" t="s">
        <v>224</v>
      </c>
      <c r="M128">
        <v>45.8</v>
      </c>
      <c r="N128">
        <v>45.1</v>
      </c>
      <c r="O128">
        <v>45.9</v>
      </c>
      <c r="P128">
        <v>45.5</v>
      </c>
      <c r="Q128" t="s">
        <v>21</v>
      </c>
      <c r="R128">
        <v>11.488</v>
      </c>
      <c r="S128" t="s">
        <v>225</v>
      </c>
      <c r="T128">
        <v>101.54</v>
      </c>
      <c r="U128">
        <v>100.7</v>
      </c>
      <c r="V128">
        <v>101.8</v>
      </c>
      <c r="W128">
        <v>101.25</v>
      </c>
      <c r="X128" t="s">
        <v>21</v>
      </c>
      <c r="Y128">
        <v>13.928000000000001</v>
      </c>
      <c r="Z128">
        <f t="shared" si="1"/>
        <v>13.230857142857143</v>
      </c>
      <c r="AA128">
        <v>0.13121142899999999</v>
      </c>
    </row>
    <row r="129" spans="1:27" x14ac:dyDescent="0.25">
      <c r="A129" s="1">
        <v>45847</v>
      </c>
      <c r="B129">
        <v>6263.26</v>
      </c>
      <c r="C129">
        <v>6265</v>
      </c>
      <c r="D129" s="1">
        <v>45856</v>
      </c>
      <c r="E129" s="1">
        <v>45884</v>
      </c>
      <c r="F129">
        <v>30</v>
      </c>
      <c r="G129">
        <v>9</v>
      </c>
      <c r="H129">
        <v>37</v>
      </c>
      <c r="I129">
        <v>0.25</v>
      </c>
      <c r="J129">
        <v>0.75</v>
      </c>
      <c r="K129" t="s">
        <v>19</v>
      </c>
      <c r="L129" t="s">
        <v>230</v>
      </c>
      <c r="M129">
        <v>40.75</v>
      </c>
      <c r="N129">
        <v>40.700000000000003</v>
      </c>
      <c r="O129">
        <v>41.8</v>
      </c>
      <c r="P129">
        <v>41.25</v>
      </c>
      <c r="Q129" t="s">
        <v>21</v>
      </c>
      <c r="R129">
        <v>10.439</v>
      </c>
      <c r="S129" t="s">
        <v>231</v>
      </c>
      <c r="T129">
        <v>95.5</v>
      </c>
      <c r="U129">
        <v>95.5</v>
      </c>
      <c r="V129">
        <v>97.8</v>
      </c>
      <c r="W129">
        <v>96.65</v>
      </c>
      <c r="X129" t="s">
        <v>21</v>
      </c>
      <c r="Y129">
        <v>13.128</v>
      </c>
      <c r="Z129">
        <f t="shared" si="1"/>
        <v>12.45575</v>
      </c>
      <c r="AA129">
        <v>0.12396125</v>
      </c>
    </row>
    <row r="130" spans="1:27" x14ac:dyDescent="0.25">
      <c r="A130" s="1">
        <v>45848</v>
      </c>
      <c r="B130">
        <v>6280.46</v>
      </c>
      <c r="C130">
        <v>6280</v>
      </c>
      <c r="D130" s="1">
        <v>45856</v>
      </c>
      <c r="E130" s="1">
        <v>45884</v>
      </c>
      <c r="F130">
        <v>30</v>
      </c>
      <c r="G130">
        <v>8</v>
      </c>
      <c r="H130">
        <v>36</v>
      </c>
      <c r="I130">
        <v>0.21428571428571427</v>
      </c>
      <c r="J130">
        <v>0.7857142857142857</v>
      </c>
      <c r="K130" t="s">
        <v>19</v>
      </c>
      <c r="L130" t="s">
        <v>226</v>
      </c>
      <c r="M130">
        <v>38</v>
      </c>
      <c r="N130">
        <v>36.6</v>
      </c>
      <c r="O130">
        <v>37.4</v>
      </c>
      <c r="P130">
        <v>37</v>
      </c>
      <c r="Q130" t="s">
        <v>21</v>
      </c>
      <c r="R130">
        <v>10.278</v>
      </c>
      <c r="S130" t="s">
        <v>227</v>
      </c>
      <c r="T130">
        <v>91.73</v>
      </c>
      <c r="U130">
        <v>92.3</v>
      </c>
      <c r="V130">
        <v>93.4</v>
      </c>
      <c r="W130">
        <v>92.85</v>
      </c>
      <c r="X130" t="s">
        <v>21</v>
      </c>
      <c r="Y130">
        <v>12.986000000000001</v>
      </c>
      <c r="Z130">
        <f t="shared" si="1"/>
        <v>12.405714285714286</v>
      </c>
      <c r="AA130">
        <v>0.123027857</v>
      </c>
    </row>
    <row r="131" spans="1:27" x14ac:dyDescent="0.25">
      <c r="A131" s="1">
        <v>45849</v>
      </c>
      <c r="B131">
        <v>6259.75</v>
      </c>
      <c r="C131">
        <v>6260</v>
      </c>
      <c r="D131" s="1">
        <v>45856</v>
      </c>
      <c r="E131" s="1">
        <v>45884</v>
      </c>
      <c r="F131">
        <v>30</v>
      </c>
      <c r="G131">
        <v>7</v>
      </c>
      <c r="H131">
        <v>35</v>
      </c>
      <c r="I131">
        <v>0.17857142857142858</v>
      </c>
      <c r="J131">
        <v>0.8214285714285714</v>
      </c>
      <c r="K131" t="s">
        <v>19</v>
      </c>
      <c r="L131" t="s">
        <v>232</v>
      </c>
      <c r="M131">
        <v>36.32</v>
      </c>
      <c r="N131">
        <v>38.700000000000003</v>
      </c>
      <c r="O131">
        <v>39.700000000000003</v>
      </c>
      <c r="P131">
        <v>39.200000000000003</v>
      </c>
      <c r="Q131" t="s">
        <v>21</v>
      </c>
      <c r="R131">
        <v>10.555</v>
      </c>
      <c r="S131" t="s">
        <v>233</v>
      </c>
      <c r="T131">
        <v>90.77</v>
      </c>
      <c r="U131">
        <v>97</v>
      </c>
      <c r="V131">
        <v>98.5</v>
      </c>
      <c r="W131">
        <v>97.75</v>
      </c>
      <c r="X131" t="s">
        <v>21</v>
      </c>
      <c r="Y131">
        <v>13.352</v>
      </c>
      <c r="Z131">
        <f t="shared" ref="Z131:Z194" si="2">I131*R131+Y131*J131</f>
        <v>12.852535714285715</v>
      </c>
      <c r="AA131">
        <v>0.128415</v>
      </c>
    </row>
    <row r="132" spans="1:27" x14ac:dyDescent="0.25">
      <c r="A132" s="1">
        <v>45852</v>
      </c>
      <c r="B132">
        <v>6268.56</v>
      </c>
      <c r="C132">
        <v>6270</v>
      </c>
      <c r="D132" s="1">
        <v>45856</v>
      </c>
      <c r="E132" s="1">
        <v>45884</v>
      </c>
      <c r="F132">
        <v>30</v>
      </c>
      <c r="G132">
        <v>4</v>
      </c>
      <c r="H132">
        <v>32</v>
      </c>
      <c r="I132">
        <v>7.1428571428571425E-2</v>
      </c>
      <c r="J132">
        <v>0.9285714285714286</v>
      </c>
      <c r="K132" t="s">
        <v>19</v>
      </c>
      <c r="L132" t="s">
        <v>234</v>
      </c>
      <c r="M132">
        <v>32</v>
      </c>
      <c r="N132">
        <v>31.2</v>
      </c>
      <c r="O132">
        <v>32</v>
      </c>
      <c r="P132">
        <v>31.6</v>
      </c>
      <c r="Q132" t="s">
        <v>21</v>
      </c>
      <c r="R132">
        <v>10.422000000000001</v>
      </c>
      <c r="S132" t="s">
        <v>235</v>
      </c>
      <c r="T132">
        <v>93.22</v>
      </c>
      <c r="U132">
        <v>93.9</v>
      </c>
      <c r="V132">
        <v>95.1</v>
      </c>
      <c r="W132">
        <v>94.5</v>
      </c>
      <c r="X132" t="s">
        <v>21</v>
      </c>
      <c r="Y132">
        <v>13.538</v>
      </c>
      <c r="Z132">
        <f t="shared" si="2"/>
        <v>13.315428571428573</v>
      </c>
      <c r="AA132">
        <v>0.13280500000000001</v>
      </c>
    </row>
    <row r="133" spans="1:27" x14ac:dyDescent="0.25">
      <c r="A133" s="1">
        <v>45853</v>
      </c>
      <c r="B133">
        <v>6243.76</v>
      </c>
      <c r="C133">
        <v>6245</v>
      </c>
      <c r="D133" s="1">
        <v>45856</v>
      </c>
      <c r="E133" s="1">
        <v>45884</v>
      </c>
      <c r="F133">
        <v>30</v>
      </c>
      <c r="G133">
        <v>3</v>
      </c>
      <c r="H133">
        <v>31</v>
      </c>
      <c r="I133">
        <v>3.5714285714285712E-2</v>
      </c>
      <c r="J133">
        <v>0.9642857142857143</v>
      </c>
      <c r="K133" t="s">
        <v>19</v>
      </c>
      <c r="L133" t="s">
        <v>236</v>
      </c>
      <c r="M133">
        <v>30.87</v>
      </c>
      <c r="N133">
        <v>32.799999999999997</v>
      </c>
      <c r="O133">
        <v>33.700000000000003</v>
      </c>
      <c r="P133">
        <v>33.25</v>
      </c>
      <c r="Q133" t="s">
        <v>21</v>
      </c>
      <c r="R133">
        <v>10.317</v>
      </c>
      <c r="S133" t="s">
        <v>237</v>
      </c>
      <c r="T133">
        <v>92.28</v>
      </c>
      <c r="U133">
        <v>98.5</v>
      </c>
      <c r="V133">
        <v>100.3</v>
      </c>
      <c r="W133">
        <v>99.4</v>
      </c>
      <c r="X133" t="s">
        <v>21</v>
      </c>
      <c r="Y133">
        <v>13.815</v>
      </c>
      <c r="Z133">
        <f t="shared" si="2"/>
        <v>13.690071428571429</v>
      </c>
      <c r="AA133">
        <v>0.1372775</v>
      </c>
    </row>
    <row r="134" spans="1:27" x14ac:dyDescent="0.25">
      <c r="A134" s="1">
        <v>45854</v>
      </c>
      <c r="B134">
        <v>6263.7</v>
      </c>
      <c r="C134">
        <v>6265</v>
      </c>
      <c r="D134" s="1">
        <v>45856</v>
      </c>
      <c r="E134" s="1">
        <v>45884</v>
      </c>
      <c r="F134">
        <v>30</v>
      </c>
      <c r="G134">
        <v>2</v>
      </c>
      <c r="H134">
        <v>30</v>
      </c>
      <c r="I134">
        <v>0</v>
      </c>
      <c r="J134">
        <v>1</v>
      </c>
      <c r="K134" t="s">
        <v>19</v>
      </c>
      <c r="L134" t="s">
        <v>230</v>
      </c>
      <c r="M134">
        <v>21.1</v>
      </c>
      <c r="N134">
        <v>21.5</v>
      </c>
      <c r="O134">
        <v>22.2</v>
      </c>
      <c r="P134">
        <v>21.85</v>
      </c>
      <c r="Q134" t="s">
        <v>21</v>
      </c>
      <c r="R134">
        <v>9.3550000000000004</v>
      </c>
      <c r="S134" t="s">
        <v>231</v>
      </c>
      <c r="T134">
        <v>90.7</v>
      </c>
      <c r="U134">
        <v>92.6</v>
      </c>
      <c r="V134">
        <v>93.9</v>
      </c>
      <c r="W134">
        <v>93.25</v>
      </c>
      <c r="X134" t="s">
        <v>21</v>
      </c>
      <c r="Y134">
        <v>13.646000000000001</v>
      </c>
      <c r="Z134">
        <f t="shared" si="2"/>
        <v>13.646000000000001</v>
      </c>
      <c r="AA134">
        <v>0.13607</v>
      </c>
    </row>
    <row r="135" spans="1:27" x14ac:dyDescent="0.25">
      <c r="A135" s="1">
        <v>45855</v>
      </c>
      <c r="B135">
        <v>6297.36</v>
      </c>
      <c r="C135">
        <v>6295</v>
      </c>
      <c r="D135" s="1">
        <v>45856</v>
      </c>
      <c r="E135" s="1">
        <v>45884</v>
      </c>
      <c r="F135">
        <v>30</v>
      </c>
      <c r="G135">
        <v>1</v>
      </c>
      <c r="H135">
        <v>29</v>
      </c>
      <c r="I135">
        <v>0</v>
      </c>
      <c r="J135">
        <v>1</v>
      </c>
      <c r="K135" t="s">
        <v>19</v>
      </c>
      <c r="L135" t="s">
        <v>238</v>
      </c>
      <c r="M135">
        <v>7.7</v>
      </c>
      <c r="N135">
        <v>6.9</v>
      </c>
      <c r="O135">
        <v>7.8</v>
      </c>
      <c r="P135">
        <v>7.35</v>
      </c>
      <c r="Q135" t="s">
        <v>21</v>
      </c>
      <c r="R135">
        <v>7.7080000000000002</v>
      </c>
      <c r="S135" t="s">
        <v>239</v>
      </c>
      <c r="T135">
        <v>81.7</v>
      </c>
      <c r="U135">
        <v>80.900000000000006</v>
      </c>
      <c r="V135">
        <v>82.5</v>
      </c>
      <c r="W135">
        <v>81.7</v>
      </c>
      <c r="X135" t="s">
        <v>21</v>
      </c>
      <c r="Y135">
        <v>13.167</v>
      </c>
      <c r="Z135">
        <f t="shared" si="2"/>
        <v>13.167</v>
      </c>
      <c r="AA135">
        <v>0.13092999999999999</v>
      </c>
    </row>
    <row r="136" spans="1:27" x14ac:dyDescent="0.25">
      <c r="A136" s="1">
        <v>45856</v>
      </c>
      <c r="B136">
        <v>6296.79</v>
      </c>
      <c r="C136">
        <v>6295</v>
      </c>
      <c r="D136" s="1">
        <v>45884</v>
      </c>
      <c r="E136" s="1">
        <v>45919</v>
      </c>
      <c r="F136">
        <v>30</v>
      </c>
      <c r="G136">
        <v>28</v>
      </c>
      <c r="H136">
        <v>63</v>
      </c>
      <c r="I136">
        <v>0.94285714285714284</v>
      </c>
      <c r="J136">
        <v>5.7142857142857141E-2</v>
      </c>
      <c r="K136" t="s">
        <v>19</v>
      </c>
      <c r="L136" t="s">
        <v>239</v>
      </c>
      <c r="M136">
        <v>82.72</v>
      </c>
      <c r="N136">
        <v>81.2</v>
      </c>
      <c r="O136">
        <v>82.4</v>
      </c>
      <c r="P136">
        <v>81.800000000000011</v>
      </c>
      <c r="Q136" t="s">
        <v>21</v>
      </c>
      <c r="R136">
        <v>13.1</v>
      </c>
      <c r="S136" t="s">
        <v>240</v>
      </c>
      <c r="T136">
        <v>132.80000000000001</v>
      </c>
      <c r="U136">
        <v>128.6</v>
      </c>
      <c r="V136">
        <v>130.1</v>
      </c>
      <c r="W136">
        <v>129.35</v>
      </c>
      <c r="X136" t="s">
        <v>21</v>
      </c>
      <c r="Y136">
        <v>14.368</v>
      </c>
      <c r="Z136">
        <f t="shared" si="2"/>
        <v>13.172457142857143</v>
      </c>
      <c r="AA136">
        <v>0.13107485699999999</v>
      </c>
    </row>
    <row r="137" spans="1:27" x14ac:dyDescent="0.25">
      <c r="A137" s="1">
        <v>45859</v>
      </c>
      <c r="B137">
        <v>6305.6</v>
      </c>
      <c r="C137">
        <v>6305</v>
      </c>
      <c r="D137" s="1">
        <v>45884</v>
      </c>
      <c r="E137" s="1">
        <v>45919</v>
      </c>
      <c r="F137">
        <v>30</v>
      </c>
      <c r="G137">
        <v>25</v>
      </c>
      <c r="H137">
        <v>60</v>
      </c>
      <c r="I137">
        <v>0.8571428571428571</v>
      </c>
      <c r="J137">
        <v>0.14285714285714285</v>
      </c>
      <c r="K137" t="s">
        <v>19</v>
      </c>
      <c r="L137" t="s">
        <v>241</v>
      </c>
      <c r="M137">
        <v>74.72</v>
      </c>
      <c r="N137">
        <v>75.3</v>
      </c>
      <c r="O137">
        <v>76.8</v>
      </c>
      <c r="P137">
        <v>76.05</v>
      </c>
      <c r="Q137" t="s">
        <v>21</v>
      </c>
      <c r="R137">
        <v>12.811999999999999</v>
      </c>
      <c r="S137" t="s">
        <v>242</v>
      </c>
      <c r="T137">
        <v>126.2</v>
      </c>
      <c r="U137">
        <v>123.3</v>
      </c>
      <c r="V137">
        <v>124.6</v>
      </c>
      <c r="W137">
        <v>123.94999999999999</v>
      </c>
      <c r="X137" t="s">
        <v>21</v>
      </c>
      <c r="Y137">
        <v>14.129</v>
      </c>
      <c r="Z137">
        <f t="shared" si="2"/>
        <v>13.000142857142855</v>
      </c>
      <c r="AA137">
        <v>0.12927428599999999</v>
      </c>
    </row>
    <row r="138" spans="1:27" x14ac:dyDescent="0.25">
      <c r="A138" s="1">
        <v>45860</v>
      </c>
      <c r="B138">
        <v>6309.62</v>
      </c>
      <c r="C138">
        <v>6310</v>
      </c>
      <c r="D138" s="1">
        <v>45884</v>
      </c>
      <c r="E138" s="1">
        <v>45919</v>
      </c>
      <c r="F138">
        <v>30</v>
      </c>
      <c r="G138">
        <v>24</v>
      </c>
      <c r="H138">
        <v>59</v>
      </c>
      <c r="I138">
        <v>0.82857142857142863</v>
      </c>
      <c r="J138">
        <v>0.17142857142857143</v>
      </c>
      <c r="K138" t="s">
        <v>19</v>
      </c>
      <c r="L138" t="s">
        <v>243</v>
      </c>
      <c r="M138">
        <v>78</v>
      </c>
      <c r="N138">
        <v>75.7</v>
      </c>
      <c r="O138">
        <v>76.8</v>
      </c>
      <c r="P138">
        <v>76.25</v>
      </c>
      <c r="Q138" t="s">
        <v>21</v>
      </c>
      <c r="R138">
        <v>12.696</v>
      </c>
      <c r="S138" t="s">
        <v>244</v>
      </c>
      <c r="T138">
        <v>124.75</v>
      </c>
      <c r="U138">
        <v>123.4</v>
      </c>
      <c r="V138">
        <v>124.5</v>
      </c>
      <c r="W138">
        <v>123.95</v>
      </c>
      <c r="X138" t="s">
        <v>21</v>
      </c>
      <c r="Y138">
        <v>13.976000000000001</v>
      </c>
      <c r="Z138">
        <f t="shared" si="2"/>
        <v>12.915428571428572</v>
      </c>
      <c r="AA138">
        <v>0.12863228600000001</v>
      </c>
    </row>
    <row r="139" spans="1:27" x14ac:dyDescent="0.25">
      <c r="A139" s="1">
        <v>45861</v>
      </c>
      <c r="B139">
        <v>6358.91</v>
      </c>
      <c r="C139">
        <v>6360</v>
      </c>
      <c r="D139" s="1">
        <v>45884</v>
      </c>
      <c r="E139" s="1">
        <v>45919</v>
      </c>
      <c r="F139">
        <v>30</v>
      </c>
      <c r="G139">
        <v>23</v>
      </c>
      <c r="H139">
        <v>58</v>
      </c>
      <c r="I139">
        <v>0.8</v>
      </c>
      <c r="J139">
        <v>0.2</v>
      </c>
      <c r="K139" t="s">
        <v>19</v>
      </c>
      <c r="L139" t="s">
        <v>245</v>
      </c>
      <c r="M139">
        <v>67.849999999999994</v>
      </c>
      <c r="N139">
        <v>65.2</v>
      </c>
      <c r="O139">
        <v>66.400000000000006</v>
      </c>
      <c r="P139">
        <v>65.800000000000011</v>
      </c>
      <c r="Q139" t="s">
        <v>21</v>
      </c>
      <c r="R139">
        <v>11.829000000000001</v>
      </c>
      <c r="S139" t="s">
        <v>246</v>
      </c>
      <c r="T139">
        <v>118.65</v>
      </c>
      <c r="U139">
        <v>112.5</v>
      </c>
      <c r="V139">
        <v>114</v>
      </c>
      <c r="W139">
        <v>113.25</v>
      </c>
      <c r="X139" t="s">
        <v>21</v>
      </c>
      <c r="Y139">
        <v>13.286</v>
      </c>
      <c r="Z139">
        <f t="shared" si="2"/>
        <v>12.1204</v>
      </c>
      <c r="AA139">
        <v>0.120937</v>
      </c>
    </row>
    <row r="140" spans="1:27" x14ac:dyDescent="0.25">
      <c r="A140" s="1">
        <v>45862</v>
      </c>
      <c r="B140">
        <v>6363.35</v>
      </c>
      <c r="C140">
        <v>6365</v>
      </c>
      <c r="D140" s="1">
        <v>45884</v>
      </c>
      <c r="E140" s="1">
        <v>45919</v>
      </c>
      <c r="F140">
        <v>30</v>
      </c>
      <c r="G140">
        <v>22</v>
      </c>
      <c r="H140">
        <v>57</v>
      </c>
      <c r="I140">
        <v>0.77142857142857146</v>
      </c>
      <c r="J140">
        <v>0.22857142857142856</v>
      </c>
      <c r="K140" t="s">
        <v>19</v>
      </c>
      <c r="L140" t="s">
        <v>247</v>
      </c>
      <c r="M140">
        <v>65</v>
      </c>
      <c r="N140">
        <v>63.5</v>
      </c>
      <c r="O140">
        <v>65.400000000000006</v>
      </c>
      <c r="P140">
        <v>64.45</v>
      </c>
      <c r="Q140" t="s">
        <v>21</v>
      </c>
      <c r="R140">
        <v>11.734999999999999</v>
      </c>
      <c r="S140" t="s">
        <v>248</v>
      </c>
      <c r="T140">
        <v>113.08</v>
      </c>
      <c r="U140">
        <v>111.3</v>
      </c>
      <c r="V140">
        <v>112.7</v>
      </c>
      <c r="W140">
        <v>112</v>
      </c>
      <c r="X140" t="s">
        <v>21</v>
      </c>
      <c r="Y140">
        <v>13.196999999999999</v>
      </c>
      <c r="Z140">
        <f t="shared" si="2"/>
        <v>12.069171428571428</v>
      </c>
      <c r="AA140">
        <v>0.12042700000000001</v>
      </c>
    </row>
    <row r="141" spans="1:27" x14ac:dyDescent="0.25">
      <c r="A141" s="1">
        <v>45863</v>
      </c>
      <c r="B141">
        <v>6388.64</v>
      </c>
      <c r="C141">
        <v>6390</v>
      </c>
      <c r="D141" s="1">
        <v>45884</v>
      </c>
      <c r="E141" s="1">
        <v>45919</v>
      </c>
      <c r="F141">
        <v>30</v>
      </c>
      <c r="G141">
        <v>21</v>
      </c>
      <c r="H141">
        <v>56</v>
      </c>
      <c r="I141">
        <v>0.74285714285714288</v>
      </c>
      <c r="J141">
        <v>0.25714285714285712</v>
      </c>
      <c r="K141" t="s">
        <v>19</v>
      </c>
      <c r="L141" t="s">
        <v>249</v>
      </c>
      <c r="M141">
        <v>61.95</v>
      </c>
      <c r="N141">
        <v>60.3</v>
      </c>
      <c r="O141">
        <v>61.4</v>
      </c>
      <c r="P141">
        <v>60.849999999999994</v>
      </c>
      <c r="Q141" t="s">
        <v>21</v>
      </c>
      <c r="R141">
        <v>11.19</v>
      </c>
      <c r="S141" t="s">
        <v>250</v>
      </c>
      <c r="T141">
        <v>110.37</v>
      </c>
      <c r="U141">
        <v>109.3</v>
      </c>
      <c r="V141">
        <v>110.5</v>
      </c>
      <c r="W141">
        <v>109.9</v>
      </c>
      <c r="X141" t="s">
        <v>21</v>
      </c>
      <c r="Y141">
        <v>12.893000000000001</v>
      </c>
      <c r="Z141">
        <f t="shared" si="2"/>
        <v>11.627914285714287</v>
      </c>
      <c r="AA141">
        <v>0.116012714</v>
      </c>
    </row>
    <row r="142" spans="1:27" x14ac:dyDescent="0.25">
      <c r="A142" s="1">
        <v>45866</v>
      </c>
      <c r="B142">
        <v>6389.77</v>
      </c>
      <c r="C142">
        <v>6390</v>
      </c>
      <c r="D142" s="1">
        <v>45884</v>
      </c>
      <c r="E142" s="1">
        <v>45919</v>
      </c>
      <c r="F142">
        <v>30</v>
      </c>
      <c r="G142">
        <v>18</v>
      </c>
      <c r="H142">
        <v>53</v>
      </c>
      <c r="I142">
        <v>0.65714285714285714</v>
      </c>
      <c r="J142">
        <v>0.34285714285714286</v>
      </c>
      <c r="K142" t="s">
        <v>19</v>
      </c>
      <c r="L142" t="s">
        <v>249</v>
      </c>
      <c r="M142">
        <v>62.38</v>
      </c>
      <c r="N142">
        <v>57.3</v>
      </c>
      <c r="O142">
        <v>58.3</v>
      </c>
      <c r="P142">
        <v>57.8</v>
      </c>
      <c r="Q142" t="s">
        <v>21</v>
      </c>
      <c r="R142">
        <v>10.846</v>
      </c>
      <c r="S142" t="s">
        <v>250</v>
      </c>
      <c r="T142">
        <v>108.15</v>
      </c>
      <c r="U142">
        <v>105.9</v>
      </c>
      <c r="V142">
        <v>107.2</v>
      </c>
      <c r="W142">
        <v>106.55000000000001</v>
      </c>
      <c r="X142" t="s">
        <v>21</v>
      </c>
      <c r="Y142">
        <v>12.595000000000001</v>
      </c>
      <c r="Z142">
        <f t="shared" si="2"/>
        <v>11.445657142857144</v>
      </c>
      <c r="AA142">
        <v>0.113440714</v>
      </c>
    </row>
    <row r="143" spans="1:27" x14ac:dyDescent="0.25">
      <c r="A143" s="1">
        <v>45867</v>
      </c>
      <c r="B143">
        <v>6370.86</v>
      </c>
      <c r="C143">
        <v>6370</v>
      </c>
      <c r="D143" s="1">
        <v>45884</v>
      </c>
      <c r="E143" s="1">
        <v>45919</v>
      </c>
      <c r="F143">
        <v>30</v>
      </c>
      <c r="G143">
        <v>17</v>
      </c>
      <c r="H143">
        <v>52</v>
      </c>
      <c r="I143">
        <v>0.62857142857142856</v>
      </c>
      <c r="J143">
        <v>0.37142857142857144</v>
      </c>
      <c r="K143" t="s">
        <v>19</v>
      </c>
      <c r="L143" t="s">
        <v>251</v>
      </c>
      <c r="M143">
        <v>59.9</v>
      </c>
      <c r="N143">
        <v>59.5</v>
      </c>
      <c r="O143">
        <v>60.9</v>
      </c>
      <c r="P143">
        <v>60.2</v>
      </c>
      <c r="Q143" t="s">
        <v>21</v>
      </c>
      <c r="R143">
        <v>11.478</v>
      </c>
      <c r="S143" t="s">
        <v>252</v>
      </c>
      <c r="T143">
        <v>109.17</v>
      </c>
      <c r="U143">
        <v>109.6</v>
      </c>
      <c r="V143">
        <v>111.4</v>
      </c>
      <c r="W143">
        <v>110.5</v>
      </c>
      <c r="X143" t="s">
        <v>21</v>
      </c>
      <c r="Y143">
        <v>13.121</v>
      </c>
      <c r="Z143">
        <f t="shared" si="2"/>
        <v>12.088257142857142</v>
      </c>
      <c r="AA143">
        <v>0.12053357100000001</v>
      </c>
    </row>
    <row r="144" spans="1:27" x14ac:dyDescent="0.25">
      <c r="A144" s="1">
        <v>45868</v>
      </c>
      <c r="B144">
        <v>6362.9</v>
      </c>
      <c r="C144">
        <v>6365</v>
      </c>
      <c r="D144" s="1">
        <v>45884</v>
      </c>
      <c r="E144" s="1">
        <v>45919</v>
      </c>
      <c r="F144">
        <v>30</v>
      </c>
      <c r="G144">
        <v>16</v>
      </c>
      <c r="H144">
        <v>51</v>
      </c>
      <c r="I144">
        <v>0.6</v>
      </c>
      <c r="J144">
        <v>0.4</v>
      </c>
      <c r="K144" t="s">
        <v>19</v>
      </c>
      <c r="L144" t="s">
        <v>247</v>
      </c>
      <c r="M144">
        <v>53.3</v>
      </c>
      <c r="N144">
        <v>45.4</v>
      </c>
      <c r="O144">
        <v>46.9</v>
      </c>
      <c r="P144">
        <v>46.15</v>
      </c>
      <c r="Q144" t="s">
        <v>21</v>
      </c>
      <c r="R144">
        <v>12.144</v>
      </c>
      <c r="S144" t="s">
        <v>248</v>
      </c>
      <c r="T144">
        <v>121</v>
      </c>
      <c r="U144">
        <v>96.5</v>
      </c>
      <c r="V144">
        <v>98.3</v>
      </c>
      <c r="W144">
        <v>97.4</v>
      </c>
      <c r="X144" t="s">
        <v>21</v>
      </c>
      <c r="Y144">
        <v>12.993</v>
      </c>
      <c r="Z144">
        <f t="shared" si="2"/>
        <v>12.483599999999999</v>
      </c>
      <c r="AA144">
        <v>0.12195499999999999</v>
      </c>
    </row>
    <row r="145" spans="1:27" x14ac:dyDescent="0.25">
      <c r="A145" s="1">
        <v>45869</v>
      </c>
      <c r="B145">
        <v>6339.39</v>
      </c>
      <c r="C145">
        <v>6340</v>
      </c>
      <c r="D145" s="1">
        <v>45884</v>
      </c>
      <c r="E145" s="1">
        <v>45919</v>
      </c>
      <c r="F145">
        <v>30</v>
      </c>
      <c r="G145">
        <v>15</v>
      </c>
      <c r="H145">
        <v>50</v>
      </c>
      <c r="I145">
        <v>0.5714285714285714</v>
      </c>
      <c r="J145">
        <v>0.42857142857142855</v>
      </c>
      <c r="K145" t="s">
        <v>19</v>
      </c>
      <c r="L145" t="s">
        <v>253</v>
      </c>
      <c r="M145">
        <v>61.3</v>
      </c>
      <c r="N145">
        <v>60.4</v>
      </c>
      <c r="O145">
        <v>62</v>
      </c>
      <c r="P145">
        <v>61.2</v>
      </c>
      <c r="Q145" t="s">
        <v>21</v>
      </c>
      <c r="R145">
        <v>12.586</v>
      </c>
      <c r="S145" t="s">
        <v>254</v>
      </c>
      <c r="T145">
        <v>108.3</v>
      </c>
      <c r="U145">
        <v>111.6</v>
      </c>
      <c r="V145">
        <v>114</v>
      </c>
      <c r="W145">
        <v>112.8</v>
      </c>
      <c r="X145" t="s">
        <v>21</v>
      </c>
      <c r="Y145">
        <v>13.657999999999999</v>
      </c>
      <c r="Z145">
        <f t="shared" si="2"/>
        <v>13.045428571428571</v>
      </c>
      <c r="AA145">
        <v>0.12905857100000001</v>
      </c>
    </row>
    <row r="146" spans="1:27" x14ac:dyDescent="0.25">
      <c r="A146" s="1">
        <v>45870</v>
      </c>
      <c r="B146">
        <v>6238.01</v>
      </c>
      <c r="C146">
        <v>6240</v>
      </c>
      <c r="D146" s="1">
        <v>45884</v>
      </c>
      <c r="E146" s="1">
        <v>45919</v>
      </c>
      <c r="F146">
        <v>30</v>
      </c>
      <c r="G146">
        <v>14</v>
      </c>
      <c r="H146">
        <v>49</v>
      </c>
      <c r="I146">
        <v>0.54285714285714282</v>
      </c>
      <c r="J146">
        <v>0.45714285714285713</v>
      </c>
      <c r="K146" t="s">
        <v>19</v>
      </c>
      <c r="L146" t="s">
        <v>255</v>
      </c>
      <c r="M146">
        <v>72.89</v>
      </c>
      <c r="N146">
        <v>75.2</v>
      </c>
      <c r="O146">
        <v>76.5</v>
      </c>
      <c r="P146">
        <v>75.849999999999994</v>
      </c>
      <c r="Q146" t="s">
        <v>21</v>
      </c>
      <c r="R146">
        <v>15.891999999999999</v>
      </c>
      <c r="S146" t="s">
        <v>256</v>
      </c>
      <c r="T146">
        <v>130.1</v>
      </c>
      <c r="U146">
        <v>130.4</v>
      </c>
      <c r="V146">
        <v>132.19999999999999</v>
      </c>
      <c r="W146">
        <v>131.30000000000001</v>
      </c>
      <c r="X146" t="s">
        <v>21</v>
      </c>
      <c r="Y146">
        <v>15.865</v>
      </c>
      <c r="Z146">
        <f t="shared" si="2"/>
        <v>15.879657142857141</v>
      </c>
      <c r="AA146">
        <v>0.15867100000000001</v>
      </c>
    </row>
    <row r="147" spans="1:27" x14ac:dyDescent="0.25">
      <c r="A147" s="1">
        <v>45873</v>
      </c>
      <c r="B147">
        <v>6329.94</v>
      </c>
      <c r="C147">
        <v>6330</v>
      </c>
      <c r="D147" s="1">
        <v>45884</v>
      </c>
      <c r="E147" s="1">
        <v>45919</v>
      </c>
      <c r="F147">
        <v>30</v>
      </c>
      <c r="G147">
        <v>11</v>
      </c>
      <c r="H147">
        <v>46</v>
      </c>
      <c r="I147">
        <v>0.45714285714285713</v>
      </c>
      <c r="J147">
        <v>0.54285714285714282</v>
      </c>
      <c r="K147" t="s">
        <v>19</v>
      </c>
      <c r="L147" t="s">
        <v>257</v>
      </c>
      <c r="M147">
        <v>56.6</v>
      </c>
      <c r="N147">
        <v>47.9</v>
      </c>
      <c r="O147">
        <v>49</v>
      </c>
      <c r="P147">
        <v>48.45</v>
      </c>
      <c r="Q147" t="s">
        <v>21</v>
      </c>
      <c r="R147">
        <v>12.507999999999999</v>
      </c>
      <c r="S147" t="s">
        <v>258</v>
      </c>
      <c r="T147">
        <v>116.3</v>
      </c>
      <c r="U147">
        <v>105.2</v>
      </c>
      <c r="V147">
        <v>106.8</v>
      </c>
      <c r="W147">
        <v>106</v>
      </c>
      <c r="X147" t="s">
        <v>21</v>
      </c>
      <c r="Y147">
        <v>13.94</v>
      </c>
      <c r="Z147">
        <f t="shared" si="2"/>
        <v>13.285371428571427</v>
      </c>
      <c r="AA147">
        <v>0.12947457100000001</v>
      </c>
    </row>
    <row r="148" spans="1:27" x14ac:dyDescent="0.25">
      <c r="A148" s="1">
        <v>45874</v>
      </c>
      <c r="B148">
        <v>6299.19</v>
      </c>
      <c r="C148">
        <v>6300</v>
      </c>
      <c r="D148" s="1">
        <v>45884</v>
      </c>
      <c r="E148" s="1">
        <v>45919</v>
      </c>
      <c r="F148">
        <v>30</v>
      </c>
      <c r="G148">
        <v>10</v>
      </c>
      <c r="H148">
        <v>45</v>
      </c>
      <c r="I148">
        <v>0.42857142857142855</v>
      </c>
      <c r="J148">
        <v>0.5714285714285714</v>
      </c>
      <c r="K148" t="s">
        <v>19</v>
      </c>
      <c r="L148" t="s">
        <v>259</v>
      </c>
      <c r="M148">
        <v>54.85</v>
      </c>
      <c r="N148">
        <v>55.5</v>
      </c>
      <c r="O148">
        <v>56.5</v>
      </c>
      <c r="P148">
        <v>56</v>
      </c>
      <c r="Q148" t="s">
        <v>21</v>
      </c>
      <c r="R148">
        <v>12.948</v>
      </c>
      <c r="S148" t="s">
        <v>260</v>
      </c>
      <c r="T148">
        <v>113.57</v>
      </c>
      <c r="U148">
        <v>115</v>
      </c>
      <c r="V148">
        <v>116.3</v>
      </c>
      <c r="W148">
        <v>115.65</v>
      </c>
      <c r="X148" t="s">
        <v>21</v>
      </c>
      <c r="Y148">
        <v>14.305</v>
      </c>
      <c r="Z148">
        <f t="shared" si="2"/>
        <v>13.72342857142857</v>
      </c>
      <c r="AA148">
        <v>0.137442857</v>
      </c>
    </row>
    <row r="149" spans="1:27" x14ac:dyDescent="0.25">
      <c r="A149" s="1">
        <v>45875</v>
      </c>
      <c r="B149">
        <v>6345.06</v>
      </c>
      <c r="C149">
        <v>6345</v>
      </c>
      <c r="D149" s="1">
        <v>45884</v>
      </c>
      <c r="E149" s="1">
        <v>45919</v>
      </c>
      <c r="F149">
        <v>30</v>
      </c>
      <c r="G149">
        <v>9</v>
      </c>
      <c r="H149">
        <v>44</v>
      </c>
      <c r="I149">
        <v>0.4</v>
      </c>
      <c r="J149">
        <v>0.6</v>
      </c>
      <c r="K149" t="s">
        <v>19</v>
      </c>
      <c r="L149" t="s">
        <v>261</v>
      </c>
      <c r="M149">
        <v>46.22</v>
      </c>
      <c r="N149">
        <v>45.9</v>
      </c>
      <c r="O149">
        <v>47</v>
      </c>
      <c r="P149">
        <v>46.45</v>
      </c>
      <c r="Q149" t="s">
        <v>21</v>
      </c>
      <c r="R149">
        <v>11.705</v>
      </c>
      <c r="S149" t="s">
        <v>262</v>
      </c>
      <c r="T149">
        <v>105.99</v>
      </c>
      <c r="U149">
        <v>106.3</v>
      </c>
      <c r="V149">
        <v>107.8</v>
      </c>
      <c r="W149">
        <v>107.05</v>
      </c>
      <c r="X149" t="s">
        <v>21</v>
      </c>
      <c r="Y149">
        <v>13.544</v>
      </c>
      <c r="Z149">
        <f t="shared" si="2"/>
        <v>12.808400000000001</v>
      </c>
      <c r="AA149">
        <v>0.12787599999999999</v>
      </c>
    </row>
    <row r="150" spans="1:27" x14ac:dyDescent="0.25">
      <c r="A150" s="1">
        <v>45876</v>
      </c>
      <c r="B150">
        <v>6340</v>
      </c>
      <c r="C150">
        <v>6340</v>
      </c>
      <c r="D150" s="1">
        <v>45884</v>
      </c>
      <c r="E150" s="1">
        <v>45919</v>
      </c>
      <c r="F150">
        <v>30</v>
      </c>
      <c r="G150">
        <v>8</v>
      </c>
      <c r="H150">
        <v>43</v>
      </c>
      <c r="I150">
        <v>0.37142857142857144</v>
      </c>
      <c r="J150">
        <v>0.62857142857142856</v>
      </c>
      <c r="K150" t="s">
        <v>19</v>
      </c>
      <c r="L150" t="s">
        <v>253</v>
      </c>
      <c r="M150">
        <v>61.69</v>
      </c>
      <c r="N150">
        <v>40.1</v>
      </c>
      <c r="O150">
        <v>40.9</v>
      </c>
      <c r="P150">
        <v>40.5</v>
      </c>
      <c r="Q150" t="s">
        <v>21</v>
      </c>
      <c r="R150">
        <v>12.243</v>
      </c>
      <c r="S150" t="s">
        <v>254</v>
      </c>
      <c r="T150">
        <v>113.12</v>
      </c>
      <c r="U150">
        <v>101.2</v>
      </c>
      <c r="V150">
        <v>102.5</v>
      </c>
      <c r="W150">
        <v>101.85</v>
      </c>
      <c r="X150" t="s">
        <v>21</v>
      </c>
      <c r="Y150">
        <v>13.624000000000001</v>
      </c>
      <c r="Z150">
        <f t="shared" si="2"/>
        <v>13.111057142857142</v>
      </c>
      <c r="AA150">
        <v>0.13104371400000001</v>
      </c>
    </row>
    <row r="151" spans="1:27" x14ac:dyDescent="0.25">
      <c r="A151" s="1">
        <v>45877</v>
      </c>
      <c r="B151">
        <v>6389.45</v>
      </c>
      <c r="C151">
        <v>6390</v>
      </c>
      <c r="D151" s="1">
        <v>45884</v>
      </c>
      <c r="E151" s="1">
        <v>45919</v>
      </c>
      <c r="F151">
        <v>30</v>
      </c>
      <c r="G151">
        <v>7</v>
      </c>
      <c r="H151">
        <v>42</v>
      </c>
      <c r="I151">
        <v>0.34285714285714286</v>
      </c>
      <c r="J151">
        <v>0.65714285714285714</v>
      </c>
      <c r="K151" t="s">
        <v>19</v>
      </c>
      <c r="L151" t="s">
        <v>249</v>
      </c>
      <c r="M151">
        <v>34.21</v>
      </c>
      <c r="N151">
        <v>30.4</v>
      </c>
      <c r="O151">
        <v>31.6</v>
      </c>
      <c r="P151">
        <v>31</v>
      </c>
      <c r="Q151" t="s">
        <v>21</v>
      </c>
      <c r="R151">
        <v>10.789</v>
      </c>
      <c r="S151" t="s">
        <v>250</v>
      </c>
      <c r="T151">
        <v>96.82</v>
      </c>
      <c r="U151">
        <v>91.1</v>
      </c>
      <c r="V151">
        <v>92.7</v>
      </c>
      <c r="W151">
        <v>91.9</v>
      </c>
      <c r="X151" t="s">
        <v>21</v>
      </c>
      <c r="Y151">
        <v>12.692</v>
      </c>
      <c r="Z151">
        <f t="shared" si="2"/>
        <v>12.039542857142859</v>
      </c>
      <c r="AA151">
        <v>0.11959842900000001</v>
      </c>
    </row>
    <row r="152" spans="1:27" x14ac:dyDescent="0.25">
      <c r="A152" s="1">
        <v>45880</v>
      </c>
      <c r="B152">
        <v>6373.45</v>
      </c>
      <c r="C152">
        <v>6375</v>
      </c>
      <c r="D152" s="1">
        <v>45884</v>
      </c>
      <c r="E152" s="1">
        <v>45919</v>
      </c>
      <c r="F152">
        <v>30</v>
      </c>
      <c r="G152">
        <v>4</v>
      </c>
      <c r="H152">
        <v>39</v>
      </c>
      <c r="I152">
        <v>0.25714285714285712</v>
      </c>
      <c r="J152">
        <v>0.74285714285714288</v>
      </c>
      <c r="K152" t="s">
        <v>19</v>
      </c>
      <c r="L152" t="s">
        <v>263</v>
      </c>
      <c r="M152">
        <v>35.49</v>
      </c>
      <c r="N152">
        <v>35.700000000000003</v>
      </c>
      <c r="O152">
        <v>36.6</v>
      </c>
      <c r="P152">
        <v>36.150000000000006</v>
      </c>
      <c r="Q152" t="s">
        <v>21</v>
      </c>
      <c r="R152">
        <v>11.583</v>
      </c>
      <c r="S152" t="s">
        <v>264</v>
      </c>
      <c r="T152">
        <v>97.95</v>
      </c>
      <c r="U152">
        <v>97.9</v>
      </c>
      <c r="V152">
        <v>99.5</v>
      </c>
      <c r="W152">
        <v>98.7</v>
      </c>
      <c r="X152" t="s">
        <v>21</v>
      </c>
      <c r="Y152">
        <v>12.901</v>
      </c>
      <c r="Z152">
        <f t="shared" si="2"/>
        <v>12.562085714285715</v>
      </c>
      <c r="AA152">
        <v>0.125190143</v>
      </c>
    </row>
    <row r="153" spans="1:27" x14ac:dyDescent="0.25">
      <c r="A153" s="1">
        <v>45881</v>
      </c>
      <c r="B153">
        <v>6445.76</v>
      </c>
      <c r="C153">
        <v>6445</v>
      </c>
      <c r="D153" s="1">
        <v>45884</v>
      </c>
      <c r="E153" s="1">
        <v>45919</v>
      </c>
      <c r="F153">
        <v>30</v>
      </c>
      <c r="G153">
        <v>3</v>
      </c>
      <c r="H153">
        <v>38</v>
      </c>
      <c r="I153">
        <v>0.22857142857142856</v>
      </c>
      <c r="J153">
        <v>0.77142857142857146</v>
      </c>
      <c r="K153" t="s">
        <v>19</v>
      </c>
      <c r="L153" t="s">
        <v>265</v>
      </c>
      <c r="M153">
        <v>21.3</v>
      </c>
      <c r="N153">
        <v>20.399999999999999</v>
      </c>
      <c r="O153">
        <v>21.2</v>
      </c>
      <c r="P153">
        <v>20.799999999999997</v>
      </c>
      <c r="Q153" t="s">
        <v>21</v>
      </c>
      <c r="R153">
        <v>8.35</v>
      </c>
      <c r="S153" t="s">
        <v>266</v>
      </c>
      <c r="T153">
        <v>90.5</v>
      </c>
      <c r="U153">
        <v>87.1</v>
      </c>
      <c r="V153">
        <v>88.3</v>
      </c>
      <c r="W153">
        <v>87.699999999999989</v>
      </c>
      <c r="X153" t="s">
        <v>21</v>
      </c>
      <c r="Y153">
        <v>11.888</v>
      </c>
      <c r="Z153">
        <f t="shared" si="2"/>
        <v>11.079314285714286</v>
      </c>
      <c r="AA153">
        <v>0.110332286</v>
      </c>
    </row>
    <row r="154" spans="1:27" x14ac:dyDescent="0.25">
      <c r="A154" s="1">
        <v>45882</v>
      </c>
      <c r="B154">
        <v>6466.58</v>
      </c>
      <c r="C154">
        <v>6465</v>
      </c>
      <c r="D154" s="1">
        <v>45884</v>
      </c>
      <c r="E154" s="1">
        <v>45919</v>
      </c>
      <c r="F154">
        <v>30</v>
      </c>
      <c r="G154">
        <v>2</v>
      </c>
      <c r="H154">
        <v>37</v>
      </c>
      <c r="I154">
        <v>0.2</v>
      </c>
      <c r="J154">
        <v>0.8</v>
      </c>
      <c r="K154" t="s">
        <v>19</v>
      </c>
      <c r="L154" t="s">
        <v>267</v>
      </c>
      <c r="M154">
        <v>17.02</v>
      </c>
      <c r="N154">
        <v>18.100000000000001</v>
      </c>
      <c r="O154">
        <v>18.7</v>
      </c>
      <c r="P154">
        <v>18.399999999999999</v>
      </c>
      <c r="Q154" t="s">
        <v>21</v>
      </c>
      <c r="R154">
        <v>8.1449999999999996</v>
      </c>
      <c r="S154" t="s">
        <v>268</v>
      </c>
      <c r="T154">
        <v>83.73</v>
      </c>
      <c r="U154">
        <v>86.3</v>
      </c>
      <c r="V154">
        <v>87.3</v>
      </c>
      <c r="W154">
        <v>86.8</v>
      </c>
      <c r="X154" t="s">
        <v>21</v>
      </c>
      <c r="Y154">
        <v>11.644</v>
      </c>
      <c r="Z154">
        <f t="shared" si="2"/>
        <v>10.9442</v>
      </c>
      <c r="AA154">
        <v>0.109539</v>
      </c>
    </row>
    <row r="155" spans="1:27" x14ac:dyDescent="0.25">
      <c r="A155" s="1">
        <v>45883</v>
      </c>
      <c r="B155">
        <v>6468.54</v>
      </c>
      <c r="C155">
        <v>6470</v>
      </c>
      <c r="D155" s="1">
        <v>45884</v>
      </c>
      <c r="E155" s="1">
        <v>45919</v>
      </c>
      <c r="F155">
        <v>30</v>
      </c>
      <c r="G155">
        <v>1</v>
      </c>
      <c r="H155">
        <v>36</v>
      </c>
      <c r="I155">
        <v>0.17142857142857143</v>
      </c>
      <c r="J155">
        <v>0.82857142857142863</v>
      </c>
      <c r="K155" t="s">
        <v>19</v>
      </c>
      <c r="L155" t="s">
        <v>269</v>
      </c>
      <c r="M155">
        <v>14.79</v>
      </c>
      <c r="N155">
        <v>10.4</v>
      </c>
      <c r="O155">
        <v>11.7</v>
      </c>
      <c r="P155">
        <v>11.05</v>
      </c>
      <c r="Q155" t="s">
        <v>21</v>
      </c>
      <c r="R155">
        <v>7.3470000000000004</v>
      </c>
      <c r="S155" t="s">
        <v>270</v>
      </c>
      <c r="T155">
        <v>87.3</v>
      </c>
      <c r="U155">
        <v>84</v>
      </c>
      <c r="V155">
        <v>85.4</v>
      </c>
      <c r="W155">
        <v>84.7</v>
      </c>
      <c r="X155" t="s">
        <v>21</v>
      </c>
      <c r="Y155">
        <v>11.743</v>
      </c>
      <c r="Z155">
        <f t="shared" si="2"/>
        <v>10.989400000000002</v>
      </c>
      <c r="AA155">
        <v>0.110144429</v>
      </c>
    </row>
    <row r="156" spans="1:27" x14ac:dyDescent="0.25">
      <c r="A156" s="1">
        <v>45884</v>
      </c>
      <c r="B156">
        <v>6449.8</v>
      </c>
      <c r="C156">
        <v>6450</v>
      </c>
      <c r="D156" s="1">
        <v>45919</v>
      </c>
      <c r="E156" s="1">
        <v>45947</v>
      </c>
      <c r="F156">
        <v>30</v>
      </c>
      <c r="G156">
        <v>35</v>
      </c>
      <c r="H156">
        <v>63</v>
      </c>
      <c r="I156">
        <v>1</v>
      </c>
      <c r="J156">
        <v>0</v>
      </c>
      <c r="K156" t="s">
        <v>19</v>
      </c>
      <c r="L156" t="s">
        <v>271</v>
      </c>
      <c r="M156">
        <v>87.95</v>
      </c>
      <c r="N156">
        <v>85.6</v>
      </c>
      <c r="O156">
        <v>87.7</v>
      </c>
      <c r="P156">
        <v>86.65</v>
      </c>
      <c r="Q156" t="s">
        <v>21</v>
      </c>
      <c r="R156">
        <v>12.145</v>
      </c>
      <c r="S156" t="s">
        <v>272</v>
      </c>
      <c r="T156">
        <v>117.34</v>
      </c>
      <c r="U156">
        <v>120.5</v>
      </c>
      <c r="V156">
        <v>123.3</v>
      </c>
      <c r="W156">
        <v>121.9</v>
      </c>
      <c r="X156" t="s">
        <v>21</v>
      </c>
      <c r="Y156">
        <v>13.137</v>
      </c>
      <c r="Z156">
        <f t="shared" si="2"/>
        <v>12.145</v>
      </c>
      <c r="AA156">
        <v>0.12078</v>
      </c>
    </row>
    <row r="157" spans="1:27" x14ac:dyDescent="0.25">
      <c r="A157" s="1">
        <v>45887</v>
      </c>
      <c r="B157">
        <v>6449.15</v>
      </c>
      <c r="C157">
        <v>6450</v>
      </c>
      <c r="D157" s="1">
        <v>45919</v>
      </c>
      <c r="E157" s="1">
        <v>45947</v>
      </c>
      <c r="F157">
        <v>30</v>
      </c>
      <c r="G157">
        <v>32</v>
      </c>
      <c r="H157">
        <v>60</v>
      </c>
      <c r="I157">
        <v>1</v>
      </c>
      <c r="J157">
        <v>0</v>
      </c>
      <c r="K157" t="s">
        <v>19</v>
      </c>
      <c r="L157" t="s">
        <v>271</v>
      </c>
      <c r="M157">
        <v>80.23</v>
      </c>
      <c r="N157">
        <v>81</v>
      </c>
      <c r="O157">
        <v>82.1</v>
      </c>
      <c r="P157">
        <v>81.55</v>
      </c>
      <c r="Q157" t="s">
        <v>21</v>
      </c>
      <c r="R157">
        <v>11.722</v>
      </c>
      <c r="S157" t="s">
        <v>272</v>
      </c>
      <c r="T157">
        <v>116.43</v>
      </c>
      <c r="U157">
        <v>116.4</v>
      </c>
      <c r="V157">
        <v>117.7</v>
      </c>
      <c r="W157">
        <v>117.05000000000001</v>
      </c>
      <c r="X157" t="s">
        <v>21</v>
      </c>
      <c r="Y157">
        <v>12.787000000000001</v>
      </c>
      <c r="Z157">
        <f t="shared" si="2"/>
        <v>11.722</v>
      </c>
      <c r="AA157">
        <v>0.11673</v>
      </c>
    </row>
    <row r="158" spans="1:27" x14ac:dyDescent="0.25">
      <c r="A158" s="1">
        <v>45888</v>
      </c>
      <c r="B158">
        <v>6411.37</v>
      </c>
      <c r="C158">
        <v>6410</v>
      </c>
      <c r="D158" s="1">
        <v>45919</v>
      </c>
      <c r="E158" s="1">
        <v>45947</v>
      </c>
      <c r="F158">
        <v>30</v>
      </c>
      <c r="G158">
        <v>31</v>
      </c>
      <c r="H158">
        <v>59</v>
      </c>
      <c r="I158">
        <v>1</v>
      </c>
      <c r="J158">
        <v>0</v>
      </c>
      <c r="K158" t="s">
        <v>19</v>
      </c>
      <c r="L158" t="s">
        <v>273</v>
      </c>
      <c r="M158">
        <v>80.900000000000006</v>
      </c>
      <c r="N158">
        <v>79.900000000000006</v>
      </c>
      <c r="O158">
        <v>81.099999999999994</v>
      </c>
      <c r="P158">
        <v>80.5</v>
      </c>
      <c r="Q158" t="s">
        <v>21</v>
      </c>
      <c r="R158">
        <v>12.336</v>
      </c>
      <c r="S158" t="s">
        <v>274</v>
      </c>
      <c r="T158">
        <v>119.8</v>
      </c>
      <c r="U158">
        <v>115.7</v>
      </c>
      <c r="V158">
        <v>117.2</v>
      </c>
      <c r="W158">
        <v>116.45</v>
      </c>
      <c r="X158" t="s">
        <v>21</v>
      </c>
      <c r="Y158">
        <v>13.275</v>
      </c>
      <c r="Z158">
        <f t="shared" si="2"/>
        <v>12.336</v>
      </c>
      <c r="AA158">
        <v>0.123015</v>
      </c>
    </row>
    <row r="159" spans="1:27" x14ac:dyDescent="0.25">
      <c r="A159" s="1">
        <v>45889</v>
      </c>
      <c r="B159">
        <v>6395.78</v>
      </c>
      <c r="C159">
        <v>6395</v>
      </c>
      <c r="D159" s="1">
        <v>45919</v>
      </c>
      <c r="E159" s="1">
        <v>45947</v>
      </c>
      <c r="F159">
        <v>30</v>
      </c>
      <c r="G159">
        <v>30</v>
      </c>
      <c r="H159">
        <v>58</v>
      </c>
      <c r="I159">
        <v>1</v>
      </c>
      <c r="J159">
        <v>0</v>
      </c>
      <c r="K159" t="s">
        <v>19</v>
      </c>
      <c r="L159" t="s">
        <v>275</v>
      </c>
      <c r="M159">
        <v>83.9</v>
      </c>
      <c r="N159">
        <v>83.1</v>
      </c>
      <c r="O159">
        <v>84.2</v>
      </c>
      <c r="P159">
        <v>83.65</v>
      </c>
      <c r="Q159" t="s">
        <v>21</v>
      </c>
      <c r="R159">
        <v>12.768000000000001</v>
      </c>
      <c r="S159" t="s">
        <v>276</v>
      </c>
      <c r="T159">
        <v>136.44999999999999</v>
      </c>
      <c r="U159">
        <v>118.5</v>
      </c>
      <c r="V159">
        <v>120</v>
      </c>
      <c r="W159">
        <v>119.25</v>
      </c>
      <c r="X159" t="s">
        <v>21</v>
      </c>
      <c r="Y159">
        <v>13.54</v>
      </c>
      <c r="Z159">
        <f t="shared" si="2"/>
        <v>12.768000000000001</v>
      </c>
      <c r="AA159">
        <v>0.12742500000000001</v>
      </c>
    </row>
    <row r="160" spans="1:27" x14ac:dyDescent="0.25">
      <c r="A160" s="1">
        <v>45890</v>
      </c>
      <c r="B160">
        <v>6370.17</v>
      </c>
      <c r="C160">
        <v>6370</v>
      </c>
      <c r="D160" s="1">
        <v>45919</v>
      </c>
      <c r="E160" s="1">
        <v>45947</v>
      </c>
      <c r="F160">
        <v>30</v>
      </c>
      <c r="G160">
        <v>29</v>
      </c>
      <c r="H160">
        <v>57</v>
      </c>
      <c r="I160">
        <v>0.9642857142857143</v>
      </c>
      <c r="J160">
        <v>3.5714285714285712E-2</v>
      </c>
      <c r="K160" t="s">
        <v>19</v>
      </c>
      <c r="L160" t="s">
        <v>252</v>
      </c>
      <c r="M160">
        <v>88</v>
      </c>
      <c r="N160">
        <v>87.1</v>
      </c>
      <c r="O160">
        <v>88.5</v>
      </c>
      <c r="P160">
        <v>87.8</v>
      </c>
      <c r="Q160" t="s">
        <v>21</v>
      </c>
      <c r="R160">
        <v>13.789</v>
      </c>
      <c r="S160" t="s">
        <v>277</v>
      </c>
      <c r="T160">
        <v>123.8</v>
      </c>
      <c r="U160">
        <v>121.8</v>
      </c>
      <c r="V160">
        <v>123.6</v>
      </c>
      <c r="W160">
        <v>122.69999999999999</v>
      </c>
      <c r="X160" t="s">
        <v>21</v>
      </c>
      <c r="Y160">
        <v>14.121</v>
      </c>
      <c r="Z160">
        <f t="shared" si="2"/>
        <v>13.800857142857142</v>
      </c>
      <c r="AA160">
        <v>0.13802321400000001</v>
      </c>
    </row>
    <row r="161" spans="1:27" x14ac:dyDescent="0.25">
      <c r="A161" s="1">
        <v>45891</v>
      </c>
      <c r="B161">
        <v>6466.91</v>
      </c>
      <c r="C161">
        <v>6465</v>
      </c>
      <c r="D161" s="1">
        <v>45919</v>
      </c>
      <c r="E161" s="1">
        <v>45947</v>
      </c>
      <c r="F161">
        <v>30</v>
      </c>
      <c r="G161">
        <v>28</v>
      </c>
      <c r="H161">
        <v>56</v>
      </c>
      <c r="I161">
        <v>0.9285714285714286</v>
      </c>
      <c r="J161">
        <v>7.1428571428571425E-2</v>
      </c>
      <c r="K161" t="s">
        <v>19</v>
      </c>
      <c r="L161" t="s">
        <v>268</v>
      </c>
      <c r="M161">
        <v>74.400000000000006</v>
      </c>
      <c r="N161">
        <v>70.5</v>
      </c>
      <c r="O161">
        <v>72</v>
      </c>
      <c r="P161">
        <v>71.25</v>
      </c>
      <c r="Q161" t="s">
        <v>21</v>
      </c>
      <c r="R161">
        <v>11.521000000000001</v>
      </c>
      <c r="S161" t="s">
        <v>278</v>
      </c>
      <c r="T161">
        <v>108.8</v>
      </c>
      <c r="U161">
        <v>105.3</v>
      </c>
      <c r="V161">
        <v>107.1</v>
      </c>
      <c r="W161">
        <v>106.19999999999999</v>
      </c>
      <c r="X161" t="s">
        <v>21</v>
      </c>
      <c r="Y161">
        <v>12.414999999999999</v>
      </c>
      <c r="Z161">
        <f t="shared" si="2"/>
        <v>11.584857142857144</v>
      </c>
      <c r="AA161">
        <v>0.115648929</v>
      </c>
    </row>
    <row r="162" spans="1:27" x14ac:dyDescent="0.25">
      <c r="A162" s="1">
        <v>45894</v>
      </c>
      <c r="B162">
        <v>6439.32</v>
      </c>
      <c r="C162">
        <v>6440</v>
      </c>
      <c r="D162" s="1">
        <v>45919</v>
      </c>
      <c r="E162" s="1">
        <v>45947</v>
      </c>
      <c r="F162">
        <v>30</v>
      </c>
      <c r="G162">
        <v>25</v>
      </c>
      <c r="H162">
        <v>53</v>
      </c>
      <c r="I162">
        <v>0.8214285714285714</v>
      </c>
      <c r="J162">
        <v>0.17857142857142858</v>
      </c>
      <c r="K162" t="s">
        <v>19</v>
      </c>
      <c r="L162" t="s">
        <v>279</v>
      </c>
      <c r="M162">
        <v>69.099999999999994</v>
      </c>
      <c r="N162">
        <v>68.5</v>
      </c>
      <c r="O162">
        <v>69.599999999999994</v>
      </c>
      <c r="P162">
        <v>69.05</v>
      </c>
      <c r="Q162" t="s">
        <v>21</v>
      </c>
      <c r="R162">
        <v>11.51</v>
      </c>
      <c r="S162" t="s">
        <v>280</v>
      </c>
      <c r="T162">
        <v>101.5</v>
      </c>
      <c r="U162">
        <v>105.2</v>
      </c>
      <c r="V162">
        <v>106.4</v>
      </c>
      <c r="W162">
        <v>105.80000000000001</v>
      </c>
      <c r="X162" t="s">
        <v>21</v>
      </c>
      <c r="Y162">
        <v>12.544</v>
      </c>
      <c r="Z162">
        <f t="shared" si="2"/>
        <v>11.694642857142856</v>
      </c>
      <c r="AA162">
        <v>0.116292679</v>
      </c>
    </row>
    <row r="163" spans="1:27" x14ac:dyDescent="0.25">
      <c r="A163" s="1">
        <v>45895</v>
      </c>
      <c r="B163">
        <v>6465.94</v>
      </c>
      <c r="C163">
        <v>6465</v>
      </c>
      <c r="D163" s="1">
        <v>45919</v>
      </c>
      <c r="E163" s="1">
        <v>45947</v>
      </c>
      <c r="F163">
        <v>30</v>
      </c>
      <c r="G163">
        <v>24</v>
      </c>
      <c r="H163">
        <v>52</v>
      </c>
      <c r="I163">
        <v>0.7857142857142857</v>
      </c>
      <c r="J163">
        <v>0.21428571428571427</v>
      </c>
      <c r="K163" t="s">
        <v>19</v>
      </c>
      <c r="L163" t="s">
        <v>268</v>
      </c>
      <c r="M163">
        <v>65.599999999999994</v>
      </c>
      <c r="N163">
        <v>64</v>
      </c>
      <c r="O163">
        <v>65.099999999999994</v>
      </c>
      <c r="P163">
        <v>64.55</v>
      </c>
      <c r="Q163" t="s">
        <v>21</v>
      </c>
      <c r="R163">
        <v>11.379</v>
      </c>
      <c r="S163" t="s">
        <v>278</v>
      </c>
      <c r="T163" t="s">
        <v>21</v>
      </c>
      <c r="U163">
        <v>100.5</v>
      </c>
      <c r="V163">
        <v>102.2</v>
      </c>
      <c r="W163">
        <v>101.35</v>
      </c>
      <c r="X163" t="s">
        <v>21</v>
      </c>
      <c r="Y163">
        <v>12.366</v>
      </c>
      <c r="Z163">
        <f t="shared" si="2"/>
        <v>11.590499999999999</v>
      </c>
      <c r="AA163">
        <v>0.115747857</v>
      </c>
    </row>
    <row r="164" spans="1:27" x14ac:dyDescent="0.25">
      <c r="A164" s="1">
        <v>45896</v>
      </c>
      <c r="B164">
        <v>6481.4</v>
      </c>
      <c r="C164">
        <v>6480</v>
      </c>
      <c r="D164" s="1">
        <v>45919</v>
      </c>
      <c r="E164" s="1">
        <v>45947</v>
      </c>
      <c r="F164">
        <v>30</v>
      </c>
      <c r="G164">
        <v>23</v>
      </c>
      <c r="H164">
        <v>51</v>
      </c>
      <c r="I164">
        <v>0.75</v>
      </c>
      <c r="J164">
        <v>0.25</v>
      </c>
      <c r="K164" t="s">
        <v>19</v>
      </c>
      <c r="L164" t="s">
        <v>281</v>
      </c>
      <c r="M164">
        <v>68.680000000000007</v>
      </c>
      <c r="N164">
        <v>69.8</v>
      </c>
      <c r="O164">
        <v>71.3</v>
      </c>
      <c r="P164">
        <v>70.55</v>
      </c>
      <c r="Q164" t="s">
        <v>21</v>
      </c>
      <c r="R164">
        <v>11.706</v>
      </c>
      <c r="S164" t="s">
        <v>282</v>
      </c>
      <c r="T164">
        <v>106.7</v>
      </c>
      <c r="U164">
        <v>106</v>
      </c>
      <c r="V164">
        <v>108.1</v>
      </c>
      <c r="W164">
        <v>107.05</v>
      </c>
      <c r="X164" t="s">
        <v>21</v>
      </c>
      <c r="Y164">
        <v>12.451000000000001</v>
      </c>
      <c r="Z164">
        <f t="shared" si="2"/>
        <v>11.892249999999999</v>
      </c>
      <c r="AA164">
        <v>0.11841375</v>
      </c>
    </row>
    <row r="165" spans="1:27" x14ac:dyDescent="0.25">
      <c r="A165" s="1">
        <v>45897</v>
      </c>
      <c r="B165">
        <v>6501.86</v>
      </c>
      <c r="C165">
        <v>6500</v>
      </c>
      <c r="D165" s="1">
        <v>45919</v>
      </c>
      <c r="E165" s="1">
        <v>45947</v>
      </c>
      <c r="F165">
        <v>30</v>
      </c>
      <c r="G165">
        <v>22</v>
      </c>
      <c r="H165">
        <v>50</v>
      </c>
      <c r="I165">
        <v>0.7142857142857143</v>
      </c>
      <c r="J165">
        <v>0.2857142857142857</v>
      </c>
      <c r="K165" t="s">
        <v>19</v>
      </c>
      <c r="L165" t="s">
        <v>283</v>
      </c>
      <c r="M165">
        <v>61.57</v>
      </c>
      <c r="N165">
        <v>61.2</v>
      </c>
      <c r="O165">
        <v>62.5</v>
      </c>
      <c r="P165">
        <v>61.85</v>
      </c>
      <c r="Q165" t="s">
        <v>21</v>
      </c>
      <c r="R165">
        <v>11.114000000000001</v>
      </c>
      <c r="S165" t="s">
        <v>284</v>
      </c>
      <c r="T165">
        <v>99.6</v>
      </c>
      <c r="U165">
        <v>99.3</v>
      </c>
      <c r="V165">
        <v>100.8</v>
      </c>
      <c r="W165">
        <v>100.05</v>
      </c>
      <c r="X165" t="s">
        <v>21</v>
      </c>
      <c r="Y165">
        <v>12.238</v>
      </c>
      <c r="Z165">
        <f t="shared" si="2"/>
        <v>11.435142857142857</v>
      </c>
      <c r="AA165">
        <v>0.11395857099999999</v>
      </c>
    </row>
    <row r="166" spans="1:27" x14ac:dyDescent="0.25">
      <c r="A166" s="1">
        <v>45898</v>
      </c>
      <c r="B166">
        <v>6460.26</v>
      </c>
      <c r="C166">
        <v>6460</v>
      </c>
      <c r="D166" s="1">
        <v>45919</v>
      </c>
      <c r="E166" s="1">
        <v>45947</v>
      </c>
      <c r="F166">
        <v>30</v>
      </c>
      <c r="G166">
        <v>21</v>
      </c>
      <c r="H166">
        <v>49</v>
      </c>
      <c r="I166">
        <v>0.6785714285714286</v>
      </c>
      <c r="J166">
        <v>0.32142857142857145</v>
      </c>
      <c r="K166" t="s">
        <v>19</v>
      </c>
      <c r="L166" t="s">
        <v>285</v>
      </c>
      <c r="M166">
        <v>66.599999999999994</v>
      </c>
      <c r="N166">
        <v>65.8</v>
      </c>
      <c r="O166">
        <v>67.2</v>
      </c>
      <c r="P166">
        <v>66.5</v>
      </c>
      <c r="Q166" t="s">
        <v>21</v>
      </c>
      <c r="R166">
        <v>12.034000000000001</v>
      </c>
      <c r="S166" t="s">
        <v>286</v>
      </c>
      <c r="T166">
        <v>107.7</v>
      </c>
      <c r="U166">
        <v>103.9</v>
      </c>
      <c r="V166">
        <v>105.9</v>
      </c>
      <c r="W166">
        <v>104.9</v>
      </c>
      <c r="X166" t="s">
        <v>21</v>
      </c>
      <c r="Y166">
        <v>12.768000000000001</v>
      </c>
      <c r="Z166">
        <f t="shared" si="2"/>
        <v>12.269928571428572</v>
      </c>
      <c r="AA166">
        <v>0.122919643</v>
      </c>
    </row>
    <row r="167" spans="1:27" x14ac:dyDescent="0.25">
      <c r="A167" s="1">
        <v>45902</v>
      </c>
      <c r="B167">
        <v>6415.54</v>
      </c>
      <c r="C167">
        <v>6415</v>
      </c>
      <c r="D167" s="1">
        <v>45919</v>
      </c>
      <c r="E167" s="1">
        <v>45947</v>
      </c>
      <c r="F167">
        <v>30</v>
      </c>
      <c r="G167">
        <v>17</v>
      </c>
      <c r="H167">
        <v>45</v>
      </c>
      <c r="I167">
        <v>0.5357142857142857</v>
      </c>
      <c r="J167">
        <v>0.4642857142857143</v>
      </c>
      <c r="K167" t="s">
        <v>19</v>
      </c>
      <c r="L167" t="s">
        <v>287</v>
      </c>
      <c r="M167">
        <v>72.5</v>
      </c>
      <c r="N167">
        <v>60.2</v>
      </c>
      <c r="O167">
        <v>61.2</v>
      </c>
      <c r="P167">
        <v>60.7</v>
      </c>
      <c r="Q167" t="s">
        <v>21</v>
      </c>
      <c r="R167">
        <v>13.340999999999999</v>
      </c>
      <c r="S167" t="s">
        <v>288</v>
      </c>
      <c r="T167">
        <v>110.15</v>
      </c>
      <c r="U167">
        <v>99.7</v>
      </c>
      <c r="V167">
        <v>101.1</v>
      </c>
      <c r="W167">
        <v>100.4</v>
      </c>
      <c r="X167" t="s">
        <v>21</v>
      </c>
      <c r="Y167">
        <v>13.63</v>
      </c>
      <c r="Z167">
        <f t="shared" si="2"/>
        <v>13.475178571428572</v>
      </c>
      <c r="AA167">
        <v>0.13333892899999999</v>
      </c>
    </row>
    <row r="168" spans="1:27" x14ac:dyDescent="0.25">
      <c r="A168" s="1">
        <v>45903</v>
      </c>
      <c r="B168">
        <v>6448.26</v>
      </c>
      <c r="C168">
        <v>6450</v>
      </c>
      <c r="D168" s="1">
        <v>45919</v>
      </c>
      <c r="E168" s="1">
        <v>45947</v>
      </c>
      <c r="F168">
        <v>30</v>
      </c>
      <c r="G168">
        <v>16</v>
      </c>
      <c r="H168">
        <v>44</v>
      </c>
      <c r="I168">
        <v>0.5</v>
      </c>
      <c r="J168">
        <v>0.5</v>
      </c>
      <c r="K168" t="s">
        <v>19</v>
      </c>
      <c r="L168" t="s">
        <v>271</v>
      </c>
      <c r="M168">
        <v>63.1</v>
      </c>
      <c r="N168">
        <v>62.4</v>
      </c>
      <c r="O168">
        <v>63.4</v>
      </c>
      <c r="P168">
        <v>62.9</v>
      </c>
      <c r="Q168" t="s">
        <v>21</v>
      </c>
      <c r="R168">
        <v>12.257999999999999</v>
      </c>
      <c r="S168" t="s">
        <v>272</v>
      </c>
      <c r="T168">
        <v>106.5</v>
      </c>
      <c r="U168">
        <v>102.8</v>
      </c>
      <c r="V168">
        <v>104.2</v>
      </c>
      <c r="W168">
        <v>103.5</v>
      </c>
      <c r="X168" t="s">
        <v>21</v>
      </c>
      <c r="Y168">
        <v>12.965</v>
      </c>
      <c r="Z168">
        <f t="shared" si="2"/>
        <v>12.611499999999999</v>
      </c>
      <c r="AA168">
        <v>0.1257325</v>
      </c>
    </row>
    <row r="169" spans="1:27" x14ac:dyDescent="0.25">
      <c r="A169" s="1">
        <v>45904</v>
      </c>
      <c r="B169">
        <v>6502.08</v>
      </c>
      <c r="C169">
        <v>6500</v>
      </c>
      <c r="D169" s="1">
        <v>45919</v>
      </c>
      <c r="E169" s="1">
        <v>45947</v>
      </c>
      <c r="F169">
        <v>30</v>
      </c>
      <c r="G169">
        <v>15</v>
      </c>
      <c r="H169">
        <v>43</v>
      </c>
      <c r="I169">
        <v>0.4642857142857143</v>
      </c>
      <c r="J169">
        <v>0.5357142857142857</v>
      </c>
      <c r="K169" t="s">
        <v>19</v>
      </c>
      <c r="L169" t="s">
        <v>283</v>
      </c>
      <c r="M169">
        <v>54.3</v>
      </c>
      <c r="N169">
        <v>53.6</v>
      </c>
      <c r="O169">
        <v>54.8</v>
      </c>
      <c r="P169">
        <v>54.2</v>
      </c>
      <c r="Q169" t="s">
        <v>21</v>
      </c>
      <c r="R169">
        <v>11.273</v>
      </c>
      <c r="S169" t="s">
        <v>284</v>
      </c>
      <c r="T169">
        <v>95</v>
      </c>
      <c r="U169">
        <v>95.3</v>
      </c>
      <c r="V169">
        <v>96.5</v>
      </c>
      <c r="W169">
        <v>95.9</v>
      </c>
      <c r="X169" t="s">
        <v>21</v>
      </c>
      <c r="Y169">
        <v>12.367000000000001</v>
      </c>
      <c r="Z169">
        <f t="shared" si="2"/>
        <v>11.859071428571429</v>
      </c>
      <c r="AA169">
        <v>0.118337679</v>
      </c>
    </row>
    <row r="170" spans="1:27" x14ac:dyDescent="0.25">
      <c r="A170" s="1">
        <v>45905</v>
      </c>
      <c r="B170">
        <v>6481.5</v>
      </c>
      <c r="C170">
        <v>6480</v>
      </c>
      <c r="D170" s="1">
        <v>45919</v>
      </c>
      <c r="E170" s="1">
        <v>45947</v>
      </c>
      <c r="F170">
        <v>30</v>
      </c>
      <c r="G170">
        <v>14</v>
      </c>
      <c r="H170">
        <v>42</v>
      </c>
      <c r="I170">
        <v>0.42857142857142855</v>
      </c>
      <c r="J170">
        <v>0.5714285714285714</v>
      </c>
      <c r="K170" t="s">
        <v>19</v>
      </c>
      <c r="L170" t="s">
        <v>281</v>
      </c>
      <c r="M170">
        <v>51.85</v>
      </c>
      <c r="N170">
        <v>50.9</v>
      </c>
      <c r="O170">
        <v>52.2</v>
      </c>
      <c r="P170">
        <v>51.55</v>
      </c>
      <c r="Q170" t="s">
        <v>21</v>
      </c>
      <c r="R170">
        <v>11.013999999999999</v>
      </c>
      <c r="S170" t="s">
        <v>282</v>
      </c>
      <c r="T170">
        <v>95.03</v>
      </c>
      <c r="U170">
        <v>94.3</v>
      </c>
      <c r="V170">
        <v>96.9</v>
      </c>
      <c r="W170">
        <v>95.6</v>
      </c>
      <c r="X170" t="s">
        <v>21</v>
      </c>
      <c r="Y170">
        <v>12.342000000000001</v>
      </c>
      <c r="Z170">
        <f t="shared" si="2"/>
        <v>11.772857142857141</v>
      </c>
      <c r="AA170">
        <v>0.117355</v>
      </c>
    </row>
    <row r="171" spans="1:27" x14ac:dyDescent="0.25">
      <c r="A171" s="1">
        <v>45908</v>
      </c>
      <c r="B171">
        <v>6495.15</v>
      </c>
      <c r="C171">
        <v>6495</v>
      </c>
      <c r="D171" s="1">
        <v>45919</v>
      </c>
      <c r="E171" s="1">
        <v>45947</v>
      </c>
      <c r="F171">
        <v>30</v>
      </c>
      <c r="G171">
        <v>11</v>
      </c>
      <c r="H171">
        <v>39</v>
      </c>
      <c r="I171">
        <v>0.32142857142857145</v>
      </c>
      <c r="J171">
        <v>0.6785714285714286</v>
      </c>
      <c r="K171" t="s">
        <v>19</v>
      </c>
      <c r="L171" t="s">
        <v>289</v>
      </c>
      <c r="M171">
        <v>46.15</v>
      </c>
      <c r="N171">
        <v>44.6</v>
      </c>
      <c r="O171">
        <v>45.6</v>
      </c>
      <c r="P171">
        <v>45.1</v>
      </c>
      <c r="Q171" t="s">
        <v>21</v>
      </c>
      <c r="R171">
        <v>10.603</v>
      </c>
      <c r="S171" t="s">
        <v>290</v>
      </c>
      <c r="T171">
        <v>93</v>
      </c>
      <c r="U171">
        <v>89</v>
      </c>
      <c r="V171">
        <v>90.4</v>
      </c>
      <c r="W171">
        <v>89.7</v>
      </c>
      <c r="X171" t="s">
        <v>21</v>
      </c>
      <c r="Y171">
        <v>12.01</v>
      </c>
      <c r="Z171">
        <f t="shared" si="2"/>
        <v>11.557750000000002</v>
      </c>
      <c r="AA171">
        <v>0.115210179</v>
      </c>
    </row>
    <row r="172" spans="1:27" x14ac:dyDescent="0.25">
      <c r="A172" s="1">
        <v>45909</v>
      </c>
      <c r="B172">
        <v>6512.61</v>
      </c>
      <c r="C172">
        <v>6515</v>
      </c>
      <c r="D172" s="1">
        <v>45919</v>
      </c>
      <c r="E172" s="1">
        <v>45947</v>
      </c>
      <c r="F172">
        <v>30</v>
      </c>
      <c r="G172">
        <v>10</v>
      </c>
      <c r="H172">
        <v>38</v>
      </c>
      <c r="I172">
        <v>0.2857142857142857</v>
      </c>
      <c r="J172">
        <v>0.7142857142857143</v>
      </c>
      <c r="K172" t="s">
        <v>19</v>
      </c>
      <c r="L172" t="s">
        <v>291</v>
      </c>
      <c r="M172">
        <v>43.69</v>
      </c>
      <c r="N172">
        <v>40.700000000000003</v>
      </c>
      <c r="O172">
        <v>41.9</v>
      </c>
      <c r="P172">
        <v>41.3</v>
      </c>
      <c r="Q172" t="s">
        <v>21</v>
      </c>
      <c r="R172">
        <v>10.477</v>
      </c>
      <c r="S172" t="s">
        <v>292</v>
      </c>
      <c r="T172">
        <v>93.15</v>
      </c>
      <c r="U172">
        <v>85.5</v>
      </c>
      <c r="V172">
        <v>87.6</v>
      </c>
      <c r="W172">
        <v>86.55</v>
      </c>
      <c r="X172" t="s">
        <v>21</v>
      </c>
      <c r="Y172">
        <v>11.888</v>
      </c>
      <c r="Z172">
        <f t="shared" si="2"/>
        <v>11.484857142857143</v>
      </c>
      <c r="AA172">
        <v>0.114785</v>
      </c>
    </row>
    <row r="173" spans="1:27" x14ac:dyDescent="0.25">
      <c r="A173" s="1">
        <v>45910</v>
      </c>
      <c r="B173">
        <v>6532.04</v>
      </c>
      <c r="C173">
        <v>6530</v>
      </c>
      <c r="D173" s="1">
        <v>45919</v>
      </c>
      <c r="E173" s="1">
        <v>45947</v>
      </c>
      <c r="F173">
        <v>30</v>
      </c>
      <c r="G173">
        <v>9</v>
      </c>
      <c r="H173">
        <v>37</v>
      </c>
      <c r="I173">
        <v>0.25</v>
      </c>
      <c r="J173">
        <v>0.75</v>
      </c>
      <c r="K173" t="s">
        <v>19</v>
      </c>
      <c r="L173" t="s">
        <v>293</v>
      </c>
      <c r="M173">
        <v>41.2</v>
      </c>
      <c r="N173">
        <v>43.5</v>
      </c>
      <c r="O173">
        <v>44.5</v>
      </c>
      <c r="P173">
        <v>44</v>
      </c>
      <c r="Q173" t="s">
        <v>21</v>
      </c>
      <c r="R173">
        <v>11.016999999999999</v>
      </c>
      <c r="S173" t="s">
        <v>294</v>
      </c>
      <c r="T173">
        <v>93.24</v>
      </c>
      <c r="U173">
        <v>87.8</v>
      </c>
      <c r="V173">
        <v>90.6</v>
      </c>
      <c r="W173">
        <v>89.199999999999989</v>
      </c>
      <c r="X173" t="s">
        <v>21</v>
      </c>
      <c r="Y173">
        <v>11.997999999999999</v>
      </c>
      <c r="Z173">
        <f t="shared" si="2"/>
        <v>11.752749999999999</v>
      </c>
      <c r="AA173">
        <v>0.11683</v>
      </c>
    </row>
    <row r="174" spans="1:27" x14ac:dyDescent="0.25">
      <c r="A174" s="1">
        <v>45911</v>
      </c>
      <c r="B174">
        <v>6587.47</v>
      </c>
      <c r="C174">
        <v>6585</v>
      </c>
      <c r="D174" s="1">
        <v>45919</v>
      </c>
      <c r="E174" s="1">
        <v>45947</v>
      </c>
      <c r="F174">
        <v>30</v>
      </c>
      <c r="G174">
        <v>8</v>
      </c>
      <c r="H174">
        <v>36</v>
      </c>
      <c r="I174">
        <v>0.21428571428571427</v>
      </c>
      <c r="J174">
        <v>0.7857142857142857</v>
      </c>
      <c r="K174" t="s">
        <v>19</v>
      </c>
      <c r="L174" t="s">
        <v>295</v>
      </c>
      <c r="M174">
        <v>35</v>
      </c>
      <c r="N174">
        <v>36.200000000000003</v>
      </c>
      <c r="O174">
        <v>37.1</v>
      </c>
      <c r="P174">
        <v>36.650000000000006</v>
      </c>
      <c r="Q174" t="s">
        <v>21</v>
      </c>
      <c r="R174">
        <v>10.108000000000001</v>
      </c>
      <c r="S174" t="s">
        <v>296</v>
      </c>
      <c r="T174">
        <v>86.6</v>
      </c>
      <c r="U174">
        <v>84.9</v>
      </c>
      <c r="V174">
        <v>86.1</v>
      </c>
      <c r="W174">
        <v>85.5</v>
      </c>
      <c r="X174" t="s">
        <v>21</v>
      </c>
      <c r="Y174">
        <v>11.702</v>
      </c>
      <c r="Z174">
        <f t="shared" si="2"/>
        <v>11.360428571428571</v>
      </c>
      <c r="AA174">
        <v>0.11266285700000001</v>
      </c>
    </row>
    <row r="175" spans="1:27" x14ac:dyDescent="0.25">
      <c r="A175" s="1">
        <v>45912</v>
      </c>
      <c r="B175">
        <v>6584.29</v>
      </c>
      <c r="C175">
        <v>6585</v>
      </c>
      <c r="D175" s="1">
        <v>45919</v>
      </c>
      <c r="E175" s="1">
        <v>45947</v>
      </c>
      <c r="F175">
        <v>30</v>
      </c>
      <c r="G175">
        <v>7</v>
      </c>
      <c r="H175">
        <v>35</v>
      </c>
      <c r="I175">
        <v>0.17857142857142858</v>
      </c>
      <c r="J175">
        <v>0.8214285714285714</v>
      </c>
      <c r="K175" t="s">
        <v>19</v>
      </c>
      <c r="L175" t="s">
        <v>295</v>
      </c>
      <c r="M175">
        <v>34.6</v>
      </c>
      <c r="N175">
        <v>33.4</v>
      </c>
      <c r="O175">
        <v>34.700000000000003</v>
      </c>
      <c r="P175">
        <v>34.049999999999997</v>
      </c>
      <c r="Q175" t="s">
        <v>21</v>
      </c>
      <c r="R175">
        <v>9.9410000000000007</v>
      </c>
      <c r="S175" t="s">
        <v>296</v>
      </c>
      <c r="T175">
        <v>83.6</v>
      </c>
      <c r="U175">
        <v>83.5</v>
      </c>
      <c r="V175">
        <v>85.9</v>
      </c>
      <c r="W175">
        <v>84.7</v>
      </c>
      <c r="X175" t="s">
        <v>21</v>
      </c>
      <c r="Y175">
        <v>11.675000000000001</v>
      </c>
      <c r="Z175">
        <f t="shared" si="2"/>
        <v>11.365357142857142</v>
      </c>
      <c r="AA175">
        <v>0.113285</v>
      </c>
    </row>
    <row r="176" spans="1:27" x14ac:dyDescent="0.25">
      <c r="A176" s="1">
        <v>45915</v>
      </c>
      <c r="B176">
        <v>6615.28</v>
      </c>
      <c r="C176">
        <v>6615</v>
      </c>
      <c r="D176" s="1">
        <v>45919</v>
      </c>
      <c r="E176" s="1">
        <v>45947</v>
      </c>
      <c r="F176">
        <v>30</v>
      </c>
      <c r="G176">
        <v>4</v>
      </c>
      <c r="H176">
        <v>32</v>
      </c>
      <c r="I176">
        <v>7.1428571428571425E-2</v>
      </c>
      <c r="J176">
        <v>0.9285714285714286</v>
      </c>
      <c r="K176" t="s">
        <v>19</v>
      </c>
      <c r="L176" t="s">
        <v>297</v>
      </c>
      <c r="M176">
        <v>35.1</v>
      </c>
      <c r="N176">
        <v>32.6</v>
      </c>
      <c r="O176">
        <v>33.5</v>
      </c>
      <c r="P176">
        <v>33.049999999999997</v>
      </c>
      <c r="Q176" t="s">
        <v>21</v>
      </c>
      <c r="R176">
        <v>10.585000000000001</v>
      </c>
      <c r="S176" t="s">
        <v>298</v>
      </c>
      <c r="T176">
        <v>88.03</v>
      </c>
      <c r="U176">
        <v>85.1</v>
      </c>
      <c r="V176">
        <v>86.8</v>
      </c>
      <c r="W176">
        <v>85.949999999999989</v>
      </c>
      <c r="X176" t="s">
        <v>21</v>
      </c>
      <c r="Y176">
        <v>11.925000000000001</v>
      </c>
      <c r="Z176">
        <f t="shared" si="2"/>
        <v>11.829285714285716</v>
      </c>
      <c r="AA176">
        <v>0.1174</v>
      </c>
    </row>
    <row r="177" spans="1:27" x14ac:dyDescent="0.25">
      <c r="A177" s="1">
        <v>45916</v>
      </c>
      <c r="B177">
        <v>6606.76</v>
      </c>
      <c r="C177">
        <v>6605</v>
      </c>
      <c r="D177" s="1">
        <v>45919</v>
      </c>
      <c r="E177" s="1">
        <v>45947</v>
      </c>
      <c r="F177">
        <v>30</v>
      </c>
      <c r="G177">
        <v>3</v>
      </c>
      <c r="H177">
        <v>31</v>
      </c>
      <c r="I177">
        <v>3.5714285714285712E-2</v>
      </c>
      <c r="J177">
        <v>0.9642857142857143</v>
      </c>
      <c r="K177" t="s">
        <v>19</v>
      </c>
      <c r="L177" t="s">
        <v>299</v>
      </c>
      <c r="M177">
        <v>29.8</v>
      </c>
      <c r="N177">
        <v>30.8</v>
      </c>
      <c r="O177">
        <v>31.7</v>
      </c>
      <c r="P177">
        <v>31.25</v>
      </c>
      <c r="Q177" t="s">
        <v>21</v>
      </c>
      <c r="R177">
        <v>12.525</v>
      </c>
      <c r="S177" t="s">
        <v>300</v>
      </c>
      <c r="T177">
        <v>87.41</v>
      </c>
      <c r="U177">
        <v>85.3</v>
      </c>
      <c r="V177">
        <v>87.5</v>
      </c>
      <c r="W177">
        <v>86.4</v>
      </c>
      <c r="X177" t="s">
        <v>21</v>
      </c>
      <c r="Y177">
        <v>12.518000000000001</v>
      </c>
      <c r="Z177">
        <f t="shared" si="2"/>
        <v>12.51825</v>
      </c>
      <c r="AA177">
        <v>0.124655714</v>
      </c>
    </row>
    <row r="178" spans="1:27" x14ac:dyDescent="0.25">
      <c r="A178" s="1">
        <v>45917</v>
      </c>
      <c r="B178">
        <v>6600.35</v>
      </c>
      <c r="C178">
        <v>6600</v>
      </c>
      <c r="D178" s="1">
        <v>45919</v>
      </c>
      <c r="E178" s="1">
        <v>45947</v>
      </c>
      <c r="F178">
        <v>30</v>
      </c>
      <c r="G178">
        <v>2</v>
      </c>
      <c r="H178">
        <v>30</v>
      </c>
      <c r="I178">
        <v>0</v>
      </c>
      <c r="J178">
        <v>1</v>
      </c>
      <c r="K178" t="s">
        <v>19</v>
      </c>
      <c r="L178" t="s">
        <v>301</v>
      </c>
      <c r="M178">
        <v>21.47</v>
      </c>
      <c r="N178">
        <v>20</v>
      </c>
      <c r="O178">
        <v>20.8</v>
      </c>
      <c r="P178">
        <v>20.399999999999999</v>
      </c>
      <c r="Q178" t="s">
        <v>21</v>
      </c>
      <c r="R178">
        <v>11.109</v>
      </c>
      <c r="S178" t="s">
        <v>302</v>
      </c>
      <c r="T178">
        <v>79.680000000000007</v>
      </c>
      <c r="U178">
        <v>80.2</v>
      </c>
      <c r="V178">
        <v>81.900000000000006</v>
      </c>
      <c r="W178">
        <v>81.050000000000011</v>
      </c>
      <c r="X178" t="s">
        <v>21</v>
      </c>
      <c r="Y178">
        <v>12.106</v>
      </c>
      <c r="Z178">
        <f t="shared" si="2"/>
        <v>12.106</v>
      </c>
      <c r="AA178">
        <v>0.121285</v>
      </c>
    </row>
    <row r="179" spans="1:27" x14ac:dyDescent="0.25">
      <c r="A179" s="1">
        <v>45918</v>
      </c>
      <c r="B179">
        <v>6631.96</v>
      </c>
      <c r="C179">
        <v>6630</v>
      </c>
      <c r="D179" s="1">
        <v>45919</v>
      </c>
      <c r="E179" s="1">
        <v>45947</v>
      </c>
      <c r="F179">
        <v>30</v>
      </c>
      <c r="G179">
        <v>1</v>
      </c>
      <c r="H179">
        <v>29</v>
      </c>
      <c r="I179">
        <v>0</v>
      </c>
      <c r="J179">
        <v>1</v>
      </c>
      <c r="K179" t="s">
        <v>19</v>
      </c>
      <c r="L179" t="s">
        <v>303</v>
      </c>
      <c r="M179">
        <v>10.5</v>
      </c>
      <c r="N179">
        <v>7.7</v>
      </c>
      <c r="O179">
        <v>8.5</v>
      </c>
      <c r="P179">
        <v>8.1</v>
      </c>
      <c r="Q179" t="s">
        <v>21</v>
      </c>
      <c r="R179">
        <v>8.4009999999999998</v>
      </c>
      <c r="S179" t="s">
        <v>304</v>
      </c>
      <c r="T179">
        <v>80.03</v>
      </c>
      <c r="U179">
        <v>76.7</v>
      </c>
      <c r="V179">
        <v>79.3</v>
      </c>
      <c r="W179">
        <v>78</v>
      </c>
      <c r="X179" t="s">
        <v>21</v>
      </c>
      <c r="Y179">
        <v>12.156000000000001</v>
      </c>
      <c r="Z179">
        <f t="shared" si="2"/>
        <v>12.156000000000001</v>
      </c>
      <c r="AA179">
        <v>0.120945</v>
      </c>
    </row>
    <row r="180" spans="1:27" x14ac:dyDescent="0.25">
      <c r="A180" s="1">
        <v>45919</v>
      </c>
      <c r="B180">
        <v>6664.36</v>
      </c>
      <c r="C180">
        <v>6665</v>
      </c>
      <c r="D180" s="1">
        <v>45947</v>
      </c>
      <c r="E180" s="1">
        <v>45982</v>
      </c>
      <c r="F180">
        <v>30</v>
      </c>
      <c r="G180">
        <v>28</v>
      </c>
      <c r="H180">
        <v>63</v>
      </c>
      <c r="I180">
        <v>0.94285714285714284</v>
      </c>
      <c r="J180">
        <v>5.7142857142857141E-2</v>
      </c>
      <c r="K180" t="s">
        <v>19</v>
      </c>
      <c r="L180" t="s">
        <v>305</v>
      </c>
      <c r="M180">
        <v>79</v>
      </c>
      <c r="N180">
        <v>80.8</v>
      </c>
      <c r="O180">
        <v>82.3</v>
      </c>
      <c r="P180">
        <v>81.55</v>
      </c>
      <c r="Q180" t="s">
        <v>21</v>
      </c>
      <c r="R180">
        <v>12.058999999999999</v>
      </c>
      <c r="S180" t="s">
        <v>306</v>
      </c>
      <c r="T180">
        <v>129.5</v>
      </c>
      <c r="U180">
        <v>129.6</v>
      </c>
      <c r="V180">
        <v>131.80000000000001</v>
      </c>
      <c r="W180">
        <v>130.69999999999999</v>
      </c>
      <c r="X180" t="s">
        <v>21</v>
      </c>
      <c r="Y180">
        <v>13.430999999999999</v>
      </c>
      <c r="Z180">
        <f t="shared" si="2"/>
        <v>12.1374</v>
      </c>
      <c r="AA180">
        <v>0.121398714</v>
      </c>
    </row>
    <row r="181" spans="1:27" x14ac:dyDescent="0.25">
      <c r="A181" s="1">
        <v>45922</v>
      </c>
      <c r="B181">
        <v>6693.75</v>
      </c>
      <c r="C181">
        <v>6695</v>
      </c>
      <c r="D181" s="1">
        <v>45947</v>
      </c>
      <c r="E181" s="1">
        <v>45982</v>
      </c>
      <c r="F181">
        <v>30</v>
      </c>
      <c r="G181">
        <v>25</v>
      </c>
      <c r="H181">
        <v>60</v>
      </c>
      <c r="I181">
        <v>0.8571428571428571</v>
      </c>
      <c r="J181">
        <v>0.14285714285714285</v>
      </c>
      <c r="K181" t="s">
        <v>19</v>
      </c>
      <c r="L181" t="s">
        <v>307</v>
      </c>
      <c r="M181">
        <v>82.4</v>
      </c>
      <c r="N181">
        <v>79.599999999999994</v>
      </c>
      <c r="O181">
        <v>81.3</v>
      </c>
      <c r="P181">
        <v>80.449999999999989</v>
      </c>
      <c r="Q181" t="s">
        <v>21</v>
      </c>
      <c r="R181">
        <v>12.188000000000001</v>
      </c>
      <c r="S181" t="s">
        <v>308</v>
      </c>
      <c r="T181" t="s">
        <v>21</v>
      </c>
      <c r="U181">
        <v>131.4</v>
      </c>
      <c r="V181">
        <v>133.30000000000001</v>
      </c>
      <c r="W181">
        <v>132.35000000000002</v>
      </c>
      <c r="X181" t="s">
        <v>21</v>
      </c>
      <c r="Y181">
        <v>13.672000000000001</v>
      </c>
      <c r="Z181">
        <f t="shared" si="2"/>
        <v>12.4</v>
      </c>
      <c r="AA181">
        <v>0.12364357099999999</v>
      </c>
    </row>
    <row r="182" spans="1:27" x14ac:dyDescent="0.25">
      <c r="A182" s="1">
        <v>45923</v>
      </c>
      <c r="B182">
        <v>6656.92</v>
      </c>
      <c r="C182">
        <v>6655</v>
      </c>
      <c r="D182" s="1">
        <v>45947</v>
      </c>
      <c r="E182" s="1">
        <v>45982</v>
      </c>
      <c r="F182">
        <v>30</v>
      </c>
      <c r="G182">
        <v>24</v>
      </c>
      <c r="H182">
        <v>59</v>
      </c>
      <c r="I182">
        <v>0.82857142857142863</v>
      </c>
      <c r="J182">
        <v>0.17142857142857143</v>
      </c>
      <c r="K182" t="s">
        <v>19</v>
      </c>
      <c r="L182" t="s">
        <v>309</v>
      </c>
      <c r="M182">
        <v>81.2</v>
      </c>
      <c r="N182">
        <v>78.3</v>
      </c>
      <c r="O182">
        <v>80.2</v>
      </c>
      <c r="P182">
        <v>79.25</v>
      </c>
      <c r="Q182" t="s">
        <v>21</v>
      </c>
      <c r="R182">
        <v>12.869</v>
      </c>
      <c r="S182" t="s">
        <v>310</v>
      </c>
      <c r="T182">
        <v>133.91</v>
      </c>
      <c r="U182">
        <v>132</v>
      </c>
      <c r="V182">
        <v>133.5</v>
      </c>
      <c r="W182">
        <v>132.75</v>
      </c>
      <c r="X182" t="s">
        <v>21</v>
      </c>
      <c r="Y182">
        <v>14.218</v>
      </c>
      <c r="Z182">
        <f t="shared" si="2"/>
        <v>13.100257142857142</v>
      </c>
      <c r="AA182">
        <v>0.13037442899999999</v>
      </c>
    </row>
    <row r="183" spans="1:27" x14ac:dyDescent="0.25">
      <c r="A183" s="1">
        <v>45924</v>
      </c>
      <c r="B183">
        <v>6637.97</v>
      </c>
      <c r="C183">
        <v>6640</v>
      </c>
      <c r="D183" s="1">
        <v>45947</v>
      </c>
      <c r="E183" s="1">
        <v>45982</v>
      </c>
      <c r="F183">
        <v>30</v>
      </c>
      <c r="G183">
        <v>23</v>
      </c>
      <c r="H183">
        <v>58</v>
      </c>
      <c r="I183">
        <v>0.8</v>
      </c>
      <c r="J183">
        <v>0.2</v>
      </c>
      <c r="K183" t="s">
        <v>19</v>
      </c>
      <c r="L183" t="s">
        <v>311</v>
      </c>
      <c r="M183">
        <v>80.8</v>
      </c>
      <c r="N183">
        <v>76</v>
      </c>
      <c r="O183">
        <v>77.2</v>
      </c>
      <c r="P183">
        <v>76.599999999999994</v>
      </c>
      <c r="Q183" t="s">
        <v>21</v>
      </c>
      <c r="R183">
        <v>12.585000000000001</v>
      </c>
      <c r="S183" t="s">
        <v>312</v>
      </c>
      <c r="T183">
        <v>133.58000000000001</v>
      </c>
      <c r="U183">
        <v>130.19999999999999</v>
      </c>
      <c r="V183">
        <v>131.5</v>
      </c>
      <c r="W183">
        <v>130.85</v>
      </c>
      <c r="X183" t="s">
        <v>21</v>
      </c>
      <c r="Y183">
        <v>14.048999999999999</v>
      </c>
      <c r="Z183">
        <f t="shared" si="2"/>
        <v>12.877800000000001</v>
      </c>
      <c r="AA183">
        <v>0.128303</v>
      </c>
    </row>
    <row r="184" spans="1:27" x14ac:dyDescent="0.25">
      <c r="A184" s="1">
        <v>45925</v>
      </c>
      <c r="B184">
        <v>6604.72</v>
      </c>
      <c r="C184">
        <v>6605</v>
      </c>
      <c r="D184" s="1">
        <v>45947</v>
      </c>
      <c r="E184" s="1">
        <v>45982</v>
      </c>
      <c r="F184">
        <v>30</v>
      </c>
      <c r="G184">
        <v>22</v>
      </c>
      <c r="H184">
        <v>57</v>
      </c>
      <c r="I184">
        <v>0.77142857142857146</v>
      </c>
      <c r="J184">
        <v>0.22857142857142856</v>
      </c>
      <c r="K184" t="s">
        <v>19</v>
      </c>
      <c r="L184" t="s">
        <v>300</v>
      </c>
      <c r="M184">
        <v>87.25</v>
      </c>
      <c r="N184">
        <v>75.900000000000006</v>
      </c>
      <c r="O184">
        <v>77.400000000000006</v>
      </c>
      <c r="P184">
        <v>76.650000000000006</v>
      </c>
      <c r="Q184" t="s">
        <v>21</v>
      </c>
      <c r="R184">
        <v>12.938000000000001</v>
      </c>
      <c r="S184" t="s">
        <v>313</v>
      </c>
      <c r="T184">
        <v>131.6</v>
      </c>
      <c r="U184">
        <v>129.69999999999999</v>
      </c>
      <c r="V184">
        <v>131.69999999999999</v>
      </c>
      <c r="W184">
        <v>130.69999999999999</v>
      </c>
      <c r="X184" t="s">
        <v>21</v>
      </c>
      <c r="Y184">
        <v>14.244999999999999</v>
      </c>
      <c r="Z184">
        <f t="shared" si="2"/>
        <v>13.236742857142858</v>
      </c>
      <c r="AA184">
        <v>0.132385429</v>
      </c>
    </row>
    <row r="185" spans="1:27" x14ac:dyDescent="0.25">
      <c r="A185" s="1">
        <v>45926</v>
      </c>
      <c r="B185">
        <v>6643.7</v>
      </c>
      <c r="C185">
        <v>6645</v>
      </c>
      <c r="D185" s="1">
        <v>45947</v>
      </c>
      <c r="E185" s="1">
        <v>45982</v>
      </c>
      <c r="F185">
        <v>30</v>
      </c>
      <c r="G185">
        <v>21</v>
      </c>
      <c r="H185">
        <v>56</v>
      </c>
      <c r="I185">
        <v>0.74285714285714288</v>
      </c>
      <c r="J185">
        <v>0.25714285714285712</v>
      </c>
      <c r="K185" t="s">
        <v>19</v>
      </c>
      <c r="L185" t="s">
        <v>314</v>
      </c>
      <c r="M185">
        <v>69.5</v>
      </c>
      <c r="N185">
        <v>67.599999999999994</v>
      </c>
      <c r="O185">
        <v>69</v>
      </c>
      <c r="P185">
        <v>68.3</v>
      </c>
      <c r="Q185" t="s">
        <v>21</v>
      </c>
      <c r="R185">
        <v>11.753</v>
      </c>
      <c r="S185" t="s">
        <v>315</v>
      </c>
      <c r="T185">
        <v>122.3</v>
      </c>
      <c r="U185">
        <v>121.7</v>
      </c>
      <c r="V185">
        <v>123</v>
      </c>
      <c r="W185">
        <v>122.35</v>
      </c>
      <c r="X185" t="s">
        <v>21</v>
      </c>
      <c r="Y185">
        <v>13.358000000000001</v>
      </c>
      <c r="Z185">
        <f t="shared" si="2"/>
        <v>12.165714285714285</v>
      </c>
      <c r="AA185">
        <v>0.121438429</v>
      </c>
    </row>
    <row r="186" spans="1:27" x14ac:dyDescent="0.25">
      <c r="A186" s="1">
        <v>45929</v>
      </c>
      <c r="B186">
        <v>6661.21</v>
      </c>
      <c r="C186">
        <v>6660</v>
      </c>
      <c r="D186" s="1">
        <v>45947</v>
      </c>
      <c r="E186" s="1">
        <v>45982</v>
      </c>
      <c r="F186">
        <v>30</v>
      </c>
      <c r="G186">
        <v>18</v>
      </c>
      <c r="H186">
        <v>53</v>
      </c>
      <c r="I186">
        <v>0.65714285714285714</v>
      </c>
      <c r="J186">
        <v>0.34285714285714286</v>
      </c>
      <c r="K186" t="s">
        <v>19</v>
      </c>
      <c r="L186" t="s">
        <v>316</v>
      </c>
      <c r="M186">
        <v>64.2</v>
      </c>
      <c r="N186">
        <v>65.599999999999994</v>
      </c>
      <c r="O186">
        <v>66.900000000000006</v>
      </c>
      <c r="P186">
        <v>66.25</v>
      </c>
      <c r="Q186" t="s">
        <v>21</v>
      </c>
      <c r="R186">
        <v>11.465</v>
      </c>
      <c r="S186" t="s">
        <v>317</v>
      </c>
      <c r="T186">
        <v>122.7</v>
      </c>
      <c r="U186">
        <v>122.2</v>
      </c>
      <c r="V186">
        <v>124</v>
      </c>
      <c r="W186">
        <v>123.1</v>
      </c>
      <c r="X186" t="s">
        <v>21</v>
      </c>
      <c r="Y186">
        <v>13.38</v>
      </c>
      <c r="Z186">
        <f t="shared" si="2"/>
        <v>12.121571428571428</v>
      </c>
      <c r="AA186">
        <v>0.12075142899999999</v>
      </c>
    </row>
    <row r="187" spans="1:27" x14ac:dyDescent="0.25">
      <c r="A187" s="1">
        <v>45930</v>
      </c>
      <c r="B187">
        <v>6688.46</v>
      </c>
      <c r="C187">
        <v>6690</v>
      </c>
      <c r="D187" s="1">
        <v>45947</v>
      </c>
      <c r="E187" s="1">
        <v>45982</v>
      </c>
      <c r="F187">
        <v>30</v>
      </c>
      <c r="G187">
        <v>17</v>
      </c>
      <c r="H187">
        <v>52</v>
      </c>
      <c r="I187">
        <v>0.62857142857142856</v>
      </c>
      <c r="J187">
        <v>0.37142857142857144</v>
      </c>
      <c r="K187" t="s">
        <v>19</v>
      </c>
      <c r="L187" t="s">
        <v>318</v>
      </c>
      <c r="M187">
        <v>62.24</v>
      </c>
      <c r="N187">
        <v>69.099999999999994</v>
      </c>
      <c r="O187">
        <v>70.400000000000006</v>
      </c>
      <c r="P187">
        <v>69.75</v>
      </c>
      <c r="Q187" t="s">
        <v>21</v>
      </c>
      <c r="R187">
        <v>11.252000000000001</v>
      </c>
      <c r="S187" t="s">
        <v>319</v>
      </c>
      <c r="T187">
        <v>118.6</v>
      </c>
      <c r="U187">
        <v>126.1</v>
      </c>
      <c r="V187">
        <v>127.8</v>
      </c>
      <c r="W187">
        <v>126.94999999999999</v>
      </c>
      <c r="X187" t="s">
        <v>21</v>
      </c>
      <c r="Y187">
        <v>13.195</v>
      </c>
      <c r="Z187">
        <f t="shared" si="2"/>
        <v>11.973685714285715</v>
      </c>
      <c r="AA187">
        <v>0.120146143</v>
      </c>
    </row>
    <row r="188" spans="1:27" x14ac:dyDescent="0.25">
      <c r="A188" s="1">
        <v>45931</v>
      </c>
      <c r="B188">
        <v>6711.2</v>
      </c>
      <c r="C188">
        <v>6710</v>
      </c>
      <c r="D188" s="1">
        <v>45947</v>
      </c>
      <c r="E188" s="1">
        <v>45982</v>
      </c>
      <c r="F188">
        <v>30</v>
      </c>
      <c r="G188">
        <v>16</v>
      </c>
      <c r="H188">
        <v>51</v>
      </c>
      <c r="I188">
        <v>0.6</v>
      </c>
      <c r="J188">
        <v>0.4</v>
      </c>
      <c r="K188" t="s">
        <v>19</v>
      </c>
      <c r="L188" t="s">
        <v>320</v>
      </c>
      <c r="M188">
        <v>57.09</v>
      </c>
      <c r="N188">
        <v>59.7</v>
      </c>
      <c r="O188">
        <v>61.3</v>
      </c>
      <c r="P188">
        <v>60.5</v>
      </c>
      <c r="Q188" t="s">
        <v>21</v>
      </c>
      <c r="R188">
        <v>11.24</v>
      </c>
      <c r="S188" t="s">
        <v>321</v>
      </c>
      <c r="T188">
        <v>117.68</v>
      </c>
      <c r="U188">
        <v>119.8</v>
      </c>
      <c r="V188">
        <v>121.4</v>
      </c>
      <c r="W188">
        <v>120.6</v>
      </c>
      <c r="X188" t="s">
        <v>21</v>
      </c>
      <c r="Y188">
        <v>13.285</v>
      </c>
      <c r="Z188">
        <f t="shared" si="2"/>
        <v>12.058</v>
      </c>
      <c r="AA188">
        <v>0.12048</v>
      </c>
    </row>
    <row r="189" spans="1:27" x14ac:dyDescent="0.25">
      <c r="A189" s="1">
        <v>45932</v>
      </c>
      <c r="B189">
        <v>6715.35</v>
      </c>
      <c r="C189">
        <v>6715</v>
      </c>
      <c r="D189" s="1">
        <v>45947</v>
      </c>
      <c r="E189" s="1">
        <v>45982</v>
      </c>
      <c r="F189">
        <v>30</v>
      </c>
      <c r="G189">
        <v>15</v>
      </c>
      <c r="H189">
        <v>50</v>
      </c>
      <c r="I189">
        <v>0.5714285714285714</v>
      </c>
      <c r="J189">
        <v>0.42857142857142855</v>
      </c>
      <c r="K189" t="s">
        <v>19</v>
      </c>
      <c r="L189" t="s">
        <v>322</v>
      </c>
      <c r="M189">
        <v>56.85</v>
      </c>
      <c r="N189">
        <v>57.5</v>
      </c>
      <c r="O189">
        <v>58.4</v>
      </c>
      <c r="P189">
        <v>57.95</v>
      </c>
      <c r="Q189" t="s">
        <v>21</v>
      </c>
      <c r="R189">
        <v>11.552</v>
      </c>
      <c r="S189" t="s">
        <v>323</v>
      </c>
      <c r="T189">
        <v>122.8</v>
      </c>
      <c r="U189">
        <v>120</v>
      </c>
      <c r="V189">
        <v>121.2</v>
      </c>
      <c r="W189">
        <v>120.6</v>
      </c>
      <c r="X189" t="s">
        <v>21</v>
      </c>
      <c r="Y189">
        <v>13.606</v>
      </c>
      <c r="Z189">
        <f t="shared" si="2"/>
        <v>12.432285714285713</v>
      </c>
      <c r="AA189">
        <v>0.12393214299999999</v>
      </c>
    </row>
    <row r="190" spans="1:27" x14ac:dyDescent="0.25">
      <c r="A190" s="1">
        <v>45933</v>
      </c>
      <c r="B190">
        <v>6715.79</v>
      </c>
      <c r="C190">
        <v>6715</v>
      </c>
      <c r="D190" s="1">
        <v>45947</v>
      </c>
      <c r="E190" s="1">
        <v>45982</v>
      </c>
      <c r="F190">
        <v>30</v>
      </c>
      <c r="G190">
        <v>14</v>
      </c>
      <c r="H190">
        <v>49</v>
      </c>
      <c r="I190">
        <v>0.54285714285714282</v>
      </c>
      <c r="J190">
        <v>0.45714285714285713</v>
      </c>
      <c r="K190" t="s">
        <v>19</v>
      </c>
      <c r="L190" t="s">
        <v>322</v>
      </c>
      <c r="M190">
        <v>54.9</v>
      </c>
      <c r="N190">
        <v>53.9</v>
      </c>
      <c r="O190">
        <v>55.1</v>
      </c>
      <c r="P190">
        <v>54.5</v>
      </c>
      <c r="Q190" t="s">
        <v>21</v>
      </c>
      <c r="R190">
        <v>11.198</v>
      </c>
      <c r="S190" t="s">
        <v>323</v>
      </c>
      <c r="T190">
        <v>114.39</v>
      </c>
      <c r="U190">
        <v>118</v>
      </c>
      <c r="V190">
        <v>119.3</v>
      </c>
      <c r="W190">
        <v>118.65</v>
      </c>
      <c r="X190" t="s">
        <v>21</v>
      </c>
      <c r="Y190">
        <v>13.465</v>
      </c>
      <c r="Z190">
        <f t="shared" si="2"/>
        <v>12.234342857142856</v>
      </c>
      <c r="AA190">
        <v>0.122400143</v>
      </c>
    </row>
    <row r="191" spans="1:27" x14ac:dyDescent="0.25">
      <c r="A191" s="1">
        <v>45936</v>
      </c>
      <c r="B191">
        <v>6740.28</v>
      </c>
      <c r="C191">
        <v>6740</v>
      </c>
      <c r="D191" s="1">
        <v>45947</v>
      </c>
      <c r="E191" s="1">
        <v>45982</v>
      </c>
      <c r="F191">
        <v>30</v>
      </c>
      <c r="G191">
        <v>11</v>
      </c>
      <c r="H191">
        <v>46</v>
      </c>
      <c r="I191">
        <v>0.45714285714285713</v>
      </c>
      <c r="J191">
        <v>0.54285714285714282</v>
      </c>
      <c r="K191" t="s">
        <v>19</v>
      </c>
      <c r="L191" t="s">
        <v>324</v>
      </c>
      <c r="M191">
        <v>46.6</v>
      </c>
      <c r="N191">
        <v>46.3</v>
      </c>
      <c r="O191">
        <v>47.1</v>
      </c>
      <c r="P191">
        <v>46.7</v>
      </c>
      <c r="Q191" t="s">
        <v>21</v>
      </c>
      <c r="R191">
        <v>10.352</v>
      </c>
      <c r="S191" t="s">
        <v>325</v>
      </c>
      <c r="T191">
        <v>112.8</v>
      </c>
      <c r="U191">
        <v>113.4</v>
      </c>
      <c r="V191">
        <v>114.4</v>
      </c>
      <c r="W191">
        <v>113.9</v>
      </c>
      <c r="X191" t="s">
        <v>21</v>
      </c>
      <c r="Y191">
        <v>13.246</v>
      </c>
      <c r="Z191">
        <f t="shared" si="2"/>
        <v>11.923028571428571</v>
      </c>
      <c r="AA191">
        <v>0.11890199999999999</v>
      </c>
    </row>
    <row r="192" spans="1:27" x14ac:dyDescent="0.25">
      <c r="A192" s="1">
        <v>45937</v>
      </c>
      <c r="B192">
        <v>6714.59</v>
      </c>
      <c r="C192">
        <v>6715</v>
      </c>
      <c r="D192" s="1">
        <v>45947</v>
      </c>
      <c r="E192" s="1">
        <v>45982</v>
      </c>
      <c r="F192">
        <v>30</v>
      </c>
      <c r="G192">
        <v>10</v>
      </c>
      <c r="H192">
        <v>45</v>
      </c>
      <c r="I192">
        <v>0.42857142857142855</v>
      </c>
      <c r="J192">
        <v>0.5714285714285714</v>
      </c>
      <c r="K192" t="s">
        <v>19</v>
      </c>
      <c r="L192" t="s">
        <v>322</v>
      </c>
      <c r="M192">
        <v>49</v>
      </c>
      <c r="N192">
        <v>48.2</v>
      </c>
      <c r="O192">
        <v>49.3</v>
      </c>
      <c r="P192">
        <v>48.75</v>
      </c>
      <c r="Q192" t="s">
        <v>21</v>
      </c>
      <c r="R192">
        <v>11.518000000000001</v>
      </c>
      <c r="S192" t="s">
        <v>323</v>
      </c>
      <c r="T192">
        <v>117.65</v>
      </c>
      <c r="U192">
        <v>116.4</v>
      </c>
      <c r="V192">
        <v>117.7</v>
      </c>
      <c r="W192">
        <v>117.05000000000001</v>
      </c>
      <c r="X192" t="s">
        <v>21</v>
      </c>
      <c r="Y192">
        <v>13.865</v>
      </c>
      <c r="Z192">
        <f t="shared" si="2"/>
        <v>12.859142857142857</v>
      </c>
      <c r="AA192">
        <v>0.127751429</v>
      </c>
    </row>
    <row r="193" spans="1:27" x14ac:dyDescent="0.25">
      <c r="A193" s="1">
        <v>45938</v>
      </c>
      <c r="B193">
        <v>6753.72</v>
      </c>
      <c r="C193">
        <v>6755</v>
      </c>
      <c r="D193" s="1">
        <v>45947</v>
      </c>
      <c r="E193" s="1">
        <v>45982</v>
      </c>
      <c r="F193">
        <v>30</v>
      </c>
      <c r="G193">
        <v>9</v>
      </c>
      <c r="H193">
        <v>44</v>
      </c>
      <c r="I193">
        <v>0.4</v>
      </c>
      <c r="J193">
        <v>0.6</v>
      </c>
      <c r="K193" t="s">
        <v>19</v>
      </c>
      <c r="L193" t="s">
        <v>326</v>
      </c>
      <c r="M193">
        <v>40.03</v>
      </c>
      <c r="N193">
        <v>39</v>
      </c>
      <c r="O193">
        <v>41.3</v>
      </c>
      <c r="P193">
        <v>40.15</v>
      </c>
      <c r="Q193" t="s">
        <v>21</v>
      </c>
      <c r="R193">
        <v>9.9049999999999994</v>
      </c>
      <c r="S193" t="s">
        <v>327</v>
      </c>
      <c r="T193">
        <v>113.39</v>
      </c>
      <c r="U193">
        <v>109</v>
      </c>
      <c r="V193">
        <v>113.1</v>
      </c>
      <c r="W193">
        <v>111.05</v>
      </c>
      <c r="X193" t="s">
        <v>21</v>
      </c>
      <c r="Y193">
        <v>13.208</v>
      </c>
      <c r="Z193">
        <f t="shared" si="2"/>
        <v>11.886799999999999</v>
      </c>
      <c r="AA193">
        <v>0.118729</v>
      </c>
    </row>
    <row r="194" spans="1:27" x14ac:dyDescent="0.25">
      <c r="A194" s="1">
        <v>45939</v>
      </c>
      <c r="B194">
        <v>6735.11</v>
      </c>
      <c r="C194">
        <v>6735</v>
      </c>
      <c r="D194" s="1">
        <v>45947</v>
      </c>
      <c r="E194" s="1">
        <v>45982</v>
      </c>
      <c r="F194">
        <v>30</v>
      </c>
      <c r="G194">
        <v>8</v>
      </c>
      <c r="H194">
        <v>43</v>
      </c>
      <c r="I194">
        <v>0.37142857142857144</v>
      </c>
      <c r="J194">
        <v>0.62857142857142856</v>
      </c>
      <c r="K194" t="s">
        <v>19</v>
      </c>
      <c r="L194" t="s">
        <v>328</v>
      </c>
      <c r="M194">
        <v>42.9</v>
      </c>
      <c r="N194">
        <v>39.4</v>
      </c>
      <c r="O194">
        <v>40.700000000000003</v>
      </c>
      <c r="P194">
        <v>40.049999999999997</v>
      </c>
      <c r="Q194" t="s">
        <v>21</v>
      </c>
      <c r="R194">
        <v>10.58</v>
      </c>
      <c r="S194" t="s">
        <v>329</v>
      </c>
      <c r="T194">
        <v>113.9</v>
      </c>
      <c r="U194">
        <v>110.9</v>
      </c>
      <c r="V194">
        <v>113.1</v>
      </c>
      <c r="W194">
        <v>112</v>
      </c>
      <c r="X194" t="s">
        <v>21</v>
      </c>
      <c r="Y194">
        <v>13.401999999999999</v>
      </c>
      <c r="Z194">
        <f t="shared" si="2"/>
        <v>12.353828571428572</v>
      </c>
      <c r="AA194">
        <v>0.123534</v>
      </c>
    </row>
    <row r="195" spans="1:27" x14ac:dyDescent="0.25">
      <c r="A195" s="1">
        <v>45940</v>
      </c>
      <c r="B195">
        <v>6552.51</v>
      </c>
      <c r="C195">
        <v>6555</v>
      </c>
      <c r="D195" s="1">
        <v>45947</v>
      </c>
      <c r="E195" s="1">
        <v>45982</v>
      </c>
      <c r="F195">
        <v>30</v>
      </c>
      <c r="G195">
        <v>7</v>
      </c>
      <c r="H195">
        <v>42</v>
      </c>
      <c r="I195">
        <v>0.34285714285714286</v>
      </c>
      <c r="J195">
        <v>0.65714285714285714</v>
      </c>
      <c r="K195" t="s">
        <v>19</v>
      </c>
      <c r="L195" t="s">
        <v>330</v>
      </c>
      <c r="M195">
        <v>61.25</v>
      </c>
      <c r="N195">
        <v>94.6</v>
      </c>
      <c r="O195">
        <v>102.8</v>
      </c>
      <c r="P195">
        <v>98.699999999999989</v>
      </c>
      <c r="Q195" t="s">
        <v>21</v>
      </c>
      <c r="R195">
        <v>18.806999999999999</v>
      </c>
      <c r="S195" t="s">
        <v>331</v>
      </c>
      <c r="T195">
        <v>77.39</v>
      </c>
      <c r="U195">
        <v>164.1</v>
      </c>
      <c r="V195">
        <v>180.1</v>
      </c>
      <c r="W195">
        <v>172.1</v>
      </c>
      <c r="X195" t="s">
        <v>21</v>
      </c>
      <c r="Y195">
        <v>17.376000000000001</v>
      </c>
      <c r="Z195">
        <f t="shared" ref="Z195:Z251" si="3">I195*R195+Y195*J195</f>
        <v>17.866628571428571</v>
      </c>
      <c r="AA195">
        <v>0.17857814299999999</v>
      </c>
    </row>
    <row r="196" spans="1:27" x14ac:dyDescent="0.25">
      <c r="A196" s="1">
        <v>45943</v>
      </c>
      <c r="B196">
        <v>6654.72</v>
      </c>
      <c r="C196">
        <v>6655</v>
      </c>
      <c r="D196" s="1">
        <v>45947</v>
      </c>
      <c r="E196" s="1">
        <v>45982</v>
      </c>
      <c r="F196">
        <v>30</v>
      </c>
      <c r="G196">
        <v>4</v>
      </c>
      <c r="H196">
        <v>39</v>
      </c>
      <c r="I196">
        <v>0.25714285714285712</v>
      </c>
      <c r="J196">
        <v>0.74285714285714288</v>
      </c>
      <c r="K196" t="s">
        <v>19</v>
      </c>
      <c r="L196" t="s">
        <v>309</v>
      </c>
      <c r="M196">
        <v>40.78</v>
      </c>
      <c r="N196">
        <v>41.2</v>
      </c>
      <c r="O196">
        <v>42.2</v>
      </c>
      <c r="P196">
        <v>41.7</v>
      </c>
      <c r="Q196" t="s">
        <v>21</v>
      </c>
      <c r="R196">
        <v>12.48</v>
      </c>
      <c r="S196" t="s">
        <v>310</v>
      </c>
      <c r="T196">
        <v>120.4</v>
      </c>
      <c r="U196">
        <v>121.7</v>
      </c>
      <c r="V196">
        <v>123.4</v>
      </c>
      <c r="W196">
        <v>122.55000000000001</v>
      </c>
      <c r="X196" t="s">
        <v>21</v>
      </c>
      <c r="Y196">
        <v>14.792</v>
      </c>
      <c r="Z196">
        <f t="shared" si="3"/>
        <v>14.197485714285715</v>
      </c>
      <c r="AA196">
        <v>0.14221642900000001</v>
      </c>
    </row>
    <row r="197" spans="1:27" x14ac:dyDescent="0.25">
      <c r="A197" s="1">
        <v>45944</v>
      </c>
      <c r="B197">
        <v>6644.31</v>
      </c>
      <c r="C197">
        <v>6645</v>
      </c>
      <c r="D197" s="1">
        <v>45947</v>
      </c>
      <c r="E197" s="1">
        <v>45982</v>
      </c>
      <c r="F197">
        <v>30</v>
      </c>
      <c r="G197">
        <v>3</v>
      </c>
      <c r="H197">
        <v>38</v>
      </c>
      <c r="I197">
        <v>0.22857142857142856</v>
      </c>
      <c r="J197">
        <v>0.77142857142857146</v>
      </c>
      <c r="K197" t="s">
        <v>19</v>
      </c>
      <c r="L197" t="s">
        <v>314</v>
      </c>
      <c r="M197">
        <v>35.94</v>
      </c>
      <c r="N197">
        <v>38.200000000000003</v>
      </c>
      <c r="O197">
        <v>39.700000000000003</v>
      </c>
      <c r="P197">
        <v>38.950000000000003</v>
      </c>
      <c r="Q197" t="s">
        <v>21</v>
      </c>
      <c r="R197">
        <v>14.327</v>
      </c>
      <c r="S197" t="s">
        <v>315</v>
      </c>
      <c r="T197">
        <v>126.1</v>
      </c>
      <c r="U197">
        <v>127.2</v>
      </c>
      <c r="V197">
        <v>128.69999999999999</v>
      </c>
      <c r="W197">
        <v>127.94999999999999</v>
      </c>
      <c r="X197" t="s">
        <v>21</v>
      </c>
      <c r="Y197">
        <v>15.731999999999999</v>
      </c>
      <c r="Z197">
        <f t="shared" si="3"/>
        <v>15.410857142857143</v>
      </c>
      <c r="AA197">
        <v>0.15336757100000001</v>
      </c>
    </row>
    <row r="198" spans="1:27" x14ac:dyDescent="0.25">
      <c r="A198" s="1">
        <v>45945</v>
      </c>
      <c r="B198">
        <v>6671.06</v>
      </c>
      <c r="C198">
        <v>6670</v>
      </c>
      <c r="D198" s="1">
        <v>45947</v>
      </c>
      <c r="E198" s="1">
        <v>45982</v>
      </c>
      <c r="F198">
        <v>30</v>
      </c>
      <c r="G198">
        <v>2</v>
      </c>
      <c r="H198">
        <v>37</v>
      </c>
      <c r="I198">
        <v>0.2</v>
      </c>
      <c r="J198">
        <v>0.8</v>
      </c>
      <c r="K198" t="s">
        <v>19</v>
      </c>
      <c r="L198" t="s">
        <v>332</v>
      </c>
      <c r="M198">
        <v>26.3</v>
      </c>
      <c r="N198">
        <v>28.5</v>
      </c>
      <c r="O198">
        <v>29.5</v>
      </c>
      <c r="P198">
        <v>29</v>
      </c>
      <c r="Q198" t="s">
        <v>21</v>
      </c>
      <c r="R198">
        <v>13.897</v>
      </c>
      <c r="S198" t="s">
        <v>333</v>
      </c>
      <c r="T198">
        <v>122.73</v>
      </c>
      <c r="U198">
        <v>124.4</v>
      </c>
      <c r="V198">
        <v>127.5</v>
      </c>
      <c r="W198">
        <v>125.95</v>
      </c>
      <c r="X198" t="s">
        <v>21</v>
      </c>
      <c r="Y198">
        <v>15.952999999999999</v>
      </c>
      <c r="Z198">
        <f t="shared" si="3"/>
        <v>15.5418</v>
      </c>
      <c r="AA198">
        <v>0.15532599999999999</v>
      </c>
    </row>
    <row r="199" spans="1:27" x14ac:dyDescent="0.25">
      <c r="A199" s="1">
        <v>45946</v>
      </c>
      <c r="B199">
        <v>6629.07</v>
      </c>
      <c r="C199">
        <v>6630</v>
      </c>
      <c r="D199" s="1">
        <v>45947</v>
      </c>
      <c r="E199" s="1">
        <v>45982</v>
      </c>
      <c r="F199">
        <v>30</v>
      </c>
      <c r="G199">
        <v>1</v>
      </c>
      <c r="H199">
        <v>36</v>
      </c>
      <c r="I199">
        <v>0.17142857142857143</v>
      </c>
      <c r="J199">
        <v>0.82857142857142863</v>
      </c>
      <c r="K199" t="s">
        <v>19</v>
      </c>
      <c r="L199" t="s">
        <v>304</v>
      </c>
      <c r="M199">
        <v>30.85</v>
      </c>
      <c r="N199">
        <v>26.1</v>
      </c>
      <c r="O199">
        <v>27.5</v>
      </c>
      <c r="P199">
        <v>26.8</v>
      </c>
      <c r="Q199" t="s">
        <v>21</v>
      </c>
      <c r="R199">
        <v>15.369</v>
      </c>
      <c r="S199" t="s">
        <v>334</v>
      </c>
      <c r="T199">
        <v>146.1</v>
      </c>
      <c r="U199">
        <v>151.5</v>
      </c>
      <c r="V199">
        <v>154.19999999999999</v>
      </c>
      <c r="W199">
        <v>152.85</v>
      </c>
      <c r="X199" t="s">
        <v>21</v>
      </c>
      <c r="Y199">
        <v>18.643999999999998</v>
      </c>
      <c r="Z199">
        <f t="shared" si="3"/>
        <v>18.082571428571427</v>
      </c>
      <c r="AA199">
        <v>0.181470143</v>
      </c>
    </row>
    <row r="200" spans="1:27" x14ac:dyDescent="0.25">
      <c r="A200" s="1">
        <v>45947</v>
      </c>
      <c r="B200">
        <v>6664.01</v>
      </c>
      <c r="C200">
        <v>6665</v>
      </c>
      <c r="D200" s="1">
        <v>45982</v>
      </c>
      <c r="E200" s="1">
        <v>46010</v>
      </c>
      <c r="F200">
        <v>30</v>
      </c>
      <c r="G200">
        <v>35</v>
      </c>
      <c r="H200">
        <v>63</v>
      </c>
      <c r="I200">
        <v>1</v>
      </c>
      <c r="J200">
        <v>0</v>
      </c>
      <c r="K200" t="s">
        <v>19</v>
      </c>
      <c r="L200" t="s">
        <v>306</v>
      </c>
      <c r="M200">
        <v>123.6</v>
      </c>
      <c r="N200">
        <v>119.5</v>
      </c>
      <c r="O200">
        <v>121.4</v>
      </c>
      <c r="P200">
        <v>120.45</v>
      </c>
      <c r="Q200" t="s">
        <v>21</v>
      </c>
      <c r="R200">
        <v>16.347000000000001</v>
      </c>
      <c r="S200" t="s">
        <v>335</v>
      </c>
      <c r="T200">
        <v>164.36</v>
      </c>
      <c r="U200">
        <v>158.9</v>
      </c>
      <c r="V200">
        <v>160.9</v>
      </c>
      <c r="W200">
        <v>159.9</v>
      </c>
      <c r="X200" t="s">
        <v>21</v>
      </c>
      <c r="Y200">
        <v>16.579999999999998</v>
      </c>
      <c r="Z200">
        <f t="shared" si="3"/>
        <v>16.347000000000001</v>
      </c>
      <c r="AA200">
        <v>0.16314000000000001</v>
      </c>
    </row>
    <row r="201" spans="1:27" x14ac:dyDescent="0.25">
      <c r="A201" s="1">
        <v>45950</v>
      </c>
      <c r="B201">
        <v>6735.13</v>
      </c>
      <c r="C201">
        <v>6735</v>
      </c>
      <c r="D201" s="1">
        <v>45982</v>
      </c>
      <c r="E201" s="1">
        <v>46010</v>
      </c>
      <c r="F201">
        <v>30</v>
      </c>
      <c r="G201">
        <v>32</v>
      </c>
      <c r="H201">
        <v>60</v>
      </c>
      <c r="I201">
        <v>1</v>
      </c>
      <c r="J201">
        <v>0</v>
      </c>
      <c r="K201" t="s">
        <v>19</v>
      </c>
      <c r="L201" t="s">
        <v>329</v>
      </c>
      <c r="M201">
        <v>104.08</v>
      </c>
      <c r="N201">
        <v>99.8</v>
      </c>
      <c r="O201">
        <v>101.2</v>
      </c>
      <c r="P201">
        <v>100.5</v>
      </c>
      <c r="Q201" t="s">
        <v>21</v>
      </c>
      <c r="R201">
        <v>13.906000000000001</v>
      </c>
      <c r="S201" t="s">
        <v>336</v>
      </c>
      <c r="T201">
        <v>142.5</v>
      </c>
      <c r="U201">
        <v>139.1</v>
      </c>
      <c r="V201">
        <v>140.80000000000001</v>
      </c>
      <c r="W201">
        <v>139.94999999999999</v>
      </c>
      <c r="X201" t="s">
        <v>21</v>
      </c>
      <c r="Y201">
        <v>14.728</v>
      </c>
      <c r="Z201">
        <f t="shared" si="3"/>
        <v>13.906000000000001</v>
      </c>
      <c r="AA201">
        <v>0.13897000000000001</v>
      </c>
    </row>
    <row r="202" spans="1:27" x14ac:dyDescent="0.25">
      <c r="A202" s="1">
        <v>45951</v>
      </c>
      <c r="B202">
        <v>6735.35</v>
      </c>
      <c r="C202">
        <v>6735</v>
      </c>
      <c r="D202" s="1">
        <v>45982</v>
      </c>
      <c r="E202" s="1">
        <v>46010</v>
      </c>
      <c r="F202">
        <v>30</v>
      </c>
      <c r="G202">
        <v>31</v>
      </c>
      <c r="H202">
        <v>59</v>
      </c>
      <c r="I202">
        <v>1</v>
      </c>
      <c r="J202">
        <v>0</v>
      </c>
      <c r="K202" t="s">
        <v>19</v>
      </c>
      <c r="L202" t="s">
        <v>329</v>
      </c>
      <c r="M202">
        <v>104.5</v>
      </c>
      <c r="N202">
        <v>99.2</v>
      </c>
      <c r="O202">
        <v>100.7</v>
      </c>
      <c r="P202">
        <v>99.95</v>
      </c>
      <c r="Q202" t="s">
        <v>21</v>
      </c>
      <c r="R202">
        <v>13.775</v>
      </c>
      <c r="S202" t="s">
        <v>336</v>
      </c>
      <c r="T202">
        <v>144</v>
      </c>
      <c r="U202">
        <v>138.69999999999999</v>
      </c>
      <c r="V202">
        <v>140.19999999999999</v>
      </c>
      <c r="W202">
        <v>139.44999999999999</v>
      </c>
      <c r="X202" t="s">
        <v>21</v>
      </c>
      <c r="Y202">
        <v>14.614000000000001</v>
      </c>
      <c r="Z202">
        <f t="shared" si="3"/>
        <v>13.775</v>
      </c>
      <c r="AA202">
        <v>0.137765</v>
      </c>
    </row>
    <row r="203" spans="1:27" x14ac:dyDescent="0.25">
      <c r="A203" s="1">
        <v>45952</v>
      </c>
      <c r="B203">
        <v>6699.4</v>
      </c>
      <c r="C203">
        <v>6700</v>
      </c>
      <c r="D203" s="1">
        <v>45982</v>
      </c>
      <c r="E203" s="1">
        <v>46010</v>
      </c>
      <c r="F203">
        <v>30</v>
      </c>
      <c r="G203">
        <v>30</v>
      </c>
      <c r="H203">
        <v>58</v>
      </c>
      <c r="I203">
        <v>1</v>
      </c>
      <c r="J203">
        <v>0</v>
      </c>
      <c r="K203" t="s">
        <v>19</v>
      </c>
      <c r="L203" t="s">
        <v>337</v>
      </c>
      <c r="M203">
        <v>101.02</v>
      </c>
      <c r="N203">
        <v>102.2</v>
      </c>
      <c r="O203">
        <v>103.7</v>
      </c>
      <c r="P203">
        <v>102.95</v>
      </c>
      <c r="Q203" t="s">
        <v>21</v>
      </c>
      <c r="R203">
        <v>14.448</v>
      </c>
      <c r="S203" t="s">
        <v>338</v>
      </c>
      <c r="T203">
        <v>140.80000000000001</v>
      </c>
      <c r="U203">
        <v>141.5</v>
      </c>
      <c r="V203">
        <v>143.80000000000001</v>
      </c>
      <c r="W203">
        <v>142.65</v>
      </c>
      <c r="X203" t="s">
        <v>21</v>
      </c>
      <c r="Y203">
        <v>15.038</v>
      </c>
      <c r="Z203">
        <f t="shared" si="3"/>
        <v>14.448</v>
      </c>
      <c r="AA203">
        <v>0.14455000000000001</v>
      </c>
    </row>
    <row r="204" spans="1:27" x14ac:dyDescent="0.25">
      <c r="A204" s="1">
        <v>45953</v>
      </c>
      <c r="B204">
        <v>6738.44</v>
      </c>
      <c r="C204">
        <v>6740</v>
      </c>
      <c r="D204" s="1">
        <v>45982</v>
      </c>
      <c r="E204" s="1">
        <v>46010</v>
      </c>
      <c r="F204">
        <v>30</v>
      </c>
      <c r="G204">
        <v>29</v>
      </c>
      <c r="H204">
        <v>57</v>
      </c>
      <c r="I204">
        <v>0.9642857142857143</v>
      </c>
      <c r="J204">
        <v>3.5714285714285712E-2</v>
      </c>
      <c r="K204" t="s">
        <v>19</v>
      </c>
      <c r="L204" t="s">
        <v>325</v>
      </c>
      <c r="M204">
        <v>93.87</v>
      </c>
      <c r="N204">
        <v>92.8</v>
      </c>
      <c r="O204">
        <v>94.3</v>
      </c>
      <c r="P204">
        <v>93.55</v>
      </c>
      <c r="Q204" t="s">
        <v>21</v>
      </c>
      <c r="R204">
        <v>13.456</v>
      </c>
      <c r="S204" t="s">
        <v>339</v>
      </c>
      <c r="T204">
        <v>131.1</v>
      </c>
      <c r="U204">
        <v>133.9</v>
      </c>
      <c r="V204">
        <v>135.5</v>
      </c>
      <c r="W204">
        <v>134.69999999999999</v>
      </c>
      <c r="X204" t="s">
        <v>21</v>
      </c>
      <c r="Y204">
        <v>14.363</v>
      </c>
      <c r="Z204">
        <f t="shared" si="3"/>
        <v>13.488392857142857</v>
      </c>
      <c r="AA204">
        <v>0.13484660700000001</v>
      </c>
    </row>
    <row r="205" spans="1:27" x14ac:dyDescent="0.25">
      <c r="A205" s="1">
        <v>45954</v>
      </c>
      <c r="B205">
        <v>6791.69</v>
      </c>
      <c r="C205">
        <v>6790</v>
      </c>
      <c r="D205" s="1">
        <v>45982</v>
      </c>
      <c r="E205" s="1">
        <v>46010</v>
      </c>
      <c r="F205">
        <v>30</v>
      </c>
      <c r="G205">
        <v>28</v>
      </c>
      <c r="H205">
        <v>56</v>
      </c>
      <c r="I205">
        <v>0.9285714285714286</v>
      </c>
      <c r="J205">
        <v>7.1428571428571425E-2</v>
      </c>
      <c r="K205" t="s">
        <v>19</v>
      </c>
      <c r="L205" t="s">
        <v>340</v>
      </c>
      <c r="M205">
        <v>87.5</v>
      </c>
      <c r="N205">
        <v>86.7</v>
      </c>
      <c r="O205">
        <v>88.3</v>
      </c>
      <c r="P205">
        <v>87.5</v>
      </c>
      <c r="Q205" t="s">
        <v>21</v>
      </c>
      <c r="R205">
        <v>12.83</v>
      </c>
      <c r="S205" t="s">
        <v>341</v>
      </c>
      <c r="T205">
        <v>127</v>
      </c>
      <c r="U205">
        <v>129</v>
      </c>
      <c r="V205">
        <v>130.69999999999999</v>
      </c>
      <c r="W205">
        <v>129.85</v>
      </c>
      <c r="X205" t="s">
        <v>21</v>
      </c>
      <c r="Y205">
        <v>13.941000000000001</v>
      </c>
      <c r="Z205">
        <f t="shared" si="3"/>
        <v>12.909357142857143</v>
      </c>
      <c r="AA205">
        <v>0.12870999999999999</v>
      </c>
    </row>
    <row r="206" spans="1:27" x14ac:dyDescent="0.25">
      <c r="A206" s="1">
        <v>45957</v>
      </c>
      <c r="B206">
        <v>6875.16</v>
      </c>
      <c r="C206">
        <v>6875</v>
      </c>
      <c r="D206" s="1">
        <v>45982</v>
      </c>
      <c r="E206" s="1">
        <v>46010</v>
      </c>
      <c r="F206">
        <v>30</v>
      </c>
      <c r="G206">
        <v>25</v>
      </c>
      <c r="H206">
        <v>53</v>
      </c>
      <c r="I206">
        <v>0.8214285714285714</v>
      </c>
      <c r="J206">
        <v>0.17857142857142858</v>
      </c>
      <c r="K206" t="s">
        <v>19</v>
      </c>
      <c r="L206" t="s">
        <v>342</v>
      </c>
      <c r="M206">
        <v>83.91</v>
      </c>
      <c r="N206">
        <v>80.900000000000006</v>
      </c>
      <c r="O206">
        <v>82.5</v>
      </c>
      <c r="P206">
        <v>81.7</v>
      </c>
      <c r="Q206" t="s">
        <v>21</v>
      </c>
      <c r="R206">
        <v>12.292999999999999</v>
      </c>
      <c r="S206" t="s">
        <v>343</v>
      </c>
      <c r="T206">
        <v>133.22999999999999</v>
      </c>
      <c r="U206">
        <v>125.1</v>
      </c>
      <c r="V206">
        <v>127</v>
      </c>
      <c r="W206">
        <v>126.05</v>
      </c>
      <c r="X206" t="s">
        <v>21</v>
      </c>
      <c r="Y206">
        <v>13.688000000000001</v>
      </c>
      <c r="Z206">
        <f t="shared" si="3"/>
        <v>12.542107142857141</v>
      </c>
      <c r="AA206">
        <v>0.124510893</v>
      </c>
    </row>
    <row r="207" spans="1:27" x14ac:dyDescent="0.25">
      <c r="A207" s="1">
        <v>45958</v>
      </c>
      <c r="B207">
        <v>6890.89</v>
      </c>
      <c r="C207">
        <v>6890</v>
      </c>
      <c r="D207" s="1">
        <v>45982</v>
      </c>
      <c r="E207" s="1">
        <v>46010</v>
      </c>
      <c r="F207">
        <v>30</v>
      </c>
      <c r="G207">
        <v>24</v>
      </c>
      <c r="H207">
        <v>52</v>
      </c>
      <c r="I207">
        <v>0.7857142857142857</v>
      </c>
      <c r="J207">
        <v>0.21428571428571427</v>
      </c>
      <c r="K207" t="s">
        <v>19</v>
      </c>
      <c r="L207" t="s">
        <v>344</v>
      </c>
      <c r="M207">
        <v>79.53</v>
      </c>
      <c r="N207">
        <v>84.9</v>
      </c>
      <c r="O207">
        <v>86.4</v>
      </c>
      <c r="P207">
        <v>85.65</v>
      </c>
      <c r="Q207" t="s">
        <v>21</v>
      </c>
      <c r="R207">
        <v>13.006</v>
      </c>
      <c r="S207" t="s">
        <v>345</v>
      </c>
      <c r="T207">
        <v>127.6</v>
      </c>
      <c r="U207">
        <v>131.1</v>
      </c>
      <c r="V207">
        <v>132.80000000000001</v>
      </c>
      <c r="W207">
        <v>131.94999999999999</v>
      </c>
      <c r="X207" t="s">
        <v>21</v>
      </c>
      <c r="Y207">
        <v>14.301</v>
      </c>
      <c r="Z207">
        <f t="shared" si="3"/>
        <v>13.2835</v>
      </c>
      <c r="AA207">
        <v>0.13294535699999999</v>
      </c>
    </row>
    <row r="208" spans="1:27" x14ac:dyDescent="0.25">
      <c r="A208" s="1">
        <v>45959</v>
      </c>
      <c r="B208">
        <v>6890.59</v>
      </c>
      <c r="C208">
        <v>6890</v>
      </c>
      <c r="D208" s="1">
        <v>45982</v>
      </c>
      <c r="E208" s="1">
        <v>46010</v>
      </c>
      <c r="F208">
        <v>30</v>
      </c>
      <c r="G208">
        <v>23</v>
      </c>
      <c r="H208">
        <v>51</v>
      </c>
      <c r="I208">
        <v>0.75</v>
      </c>
      <c r="J208">
        <v>0.25</v>
      </c>
      <c r="K208" t="s">
        <v>19</v>
      </c>
      <c r="L208" t="s">
        <v>344</v>
      </c>
      <c r="M208">
        <v>98</v>
      </c>
      <c r="N208">
        <v>91</v>
      </c>
      <c r="O208">
        <v>93.7</v>
      </c>
      <c r="P208">
        <v>92.35</v>
      </c>
      <c r="Q208" t="s">
        <v>21</v>
      </c>
      <c r="R208">
        <v>13.77</v>
      </c>
      <c r="S208" t="s">
        <v>345</v>
      </c>
      <c r="T208">
        <v>151</v>
      </c>
      <c r="U208">
        <v>137.30000000000001</v>
      </c>
      <c r="V208">
        <v>140.6</v>
      </c>
      <c r="W208">
        <v>138.94999999999999</v>
      </c>
      <c r="X208" t="s">
        <v>21</v>
      </c>
      <c r="Y208">
        <v>14.76</v>
      </c>
      <c r="Z208">
        <f t="shared" si="3"/>
        <v>14.0175</v>
      </c>
      <c r="AA208">
        <v>0.14076</v>
      </c>
    </row>
    <row r="209" spans="1:27" x14ac:dyDescent="0.25">
      <c r="A209" s="1">
        <v>45960</v>
      </c>
      <c r="B209">
        <v>6822.34</v>
      </c>
      <c r="C209">
        <v>6820</v>
      </c>
      <c r="D209" s="1">
        <v>45982</v>
      </c>
      <c r="E209" s="1">
        <v>46010</v>
      </c>
      <c r="F209">
        <v>30</v>
      </c>
      <c r="G209">
        <v>22</v>
      </c>
      <c r="H209">
        <v>50</v>
      </c>
      <c r="I209">
        <v>0.7142857142857143</v>
      </c>
      <c r="J209">
        <v>0.2857142857142857</v>
      </c>
      <c r="K209" t="s">
        <v>19</v>
      </c>
      <c r="L209" t="s">
        <v>346</v>
      </c>
      <c r="M209">
        <v>86.8</v>
      </c>
      <c r="N209">
        <v>69.099999999999994</v>
      </c>
      <c r="O209">
        <v>70.7</v>
      </c>
      <c r="P209">
        <v>69.900000000000006</v>
      </c>
      <c r="Q209" t="s">
        <v>21</v>
      </c>
      <c r="R209">
        <v>14.15</v>
      </c>
      <c r="S209" t="s">
        <v>347</v>
      </c>
      <c r="T209">
        <v>137.94</v>
      </c>
      <c r="U209">
        <v>118.6</v>
      </c>
      <c r="V209">
        <v>120.8</v>
      </c>
      <c r="W209">
        <v>119.69999999999999</v>
      </c>
      <c r="X209" t="s">
        <v>21</v>
      </c>
      <c r="Y209">
        <v>15.335000000000001</v>
      </c>
      <c r="Z209">
        <f t="shared" si="3"/>
        <v>14.488571428571429</v>
      </c>
      <c r="AA209">
        <v>0.14456428599999999</v>
      </c>
    </row>
    <row r="210" spans="1:27" x14ac:dyDescent="0.25">
      <c r="A210" s="1">
        <v>45961</v>
      </c>
      <c r="B210">
        <v>6840.2</v>
      </c>
      <c r="C210">
        <v>6840</v>
      </c>
      <c r="D210" s="1">
        <v>45982</v>
      </c>
      <c r="E210" s="1">
        <v>46010</v>
      </c>
      <c r="F210">
        <v>30</v>
      </c>
      <c r="G210">
        <v>21</v>
      </c>
      <c r="H210">
        <v>49</v>
      </c>
      <c r="I210">
        <v>0.6785714285714286</v>
      </c>
      <c r="J210">
        <v>0.32142857142857145</v>
      </c>
      <c r="K210" t="s">
        <v>19</v>
      </c>
      <c r="L210" t="s">
        <v>348</v>
      </c>
      <c r="M210">
        <v>87.78</v>
      </c>
      <c r="N210">
        <v>85.6</v>
      </c>
      <c r="O210">
        <v>86.8</v>
      </c>
      <c r="P210">
        <v>86.199999999999989</v>
      </c>
      <c r="Q210" t="s">
        <v>21</v>
      </c>
      <c r="R210">
        <v>14.234999999999999</v>
      </c>
      <c r="S210" t="s">
        <v>349</v>
      </c>
      <c r="T210">
        <v>140</v>
      </c>
      <c r="U210">
        <v>137.1</v>
      </c>
      <c r="V210">
        <v>138.69999999999999</v>
      </c>
      <c r="W210">
        <v>137.89999999999998</v>
      </c>
      <c r="X210" t="s">
        <v>21</v>
      </c>
      <c r="Y210">
        <v>15.539</v>
      </c>
      <c r="Z210">
        <f t="shared" si="3"/>
        <v>14.654142857142858</v>
      </c>
      <c r="AA210">
        <v>0.14585178600000001</v>
      </c>
    </row>
    <row r="211" spans="1:27" x14ac:dyDescent="0.25">
      <c r="A211" s="1">
        <v>45964</v>
      </c>
      <c r="B211">
        <v>6851.97</v>
      </c>
      <c r="C211">
        <v>6850</v>
      </c>
      <c r="D211" s="1">
        <v>45982</v>
      </c>
      <c r="E211" s="1">
        <v>46010</v>
      </c>
      <c r="F211">
        <v>30</v>
      </c>
      <c r="G211">
        <v>18</v>
      </c>
      <c r="H211">
        <v>46</v>
      </c>
      <c r="I211">
        <v>0.5714285714285714</v>
      </c>
      <c r="J211">
        <v>0.42857142857142855</v>
      </c>
      <c r="K211" t="s">
        <v>19</v>
      </c>
      <c r="L211" t="s">
        <v>350</v>
      </c>
      <c r="M211">
        <v>76.5</v>
      </c>
      <c r="N211">
        <v>76.400000000000006</v>
      </c>
      <c r="O211">
        <v>77.7</v>
      </c>
      <c r="P211">
        <v>77.050000000000011</v>
      </c>
      <c r="Q211" t="s">
        <v>21</v>
      </c>
      <c r="R211">
        <v>13.659000000000001</v>
      </c>
      <c r="S211" t="s">
        <v>351</v>
      </c>
      <c r="T211">
        <v>131.33000000000001</v>
      </c>
      <c r="U211">
        <v>130</v>
      </c>
      <c r="V211">
        <v>131.6</v>
      </c>
      <c r="W211">
        <v>130.80000000000001</v>
      </c>
      <c r="X211" t="s">
        <v>21</v>
      </c>
      <c r="Y211">
        <v>15.208</v>
      </c>
      <c r="Z211">
        <f t="shared" si="3"/>
        <v>14.322857142857142</v>
      </c>
      <c r="AA211">
        <v>0.13973928599999999</v>
      </c>
    </row>
    <row r="212" spans="1:27" x14ac:dyDescent="0.25">
      <c r="A212" s="1">
        <v>45965</v>
      </c>
      <c r="B212">
        <v>6771.55</v>
      </c>
      <c r="C212">
        <v>6770</v>
      </c>
      <c r="D212" s="1">
        <v>45982</v>
      </c>
      <c r="E212" s="1">
        <v>46010</v>
      </c>
      <c r="F212">
        <v>30</v>
      </c>
      <c r="G212">
        <v>17</v>
      </c>
      <c r="H212">
        <v>45</v>
      </c>
      <c r="I212">
        <v>0.5357142857142857</v>
      </c>
      <c r="J212">
        <v>0.4642857142857143</v>
      </c>
      <c r="K212" t="s">
        <v>19</v>
      </c>
      <c r="L212" t="s">
        <v>352</v>
      </c>
      <c r="M212">
        <v>83.31</v>
      </c>
      <c r="N212">
        <v>82</v>
      </c>
      <c r="O212">
        <v>83.5</v>
      </c>
      <c r="P212">
        <v>82.75</v>
      </c>
      <c r="Q212" t="s">
        <v>21</v>
      </c>
      <c r="R212">
        <v>15.032</v>
      </c>
      <c r="S212" t="s">
        <v>353</v>
      </c>
      <c r="T212">
        <v>136.9</v>
      </c>
      <c r="U212">
        <v>134.69999999999999</v>
      </c>
      <c r="V212">
        <v>136.6</v>
      </c>
      <c r="W212">
        <v>135.64999999999998</v>
      </c>
      <c r="X212" t="s">
        <v>21</v>
      </c>
      <c r="Y212">
        <v>15.975</v>
      </c>
      <c r="Z212">
        <f t="shared" si="3"/>
        <v>15.469821428571429</v>
      </c>
      <c r="AA212">
        <v>0.154617857</v>
      </c>
    </row>
    <row r="213" spans="1:27" x14ac:dyDescent="0.25">
      <c r="A213" s="1">
        <v>45966</v>
      </c>
      <c r="B213">
        <v>6796.29</v>
      </c>
      <c r="C213">
        <v>6795</v>
      </c>
      <c r="D213" s="1">
        <v>45982</v>
      </c>
      <c r="E213" s="1">
        <v>46010</v>
      </c>
      <c r="F213">
        <v>30</v>
      </c>
      <c r="G213">
        <v>16</v>
      </c>
      <c r="H213">
        <v>44</v>
      </c>
      <c r="I213">
        <v>0.5</v>
      </c>
      <c r="J213">
        <v>0.5</v>
      </c>
      <c r="K213" t="s">
        <v>19</v>
      </c>
      <c r="L213" t="s">
        <v>354</v>
      </c>
      <c r="M213">
        <v>77</v>
      </c>
      <c r="N213">
        <v>74.099999999999994</v>
      </c>
      <c r="O213">
        <v>75.7</v>
      </c>
      <c r="P213">
        <v>74.900000000000006</v>
      </c>
      <c r="Q213" t="s">
        <v>21</v>
      </c>
      <c r="R213">
        <v>14.194000000000001</v>
      </c>
      <c r="S213" t="s">
        <v>355</v>
      </c>
      <c r="T213">
        <v>116.6</v>
      </c>
      <c r="U213">
        <v>127.2</v>
      </c>
      <c r="V213">
        <v>129.4</v>
      </c>
      <c r="W213">
        <v>128.30000000000001</v>
      </c>
      <c r="X213" t="s">
        <v>21</v>
      </c>
      <c r="Y213">
        <v>15.361000000000001</v>
      </c>
      <c r="Z213">
        <f t="shared" si="3"/>
        <v>14.7775</v>
      </c>
      <c r="AA213">
        <v>0.14672499999999999</v>
      </c>
    </row>
    <row r="214" spans="1:27" x14ac:dyDescent="0.25">
      <c r="A214" s="1">
        <v>45967</v>
      </c>
      <c r="B214">
        <v>6720.32</v>
      </c>
      <c r="C214">
        <v>6720</v>
      </c>
      <c r="D214" s="1">
        <v>45982</v>
      </c>
      <c r="E214" s="1">
        <v>46010</v>
      </c>
      <c r="F214">
        <v>30</v>
      </c>
      <c r="G214">
        <v>15</v>
      </c>
      <c r="H214">
        <v>43</v>
      </c>
      <c r="I214">
        <v>0.4642857142857143</v>
      </c>
      <c r="J214">
        <v>0.5357142857142857</v>
      </c>
      <c r="K214" t="s">
        <v>19</v>
      </c>
      <c r="L214" t="s">
        <v>356</v>
      </c>
      <c r="M214">
        <v>81.2</v>
      </c>
      <c r="N214">
        <v>75.7</v>
      </c>
      <c r="O214">
        <v>76.900000000000006</v>
      </c>
      <c r="P214">
        <v>76.300000000000011</v>
      </c>
      <c r="Q214" t="s">
        <v>21</v>
      </c>
      <c r="R214">
        <v>16.125</v>
      </c>
      <c r="S214" t="s">
        <v>357</v>
      </c>
      <c r="T214">
        <v>133.19999999999999</v>
      </c>
      <c r="U214">
        <v>129.6</v>
      </c>
      <c r="V214">
        <v>131.1</v>
      </c>
      <c r="W214">
        <v>130.35</v>
      </c>
      <c r="X214" t="s">
        <v>21</v>
      </c>
      <c r="Y214">
        <v>16.510999999999999</v>
      </c>
      <c r="Z214">
        <f t="shared" si="3"/>
        <v>16.331785714285715</v>
      </c>
      <c r="AA214">
        <v>0.16310839299999999</v>
      </c>
    </row>
    <row r="215" spans="1:27" x14ac:dyDescent="0.25">
      <c r="A215" s="1">
        <v>45968</v>
      </c>
      <c r="B215">
        <v>6728.8</v>
      </c>
      <c r="C215">
        <v>6730</v>
      </c>
      <c r="D215" s="1">
        <v>45982</v>
      </c>
      <c r="E215" s="1">
        <v>46010</v>
      </c>
      <c r="F215">
        <v>30</v>
      </c>
      <c r="G215">
        <v>14</v>
      </c>
      <c r="H215">
        <v>42</v>
      </c>
      <c r="I215">
        <v>0.42857142857142855</v>
      </c>
      <c r="J215">
        <v>0.5714285714285714</v>
      </c>
      <c r="K215" t="s">
        <v>19</v>
      </c>
      <c r="L215" t="s">
        <v>358</v>
      </c>
      <c r="M215">
        <v>77.569999999999993</v>
      </c>
      <c r="N215">
        <v>73.900000000000006</v>
      </c>
      <c r="O215">
        <v>75.5</v>
      </c>
      <c r="P215">
        <v>74.7</v>
      </c>
      <c r="Q215" t="s">
        <v>21</v>
      </c>
      <c r="R215">
        <v>15.669</v>
      </c>
      <c r="S215" t="s">
        <v>359</v>
      </c>
      <c r="T215">
        <v>132.4</v>
      </c>
      <c r="U215">
        <v>128.6</v>
      </c>
      <c r="V215">
        <v>130.9</v>
      </c>
      <c r="W215">
        <v>129.75</v>
      </c>
      <c r="X215" t="s">
        <v>21</v>
      </c>
      <c r="Y215">
        <v>16.207999999999998</v>
      </c>
      <c r="Z215">
        <f t="shared" si="3"/>
        <v>15.976999999999997</v>
      </c>
      <c r="AA215">
        <v>0.16003642900000001</v>
      </c>
    </row>
    <row r="216" spans="1:27" x14ac:dyDescent="0.25">
      <c r="A216" s="1">
        <v>45971</v>
      </c>
      <c r="B216">
        <v>6832.43</v>
      </c>
      <c r="C216">
        <v>6830</v>
      </c>
      <c r="D216" s="1">
        <v>45982</v>
      </c>
      <c r="E216" s="1">
        <v>46010</v>
      </c>
      <c r="F216">
        <v>30</v>
      </c>
      <c r="G216">
        <v>11</v>
      </c>
      <c r="H216">
        <v>39</v>
      </c>
      <c r="I216">
        <v>0.32142857142857145</v>
      </c>
      <c r="J216">
        <v>0.6785714285714286</v>
      </c>
      <c r="K216" t="s">
        <v>19</v>
      </c>
      <c r="L216" t="s">
        <v>360</v>
      </c>
      <c r="M216">
        <v>60.8</v>
      </c>
      <c r="N216">
        <v>60</v>
      </c>
      <c r="O216">
        <v>61</v>
      </c>
      <c r="P216">
        <v>60.5</v>
      </c>
      <c r="Q216" t="s">
        <v>21</v>
      </c>
      <c r="R216">
        <v>13.007999999999999</v>
      </c>
      <c r="S216" t="s">
        <v>361</v>
      </c>
      <c r="T216">
        <v>116.9</v>
      </c>
      <c r="U216">
        <v>116.8</v>
      </c>
      <c r="V216">
        <v>118.2</v>
      </c>
      <c r="W216">
        <v>117.5</v>
      </c>
      <c r="X216" t="s">
        <v>21</v>
      </c>
      <c r="Y216">
        <v>14.579000000000001</v>
      </c>
      <c r="Z216">
        <f t="shared" si="3"/>
        <v>14.074035714285715</v>
      </c>
      <c r="AA216">
        <v>0.14036607100000001</v>
      </c>
    </row>
    <row r="217" spans="1:27" x14ac:dyDescent="0.25">
      <c r="A217" s="1">
        <v>45972</v>
      </c>
      <c r="B217">
        <v>6846.61</v>
      </c>
      <c r="C217">
        <v>6845</v>
      </c>
      <c r="D217" s="1">
        <v>45982</v>
      </c>
      <c r="E217" s="1">
        <v>46010</v>
      </c>
      <c r="F217">
        <v>30</v>
      </c>
      <c r="G217">
        <v>10</v>
      </c>
      <c r="H217">
        <v>38</v>
      </c>
      <c r="I217">
        <v>0.2857142857142857</v>
      </c>
      <c r="J217">
        <v>0.7142857142857143</v>
      </c>
      <c r="K217" t="s">
        <v>19</v>
      </c>
      <c r="L217" t="s">
        <v>362</v>
      </c>
      <c r="M217">
        <v>56</v>
      </c>
      <c r="N217">
        <v>53.8</v>
      </c>
      <c r="O217">
        <v>54.7</v>
      </c>
      <c r="P217">
        <v>54.25</v>
      </c>
      <c r="Q217" t="s">
        <v>21</v>
      </c>
      <c r="R217">
        <v>12.397</v>
      </c>
      <c r="S217" t="s">
        <v>363</v>
      </c>
      <c r="T217">
        <v>113.6</v>
      </c>
      <c r="U217">
        <v>113.1</v>
      </c>
      <c r="V217">
        <v>114.6</v>
      </c>
      <c r="W217">
        <v>113.85</v>
      </c>
      <c r="X217" t="s">
        <v>21</v>
      </c>
      <c r="Y217">
        <v>14.391</v>
      </c>
      <c r="Z217">
        <f t="shared" si="3"/>
        <v>13.821285714285715</v>
      </c>
      <c r="AA217">
        <v>0.138063571</v>
      </c>
    </row>
    <row r="218" spans="1:27" x14ac:dyDescent="0.25">
      <c r="A218" s="1">
        <v>45973</v>
      </c>
      <c r="B218">
        <v>6850.92</v>
      </c>
      <c r="C218">
        <v>6850</v>
      </c>
      <c r="D218" s="1">
        <v>45982</v>
      </c>
      <c r="E218" s="1">
        <v>46010</v>
      </c>
      <c r="F218">
        <v>30</v>
      </c>
      <c r="G218">
        <v>9</v>
      </c>
      <c r="H218">
        <v>37</v>
      </c>
      <c r="I218">
        <v>0.25</v>
      </c>
      <c r="J218">
        <v>0.75</v>
      </c>
      <c r="K218" t="s">
        <v>19</v>
      </c>
      <c r="L218" t="s">
        <v>350</v>
      </c>
      <c r="M218">
        <v>53.26</v>
      </c>
      <c r="N218">
        <v>55.2</v>
      </c>
      <c r="O218">
        <v>56.3</v>
      </c>
      <c r="P218">
        <v>55.75</v>
      </c>
      <c r="Q218" t="s">
        <v>21</v>
      </c>
      <c r="R218">
        <v>13.135999999999999</v>
      </c>
      <c r="S218" t="s">
        <v>351</v>
      </c>
      <c r="T218">
        <v>113.28</v>
      </c>
      <c r="U218">
        <v>115.3</v>
      </c>
      <c r="V218">
        <v>117</v>
      </c>
      <c r="W218">
        <v>116.15</v>
      </c>
      <c r="X218" t="s">
        <v>21</v>
      </c>
      <c r="Y218">
        <v>14.683</v>
      </c>
      <c r="Z218">
        <f t="shared" si="3"/>
        <v>14.296250000000001</v>
      </c>
      <c r="AA218">
        <v>0.14136625</v>
      </c>
    </row>
    <row r="219" spans="1:27" x14ac:dyDescent="0.25">
      <c r="A219" s="1">
        <v>45974</v>
      </c>
      <c r="B219">
        <v>6737.49</v>
      </c>
      <c r="C219">
        <v>6735</v>
      </c>
      <c r="D219" s="1">
        <v>45982</v>
      </c>
      <c r="E219" s="1">
        <v>46010</v>
      </c>
      <c r="F219">
        <v>30</v>
      </c>
      <c r="G219">
        <v>8</v>
      </c>
      <c r="H219">
        <v>36</v>
      </c>
      <c r="I219">
        <v>0.21428571428571427</v>
      </c>
      <c r="J219">
        <v>0.7857142857142857</v>
      </c>
      <c r="K219" t="s">
        <v>19</v>
      </c>
      <c r="L219" t="s">
        <v>329</v>
      </c>
      <c r="M219">
        <v>57.7</v>
      </c>
      <c r="N219">
        <v>62.9</v>
      </c>
      <c r="O219">
        <v>64.3</v>
      </c>
      <c r="P219">
        <v>63.599999999999994</v>
      </c>
      <c r="Q219" t="s">
        <v>21</v>
      </c>
      <c r="R219">
        <v>16.907</v>
      </c>
      <c r="S219" t="s">
        <v>336</v>
      </c>
      <c r="T219">
        <v>130.25</v>
      </c>
      <c r="U219">
        <v>125.4</v>
      </c>
      <c r="V219">
        <v>128</v>
      </c>
      <c r="W219">
        <v>126.7</v>
      </c>
      <c r="X219" t="s">
        <v>21</v>
      </c>
      <c r="Y219">
        <v>16.693999999999999</v>
      </c>
      <c r="Z219">
        <f t="shared" si="3"/>
        <v>16.739642857142854</v>
      </c>
      <c r="AA219">
        <v>0.16668714300000001</v>
      </c>
    </row>
    <row r="220" spans="1:27" x14ac:dyDescent="0.25">
      <c r="A220" s="1">
        <v>45975</v>
      </c>
      <c r="B220">
        <v>6734.11</v>
      </c>
      <c r="C220">
        <v>6735</v>
      </c>
      <c r="D220" s="1">
        <v>45982</v>
      </c>
      <c r="E220" s="1">
        <v>46010</v>
      </c>
      <c r="F220">
        <v>30</v>
      </c>
      <c r="G220">
        <v>7</v>
      </c>
      <c r="H220">
        <v>35</v>
      </c>
      <c r="I220">
        <v>0.17857142857142858</v>
      </c>
      <c r="J220">
        <v>0.8214285714285714</v>
      </c>
      <c r="K220" t="s">
        <v>19</v>
      </c>
      <c r="L220" t="s">
        <v>329</v>
      </c>
      <c r="M220">
        <v>58.27</v>
      </c>
      <c r="N220">
        <v>55.6</v>
      </c>
      <c r="O220">
        <v>57</v>
      </c>
      <c r="P220">
        <v>56.3</v>
      </c>
      <c r="Q220" t="s">
        <v>21</v>
      </c>
      <c r="R220">
        <v>16.943000000000001</v>
      </c>
      <c r="S220" t="s">
        <v>336</v>
      </c>
      <c r="T220">
        <v>125.82</v>
      </c>
      <c r="U220">
        <v>120.4</v>
      </c>
      <c r="V220">
        <v>123.1</v>
      </c>
      <c r="W220">
        <v>121.75</v>
      </c>
      <c r="X220" t="s">
        <v>21</v>
      </c>
      <c r="Y220">
        <v>16.591000000000001</v>
      </c>
      <c r="Z220">
        <f t="shared" si="3"/>
        <v>16.653857142857142</v>
      </c>
      <c r="AA220">
        <v>0.16598142900000001</v>
      </c>
    </row>
    <row r="221" spans="1:27" x14ac:dyDescent="0.25">
      <c r="A221" s="1">
        <v>45978</v>
      </c>
      <c r="B221">
        <v>6672.41</v>
      </c>
      <c r="C221">
        <v>6670</v>
      </c>
      <c r="D221" s="1">
        <v>45982</v>
      </c>
      <c r="E221" s="1">
        <v>46010</v>
      </c>
      <c r="F221">
        <v>30</v>
      </c>
      <c r="G221">
        <v>4</v>
      </c>
      <c r="H221">
        <v>32</v>
      </c>
      <c r="I221">
        <v>7.1428571428571425E-2</v>
      </c>
      <c r="J221">
        <v>0.9285714285714286</v>
      </c>
      <c r="K221" t="s">
        <v>19</v>
      </c>
      <c r="L221" t="s">
        <v>333</v>
      </c>
      <c r="M221">
        <v>57.8</v>
      </c>
      <c r="N221">
        <v>57.5</v>
      </c>
      <c r="O221">
        <v>58.4</v>
      </c>
      <c r="P221">
        <v>57.95</v>
      </c>
      <c r="Q221" t="s">
        <v>21</v>
      </c>
      <c r="R221">
        <v>19.251999999999999</v>
      </c>
      <c r="S221" t="s">
        <v>364</v>
      </c>
      <c r="T221">
        <v>131.19999999999999</v>
      </c>
      <c r="U221">
        <v>129.9</v>
      </c>
      <c r="V221">
        <v>131.5</v>
      </c>
      <c r="W221">
        <v>130.69999999999999</v>
      </c>
      <c r="X221" t="s">
        <v>21</v>
      </c>
      <c r="Y221">
        <v>18.04</v>
      </c>
      <c r="Z221">
        <f t="shared" si="3"/>
        <v>18.126571428571431</v>
      </c>
      <c r="AA221">
        <v>0.18066928600000001</v>
      </c>
    </row>
    <row r="222" spans="1:27" x14ac:dyDescent="0.25">
      <c r="A222" s="1">
        <v>45979</v>
      </c>
      <c r="B222">
        <v>6617.32</v>
      </c>
      <c r="C222">
        <v>6615</v>
      </c>
      <c r="D222" s="1">
        <v>45982</v>
      </c>
      <c r="E222" s="1">
        <v>46010</v>
      </c>
      <c r="F222">
        <v>30</v>
      </c>
      <c r="G222">
        <v>3</v>
      </c>
      <c r="H222">
        <v>31</v>
      </c>
      <c r="I222">
        <v>3.5714285714285712E-2</v>
      </c>
      <c r="J222">
        <v>0.9642857142857143</v>
      </c>
      <c r="K222" t="s">
        <v>19</v>
      </c>
      <c r="L222" t="s">
        <v>365</v>
      </c>
      <c r="M222">
        <v>59.95</v>
      </c>
      <c r="N222">
        <v>62.2</v>
      </c>
      <c r="O222">
        <v>63.3</v>
      </c>
      <c r="P222">
        <v>62.75</v>
      </c>
      <c r="Q222" t="s">
        <v>21</v>
      </c>
      <c r="R222">
        <v>21.625</v>
      </c>
      <c r="S222" t="s">
        <v>366</v>
      </c>
      <c r="T222">
        <v>142.4</v>
      </c>
      <c r="U222">
        <v>144.9</v>
      </c>
      <c r="V222">
        <v>147</v>
      </c>
      <c r="W222">
        <v>145.94999999999999</v>
      </c>
      <c r="X222" t="s">
        <v>21</v>
      </c>
      <c r="Y222">
        <v>19.568000000000001</v>
      </c>
      <c r="Z222">
        <f t="shared" si="3"/>
        <v>19.641464285714285</v>
      </c>
      <c r="AA222">
        <v>0.19662375000000001</v>
      </c>
    </row>
    <row r="223" spans="1:27" x14ac:dyDescent="0.25">
      <c r="A223" s="1">
        <v>45980</v>
      </c>
      <c r="B223">
        <v>6642.16</v>
      </c>
      <c r="C223">
        <v>6640</v>
      </c>
      <c r="D223" s="1">
        <v>45982</v>
      </c>
      <c r="E223" s="1">
        <v>46010</v>
      </c>
      <c r="F223">
        <v>30</v>
      </c>
      <c r="G223">
        <v>2</v>
      </c>
      <c r="H223">
        <v>30</v>
      </c>
      <c r="I223">
        <v>0</v>
      </c>
      <c r="J223">
        <v>1</v>
      </c>
      <c r="K223" t="s">
        <v>19</v>
      </c>
      <c r="L223" t="s">
        <v>312</v>
      </c>
      <c r="M223">
        <v>49.38</v>
      </c>
      <c r="N223">
        <v>29.5</v>
      </c>
      <c r="O223">
        <v>30.6</v>
      </c>
      <c r="P223">
        <v>30.05</v>
      </c>
      <c r="Q223" t="s">
        <v>21</v>
      </c>
      <c r="R223">
        <v>22.873000000000001</v>
      </c>
      <c r="S223" t="s">
        <v>367</v>
      </c>
      <c r="T223">
        <v>135</v>
      </c>
      <c r="U223">
        <v>115.4</v>
      </c>
      <c r="V223">
        <v>117.9</v>
      </c>
      <c r="W223">
        <v>116.65</v>
      </c>
      <c r="X223" t="s">
        <v>21</v>
      </c>
      <c r="Y223">
        <v>19.253</v>
      </c>
      <c r="Z223">
        <f t="shared" si="3"/>
        <v>19.253</v>
      </c>
      <c r="AA223">
        <v>0.191635</v>
      </c>
    </row>
    <row r="224" spans="1:27" x14ac:dyDescent="0.25">
      <c r="A224" s="1">
        <v>45981</v>
      </c>
      <c r="B224">
        <v>6538.76</v>
      </c>
      <c r="C224">
        <v>6540</v>
      </c>
      <c r="D224" s="1">
        <v>45982</v>
      </c>
      <c r="E224" s="1">
        <v>46010</v>
      </c>
      <c r="F224">
        <v>30</v>
      </c>
      <c r="G224">
        <v>1</v>
      </c>
      <c r="H224">
        <v>29</v>
      </c>
      <c r="I224">
        <v>0</v>
      </c>
      <c r="J224">
        <v>1</v>
      </c>
      <c r="K224" t="s">
        <v>19</v>
      </c>
      <c r="L224" t="s">
        <v>368</v>
      </c>
      <c r="M224">
        <v>29.63</v>
      </c>
      <c r="N224">
        <v>31.3</v>
      </c>
      <c r="O224">
        <v>32.9</v>
      </c>
      <c r="P224">
        <v>32.1</v>
      </c>
      <c r="Q224" t="s">
        <v>21</v>
      </c>
      <c r="R224">
        <v>20.895</v>
      </c>
      <c r="S224" t="s">
        <v>369</v>
      </c>
      <c r="T224">
        <v>148.05000000000001</v>
      </c>
      <c r="U224">
        <v>150.1</v>
      </c>
      <c r="V224">
        <v>153.19999999999999</v>
      </c>
      <c r="W224">
        <v>151.64999999999998</v>
      </c>
      <c r="X224" t="s">
        <v>21</v>
      </c>
      <c r="Y224">
        <v>21.611999999999998</v>
      </c>
      <c r="Z224">
        <f t="shared" si="3"/>
        <v>21.611999999999998</v>
      </c>
      <c r="AA224">
        <v>0.21582499999999999</v>
      </c>
    </row>
    <row r="225" spans="1:27" x14ac:dyDescent="0.25">
      <c r="A225" s="1">
        <v>45982</v>
      </c>
      <c r="B225">
        <v>6602.99</v>
      </c>
      <c r="C225">
        <v>6605</v>
      </c>
      <c r="D225" s="1">
        <v>46010</v>
      </c>
      <c r="E225" s="1">
        <v>46038</v>
      </c>
      <c r="F225">
        <v>30</v>
      </c>
      <c r="G225">
        <v>28</v>
      </c>
      <c r="H225">
        <v>56</v>
      </c>
      <c r="I225">
        <v>0.9285714285714286</v>
      </c>
      <c r="J225">
        <v>7.1428571428571425E-2</v>
      </c>
      <c r="K225" t="s">
        <v>19</v>
      </c>
      <c r="L225" t="s">
        <v>370</v>
      </c>
      <c r="M225">
        <v>130.21</v>
      </c>
      <c r="N225">
        <v>125.8</v>
      </c>
      <c r="O225">
        <v>128.5</v>
      </c>
      <c r="P225">
        <v>127.15</v>
      </c>
      <c r="Q225" t="s">
        <v>21</v>
      </c>
      <c r="R225">
        <v>19.605</v>
      </c>
      <c r="S225" t="s">
        <v>371</v>
      </c>
      <c r="T225">
        <v>168.15</v>
      </c>
      <c r="U225">
        <v>164.3</v>
      </c>
      <c r="V225">
        <v>167.7</v>
      </c>
      <c r="W225">
        <v>166</v>
      </c>
      <c r="X225" t="s">
        <v>21</v>
      </c>
      <c r="Y225">
        <v>18.97</v>
      </c>
      <c r="Z225">
        <f t="shared" si="3"/>
        <v>19.559642857142858</v>
      </c>
      <c r="AA225">
        <v>0.194856786</v>
      </c>
    </row>
    <row r="226" spans="1:27" x14ac:dyDescent="0.25">
      <c r="A226" s="1">
        <v>45985</v>
      </c>
      <c r="B226">
        <v>6705.12</v>
      </c>
      <c r="C226">
        <v>6705</v>
      </c>
      <c r="D226" s="1">
        <v>46010</v>
      </c>
      <c r="E226" s="1">
        <v>46038</v>
      </c>
      <c r="F226">
        <v>30</v>
      </c>
      <c r="G226">
        <v>25</v>
      </c>
      <c r="H226">
        <v>53</v>
      </c>
      <c r="I226">
        <v>0.8214285714285714</v>
      </c>
      <c r="J226">
        <v>0.17857142857142858</v>
      </c>
      <c r="K226" t="s">
        <v>19</v>
      </c>
      <c r="L226" t="s">
        <v>372</v>
      </c>
      <c r="M226">
        <v>109.9</v>
      </c>
      <c r="N226">
        <v>106.3</v>
      </c>
      <c r="O226">
        <v>108.4</v>
      </c>
      <c r="P226">
        <v>107.35</v>
      </c>
      <c r="Q226" t="s">
        <v>21</v>
      </c>
      <c r="R226">
        <v>16.504999999999999</v>
      </c>
      <c r="S226" t="s">
        <v>373</v>
      </c>
      <c r="T226">
        <v>147.61000000000001</v>
      </c>
      <c r="U226">
        <v>145.19999999999999</v>
      </c>
      <c r="V226">
        <v>147.6</v>
      </c>
      <c r="W226">
        <v>146.39999999999998</v>
      </c>
      <c r="X226" t="s">
        <v>21</v>
      </c>
      <c r="Y226">
        <v>16.661999999999999</v>
      </c>
      <c r="Z226">
        <f t="shared" si="3"/>
        <v>16.533035714285713</v>
      </c>
      <c r="AA226">
        <v>0.16532125</v>
      </c>
    </row>
    <row r="227" spans="1:27" x14ac:dyDescent="0.25">
      <c r="A227" s="1">
        <v>45986</v>
      </c>
      <c r="B227">
        <v>6765.88</v>
      </c>
      <c r="C227">
        <v>6765</v>
      </c>
      <c r="D227" s="1">
        <v>46010</v>
      </c>
      <c r="E227" s="1">
        <v>46038</v>
      </c>
      <c r="F227">
        <v>30</v>
      </c>
      <c r="G227">
        <v>24</v>
      </c>
      <c r="H227">
        <v>52</v>
      </c>
      <c r="I227">
        <v>0.7857142857142857</v>
      </c>
      <c r="J227">
        <v>0.21428571428571427</v>
      </c>
      <c r="K227" t="s">
        <v>19</v>
      </c>
      <c r="L227" t="s">
        <v>374</v>
      </c>
      <c r="M227">
        <v>99</v>
      </c>
      <c r="N227">
        <v>95.9</v>
      </c>
      <c r="O227">
        <v>97.3</v>
      </c>
      <c r="P227">
        <v>96.6</v>
      </c>
      <c r="Q227" t="s">
        <v>21</v>
      </c>
      <c r="R227">
        <v>14.885</v>
      </c>
      <c r="S227" t="s">
        <v>375</v>
      </c>
      <c r="T227">
        <v>133.4</v>
      </c>
      <c r="U227">
        <v>135.5</v>
      </c>
      <c r="V227">
        <v>137.1</v>
      </c>
      <c r="W227">
        <v>136.30000000000001</v>
      </c>
      <c r="X227" t="s">
        <v>21</v>
      </c>
      <c r="Y227">
        <v>15.516999999999999</v>
      </c>
      <c r="Z227">
        <f t="shared" si="3"/>
        <v>15.020428571428571</v>
      </c>
      <c r="AA227">
        <v>0.15033428600000001</v>
      </c>
    </row>
    <row r="228" spans="1:27" x14ac:dyDescent="0.25">
      <c r="A228" s="1">
        <v>45987</v>
      </c>
      <c r="B228">
        <v>6812.61</v>
      </c>
      <c r="C228">
        <v>6815</v>
      </c>
      <c r="D228" s="1">
        <v>46010</v>
      </c>
      <c r="E228" s="1">
        <v>46038</v>
      </c>
      <c r="F228">
        <v>30</v>
      </c>
      <c r="G228">
        <v>23</v>
      </c>
      <c r="H228">
        <v>51</v>
      </c>
      <c r="I228">
        <v>0.75</v>
      </c>
      <c r="J228">
        <v>0.25</v>
      </c>
      <c r="K228" t="s">
        <v>19</v>
      </c>
      <c r="L228" t="s">
        <v>376</v>
      </c>
      <c r="M228">
        <v>85.85</v>
      </c>
      <c r="N228">
        <v>87.9</v>
      </c>
      <c r="O228">
        <v>89.4</v>
      </c>
      <c r="P228">
        <v>88.65</v>
      </c>
      <c r="Q228" t="s">
        <v>21</v>
      </c>
      <c r="R228">
        <v>14.135</v>
      </c>
      <c r="S228" t="s">
        <v>377</v>
      </c>
      <c r="T228" t="s">
        <v>21</v>
      </c>
      <c r="U228">
        <v>128.69999999999999</v>
      </c>
      <c r="V228">
        <v>130.4</v>
      </c>
      <c r="W228">
        <v>129.55000000000001</v>
      </c>
      <c r="X228" t="s">
        <v>21</v>
      </c>
      <c r="Y228">
        <v>14.898999999999999</v>
      </c>
      <c r="Z228">
        <f t="shared" si="3"/>
        <v>14.326000000000001</v>
      </c>
      <c r="AA228">
        <v>0.14308499999999999</v>
      </c>
    </row>
    <row r="229" spans="1:27" x14ac:dyDescent="0.25">
      <c r="A229" s="1">
        <v>45989</v>
      </c>
      <c r="B229">
        <v>6849.09</v>
      </c>
      <c r="C229">
        <v>6850</v>
      </c>
      <c r="D229" s="1">
        <v>46010</v>
      </c>
      <c r="E229" s="1">
        <v>46038</v>
      </c>
      <c r="F229">
        <v>30</v>
      </c>
      <c r="G229">
        <v>21</v>
      </c>
      <c r="H229">
        <v>49</v>
      </c>
      <c r="I229">
        <v>0.6785714285714286</v>
      </c>
      <c r="J229">
        <v>0.32142857142857145</v>
      </c>
      <c r="K229" t="s">
        <v>19</v>
      </c>
      <c r="L229" t="s">
        <v>351</v>
      </c>
      <c r="M229">
        <v>86</v>
      </c>
      <c r="N229">
        <v>84.6</v>
      </c>
      <c r="O229">
        <v>86</v>
      </c>
      <c r="P229">
        <v>85.3</v>
      </c>
      <c r="Q229" t="s">
        <v>21</v>
      </c>
      <c r="R229">
        <v>13.433</v>
      </c>
      <c r="S229" t="s">
        <v>378</v>
      </c>
      <c r="T229">
        <v>126.21</v>
      </c>
      <c r="U229">
        <v>125.1</v>
      </c>
      <c r="V229">
        <v>126.6</v>
      </c>
      <c r="W229">
        <v>125.85</v>
      </c>
      <c r="X229" t="s">
        <v>21</v>
      </c>
      <c r="Y229">
        <v>14.35</v>
      </c>
      <c r="Z229">
        <f t="shared" si="3"/>
        <v>13.72775</v>
      </c>
      <c r="AA229">
        <v>0.13744321400000001</v>
      </c>
    </row>
    <row r="230" spans="1:27" x14ac:dyDescent="0.25">
      <c r="A230" s="1">
        <v>45992</v>
      </c>
      <c r="B230">
        <v>6812.63</v>
      </c>
      <c r="C230">
        <v>6815</v>
      </c>
      <c r="D230" s="1">
        <v>46010</v>
      </c>
      <c r="E230" s="1">
        <v>46038</v>
      </c>
      <c r="F230">
        <v>30</v>
      </c>
      <c r="G230">
        <v>18</v>
      </c>
      <c r="H230">
        <v>46</v>
      </c>
      <c r="I230">
        <v>0.5714285714285714</v>
      </c>
      <c r="J230">
        <v>0.42857142857142855</v>
      </c>
      <c r="K230" t="s">
        <v>19</v>
      </c>
      <c r="L230" t="s">
        <v>376</v>
      </c>
      <c r="M230">
        <v>79.52</v>
      </c>
      <c r="N230">
        <v>81</v>
      </c>
      <c r="O230">
        <v>82.3</v>
      </c>
      <c r="P230">
        <v>81.650000000000006</v>
      </c>
      <c r="Q230" t="s">
        <v>21</v>
      </c>
      <c r="R230">
        <v>14.026</v>
      </c>
      <c r="S230" t="s">
        <v>377</v>
      </c>
      <c r="T230">
        <v>122.8</v>
      </c>
      <c r="U230">
        <v>123</v>
      </c>
      <c r="V230">
        <v>124.5</v>
      </c>
      <c r="W230">
        <v>123.75</v>
      </c>
      <c r="X230" t="s">
        <v>21</v>
      </c>
      <c r="Y230">
        <v>14.773</v>
      </c>
      <c r="Z230">
        <f t="shared" si="3"/>
        <v>14.346142857142855</v>
      </c>
      <c r="AA230">
        <v>0.14202714299999999</v>
      </c>
    </row>
    <row r="231" spans="1:27" x14ac:dyDescent="0.25">
      <c r="A231" s="1">
        <v>45993</v>
      </c>
      <c r="B231">
        <v>6829.37</v>
      </c>
      <c r="C231">
        <v>6830</v>
      </c>
      <c r="D231" s="1">
        <v>46010</v>
      </c>
      <c r="E231" s="1">
        <v>46038</v>
      </c>
      <c r="F231">
        <v>30</v>
      </c>
      <c r="G231">
        <v>17</v>
      </c>
      <c r="H231">
        <v>45</v>
      </c>
      <c r="I231">
        <v>0.5357142857142857</v>
      </c>
      <c r="J231">
        <v>0.4642857142857143</v>
      </c>
      <c r="K231" t="s">
        <v>19</v>
      </c>
      <c r="L231" t="s">
        <v>361</v>
      </c>
      <c r="M231">
        <v>77.099999999999994</v>
      </c>
      <c r="N231">
        <v>74.900000000000006</v>
      </c>
      <c r="O231">
        <v>76.400000000000006</v>
      </c>
      <c r="P231">
        <v>75.650000000000006</v>
      </c>
      <c r="Q231" t="s">
        <v>21</v>
      </c>
      <c r="R231">
        <v>13.398999999999999</v>
      </c>
      <c r="S231" t="s">
        <v>379</v>
      </c>
      <c r="T231">
        <v>116.92</v>
      </c>
      <c r="U231">
        <v>118.7</v>
      </c>
      <c r="V231">
        <v>120.2</v>
      </c>
      <c r="W231">
        <v>119.45</v>
      </c>
      <c r="X231" t="s">
        <v>21</v>
      </c>
      <c r="Y231">
        <v>14.414</v>
      </c>
      <c r="Z231">
        <f t="shared" si="3"/>
        <v>13.870249999999999</v>
      </c>
      <c r="AA231">
        <v>0.13826160700000001</v>
      </c>
    </row>
    <row r="232" spans="1:27" x14ac:dyDescent="0.25">
      <c r="A232" s="1">
        <v>45994</v>
      </c>
      <c r="B232">
        <v>6849.72</v>
      </c>
      <c r="C232">
        <v>6850</v>
      </c>
      <c r="D232" s="1">
        <v>46010</v>
      </c>
      <c r="E232" s="1">
        <v>46038</v>
      </c>
      <c r="F232">
        <v>30</v>
      </c>
      <c r="G232">
        <v>16</v>
      </c>
      <c r="H232">
        <v>44</v>
      </c>
      <c r="I232">
        <v>0.5</v>
      </c>
      <c r="J232">
        <v>0.5</v>
      </c>
      <c r="K232" t="s">
        <v>19</v>
      </c>
      <c r="L232" t="s">
        <v>351</v>
      </c>
      <c r="M232">
        <v>70.099999999999994</v>
      </c>
      <c r="N232">
        <v>68.599999999999994</v>
      </c>
      <c r="O232">
        <v>70.3</v>
      </c>
      <c r="P232">
        <v>69.449999999999989</v>
      </c>
      <c r="Q232" t="s">
        <v>21</v>
      </c>
      <c r="R232">
        <v>12.996</v>
      </c>
      <c r="S232" t="s">
        <v>378</v>
      </c>
      <c r="T232">
        <v>115.27</v>
      </c>
      <c r="U232">
        <v>113.4</v>
      </c>
      <c r="V232">
        <v>115.4</v>
      </c>
      <c r="W232">
        <v>114.4</v>
      </c>
      <c r="X232" t="s">
        <v>21</v>
      </c>
      <c r="Y232">
        <v>14.206</v>
      </c>
      <c r="Z232">
        <f t="shared" si="3"/>
        <v>13.600999999999999</v>
      </c>
      <c r="AA232">
        <v>0.13509499999999999</v>
      </c>
    </row>
    <row r="233" spans="1:27" x14ac:dyDescent="0.25">
      <c r="A233" s="1">
        <v>45995</v>
      </c>
      <c r="B233">
        <v>6857.12</v>
      </c>
      <c r="C233">
        <v>6855</v>
      </c>
      <c r="D233" s="1">
        <v>46010</v>
      </c>
      <c r="E233" s="1">
        <v>46038</v>
      </c>
      <c r="F233">
        <v>30</v>
      </c>
      <c r="G233">
        <v>15</v>
      </c>
      <c r="H233">
        <v>43</v>
      </c>
      <c r="I233">
        <v>0.4642857142857143</v>
      </c>
      <c r="J233">
        <v>0.5357142857142857</v>
      </c>
      <c r="K233" t="s">
        <v>19</v>
      </c>
      <c r="L233" t="s">
        <v>380</v>
      </c>
      <c r="M233">
        <v>66.5</v>
      </c>
      <c r="N233">
        <v>65.7</v>
      </c>
      <c r="O233">
        <v>67.2</v>
      </c>
      <c r="P233">
        <v>66.45</v>
      </c>
      <c r="Q233" t="s">
        <v>21</v>
      </c>
      <c r="R233">
        <v>12.791</v>
      </c>
      <c r="S233" t="s">
        <v>381</v>
      </c>
      <c r="T233">
        <v>116.64</v>
      </c>
      <c r="U233">
        <v>110.7</v>
      </c>
      <c r="V233">
        <v>112.4</v>
      </c>
      <c r="W233">
        <v>111.55000000000001</v>
      </c>
      <c r="X233" t="s">
        <v>21</v>
      </c>
      <c r="Y233">
        <v>13.933</v>
      </c>
      <c r="Z233">
        <f t="shared" si="3"/>
        <v>13.402785714285713</v>
      </c>
      <c r="AA233">
        <v>0.132950179</v>
      </c>
    </row>
    <row r="234" spans="1:27" x14ac:dyDescent="0.25">
      <c r="A234" s="1">
        <v>45996</v>
      </c>
      <c r="B234">
        <v>6870.4</v>
      </c>
      <c r="C234">
        <v>6870</v>
      </c>
      <c r="D234" s="1">
        <v>46010</v>
      </c>
      <c r="E234" s="1">
        <v>46038</v>
      </c>
      <c r="F234">
        <v>30</v>
      </c>
      <c r="G234">
        <v>14</v>
      </c>
      <c r="H234">
        <v>42</v>
      </c>
      <c r="I234">
        <v>0.42857142857142855</v>
      </c>
      <c r="J234">
        <v>0.5714285714285714</v>
      </c>
      <c r="K234" t="s">
        <v>19</v>
      </c>
      <c r="L234" t="s">
        <v>382</v>
      </c>
      <c r="M234">
        <v>61.71</v>
      </c>
      <c r="N234">
        <v>61.6</v>
      </c>
      <c r="O234">
        <v>63.1</v>
      </c>
      <c r="P234">
        <v>62.35</v>
      </c>
      <c r="Q234" t="s">
        <v>21</v>
      </c>
      <c r="R234">
        <v>12.388</v>
      </c>
      <c r="S234" t="s">
        <v>383</v>
      </c>
      <c r="T234">
        <v>109.29</v>
      </c>
      <c r="U234">
        <v>107.2</v>
      </c>
      <c r="V234">
        <v>108.9</v>
      </c>
      <c r="W234">
        <v>108.05000000000001</v>
      </c>
      <c r="X234" t="s">
        <v>21</v>
      </c>
      <c r="Y234">
        <v>13.682</v>
      </c>
      <c r="Z234">
        <f t="shared" si="3"/>
        <v>13.12742857142857</v>
      </c>
      <c r="AA234">
        <v>0.13020928600000001</v>
      </c>
    </row>
    <row r="235" spans="1:27" x14ac:dyDescent="0.25">
      <c r="A235" s="1">
        <v>45999</v>
      </c>
      <c r="B235">
        <v>6846.51</v>
      </c>
      <c r="C235">
        <v>6845</v>
      </c>
      <c r="D235" s="1">
        <v>46010</v>
      </c>
      <c r="E235" s="1">
        <v>46038</v>
      </c>
      <c r="F235">
        <v>30</v>
      </c>
      <c r="G235">
        <v>11</v>
      </c>
      <c r="H235">
        <v>39</v>
      </c>
      <c r="I235">
        <v>0.32142857142857145</v>
      </c>
      <c r="J235">
        <v>0.6785714285714286</v>
      </c>
      <c r="K235" t="s">
        <v>19</v>
      </c>
      <c r="L235" t="s">
        <v>363</v>
      </c>
      <c r="M235">
        <v>61.71</v>
      </c>
      <c r="N235">
        <v>56.7</v>
      </c>
      <c r="O235">
        <v>58</v>
      </c>
      <c r="P235">
        <v>57.35</v>
      </c>
      <c r="Q235" t="s">
        <v>21</v>
      </c>
      <c r="R235">
        <v>13.175000000000001</v>
      </c>
      <c r="S235" t="s">
        <v>384</v>
      </c>
      <c r="T235">
        <v>115</v>
      </c>
      <c r="U235">
        <v>104.4</v>
      </c>
      <c r="V235">
        <v>105.8</v>
      </c>
      <c r="W235">
        <v>105.1</v>
      </c>
      <c r="X235" t="s">
        <v>21</v>
      </c>
      <c r="Y235">
        <v>14.132</v>
      </c>
      <c r="Z235">
        <f t="shared" si="3"/>
        <v>13.824392857142858</v>
      </c>
      <c r="AA235">
        <v>0.13725732099999999</v>
      </c>
    </row>
    <row r="236" spans="1:27" x14ac:dyDescent="0.25">
      <c r="A236" s="1">
        <v>46000</v>
      </c>
      <c r="B236">
        <v>6840.51</v>
      </c>
      <c r="C236">
        <v>6840</v>
      </c>
      <c r="D236" s="1">
        <v>46010</v>
      </c>
      <c r="E236" s="1">
        <v>46038</v>
      </c>
      <c r="F236">
        <v>30</v>
      </c>
      <c r="G236">
        <v>10</v>
      </c>
      <c r="H236">
        <v>38</v>
      </c>
      <c r="I236">
        <v>0.2857142857142857</v>
      </c>
      <c r="J236">
        <v>0.7142857142857143</v>
      </c>
      <c r="K236" t="s">
        <v>19</v>
      </c>
      <c r="L236" t="s">
        <v>349</v>
      </c>
      <c r="M236">
        <v>59.8</v>
      </c>
      <c r="N236">
        <v>60.2</v>
      </c>
      <c r="O236">
        <v>61.6</v>
      </c>
      <c r="P236">
        <v>60.900000000000006</v>
      </c>
      <c r="Q236" t="s">
        <v>21</v>
      </c>
      <c r="R236">
        <v>13.484999999999999</v>
      </c>
      <c r="S236" t="s">
        <v>385</v>
      </c>
      <c r="T236">
        <v>104.23</v>
      </c>
      <c r="U236">
        <v>109.1</v>
      </c>
      <c r="V236">
        <v>110.5</v>
      </c>
      <c r="W236">
        <v>109.8</v>
      </c>
      <c r="X236" t="s">
        <v>21</v>
      </c>
      <c r="Y236">
        <v>14.281000000000001</v>
      </c>
      <c r="Z236">
        <f t="shared" si="3"/>
        <v>14.053571428571427</v>
      </c>
      <c r="AA236">
        <v>0.13932428599999999</v>
      </c>
    </row>
    <row r="237" spans="1:27" x14ac:dyDescent="0.25">
      <c r="A237" s="1">
        <v>46001</v>
      </c>
      <c r="B237">
        <v>6886.68</v>
      </c>
      <c r="C237">
        <v>6885</v>
      </c>
      <c r="D237" s="1">
        <v>46010</v>
      </c>
      <c r="E237" s="1">
        <v>46038</v>
      </c>
      <c r="F237">
        <v>30</v>
      </c>
      <c r="G237">
        <v>9</v>
      </c>
      <c r="H237">
        <v>37</v>
      </c>
      <c r="I237">
        <v>0.25</v>
      </c>
      <c r="J237">
        <v>0.75</v>
      </c>
      <c r="K237" t="s">
        <v>19</v>
      </c>
      <c r="L237" t="s">
        <v>386</v>
      </c>
      <c r="M237">
        <v>52</v>
      </c>
      <c r="N237">
        <v>50.4</v>
      </c>
      <c r="O237">
        <v>51.6</v>
      </c>
      <c r="P237">
        <v>51</v>
      </c>
      <c r="Q237" t="s">
        <v>21</v>
      </c>
      <c r="R237">
        <v>12.625999999999999</v>
      </c>
      <c r="S237" t="s">
        <v>387</v>
      </c>
      <c r="T237">
        <v>96.2</v>
      </c>
      <c r="U237">
        <v>99.2</v>
      </c>
      <c r="V237">
        <v>100.6</v>
      </c>
      <c r="W237">
        <v>99.9</v>
      </c>
      <c r="X237" t="s">
        <v>21</v>
      </c>
      <c r="Y237">
        <v>13.55</v>
      </c>
      <c r="Z237">
        <f t="shared" si="3"/>
        <v>13.319000000000001</v>
      </c>
      <c r="AA237">
        <v>0.130055</v>
      </c>
    </row>
    <row r="238" spans="1:27" x14ac:dyDescent="0.25">
      <c r="A238" s="1">
        <v>46002</v>
      </c>
      <c r="B238">
        <v>6901</v>
      </c>
      <c r="C238">
        <v>6900</v>
      </c>
      <c r="D238" s="1">
        <v>46010</v>
      </c>
      <c r="E238" s="1">
        <v>46038</v>
      </c>
      <c r="F238">
        <v>30</v>
      </c>
      <c r="G238">
        <v>8</v>
      </c>
      <c r="H238">
        <v>36</v>
      </c>
      <c r="I238">
        <v>0.21428571428571427</v>
      </c>
      <c r="J238">
        <v>0.7857142857142857</v>
      </c>
      <c r="K238" t="s">
        <v>19</v>
      </c>
      <c r="L238" t="s">
        <v>388</v>
      </c>
      <c r="M238">
        <v>39.33</v>
      </c>
      <c r="N238">
        <v>34</v>
      </c>
      <c r="O238">
        <v>35.1</v>
      </c>
      <c r="P238">
        <v>34.549999999999997</v>
      </c>
      <c r="Q238" t="s">
        <v>21</v>
      </c>
      <c r="R238">
        <v>11.157</v>
      </c>
      <c r="S238" t="s">
        <v>389</v>
      </c>
      <c r="T238">
        <v>91.8</v>
      </c>
      <c r="U238">
        <v>84.9</v>
      </c>
      <c r="V238">
        <v>86.6</v>
      </c>
      <c r="W238">
        <v>85.75</v>
      </c>
      <c r="X238" t="s">
        <v>21</v>
      </c>
      <c r="Y238">
        <v>12.802</v>
      </c>
      <c r="Z238">
        <f t="shared" si="3"/>
        <v>12.449499999999999</v>
      </c>
      <c r="AA238">
        <v>0.123478214</v>
      </c>
    </row>
    <row r="239" spans="1:27" x14ac:dyDescent="0.25">
      <c r="A239" s="1">
        <v>46003</v>
      </c>
      <c r="B239">
        <v>6827.41</v>
      </c>
      <c r="C239">
        <v>6825</v>
      </c>
      <c r="D239" s="1">
        <v>46010</v>
      </c>
      <c r="E239" s="1">
        <v>46038</v>
      </c>
      <c r="F239">
        <v>30</v>
      </c>
      <c r="G239">
        <v>7</v>
      </c>
      <c r="H239">
        <v>35</v>
      </c>
      <c r="I239">
        <v>0.17857142857142858</v>
      </c>
      <c r="J239">
        <v>0.8214285714285714</v>
      </c>
      <c r="K239" t="s">
        <v>19</v>
      </c>
      <c r="L239" t="s">
        <v>390</v>
      </c>
      <c r="M239">
        <v>42.8</v>
      </c>
      <c r="N239">
        <v>42.1</v>
      </c>
      <c r="O239">
        <v>43</v>
      </c>
      <c r="P239">
        <v>42.55</v>
      </c>
      <c r="Q239" t="s">
        <v>21</v>
      </c>
      <c r="R239">
        <v>12.441000000000001</v>
      </c>
      <c r="S239" t="s">
        <v>391</v>
      </c>
      <c r="T239">
        <v>94.14</v>
      </c>
      <c r="U239">
        <v>92.8</v>
      </c>
      <c r="V239">
        <v>94.3</v>
      </c>
      <c r="W239">
        <v>93.55</v>
      </c>
      <c r="X239" t="s">
        <v>21</v>
      </c>
      <c r="Y239">
        <v>13.327999999999999</v>
      </c>
      <c r="Z239">
        <f t="shared" si="3"/>
        <v>13.169607142857142</v>
      </c>
      <c r="AA239">
        <v>0.13106553600000001</v>
      </c>
    </row>
    <row r="240" spans="1:27" x14ac:dyDescent="0.25">
      <c r="A240" s="1">
        <v>46006</v>
      </c>
      <c r="B240">
        <v>6816.51</v>
      </c>
      <c r="C240">
        <v>6815</v>
      </c>
      <c r="D240" s="1">
        <v>46010</v>
      </c>
      <c r="E240" s="1">
        <v>46038</v>
      </c>
      <c r="F240">
        <v>30</v>
      </c>
      <c r="G240">
        <v>4</v>
      </c>
      <c r="H240">
        <v>32</v>
      </c>
      <c r="I240">
        <v>7.1428571428571425E-2</v>
      </c>
      <c r="J240">
        <v>0.9285714285714286</v>
      </c>
      <c r="K240" t="s">
        <v>19</v>
      </c>
      <c r="L240" t="s">
        <v>376</v>
      </c>
      <c r="M240">
        <v>36.72</v>
      </c>
      <c r="N240">
        <v>35.299999999999997</v>
      </c>
      <c r="O240">
        <v>36.200000000000003</v>
      </c>
      <c r="P240">
        <v>35.75</v>
      </c>
      <c r="Q240" t="s">
        <v>21</v>
      </c>
      <c r="R240">
        <v>12.308</v>
      </c>
      <c r="S240" t="s">
        <v>377</v>
      </c>
      <c r="T240">
        <v>91.9</v>
      </c>
      <c r="U240">
        <v>89.9</v>
      </c>
      <c r="V240">
        <v>91.5</v>
      </c>
      <c r="W240">
        <v>90.7</v>
      </c>
      <c r="X240" t="s">
        <v>21</v>
      </c>
      <c r="Y240">
        <v>13.404999999999999</v>
      </c>
      <c r="Z240">
        <f t="shared" si="3"/>
        <v>13.326642857142858</v>
      </c>
      <c r="AA240">
        <v>0.13197642900000001</v>
      </c>
    </row>
    <row r="241" spans="1:27" x14ac:dyDescent="0.25">
      <c r="A241" s="1">
        <v>46007</v>
      </c>
      <c r="B241">
        <v>6800.26</v>
      </c>
      <c r="C241">
        <v>6800</v>
      </c>
      <c r="D241" s="1">
        <v>46010</v>
      </c>
      <c r="E241" s="1">
        <v>46038</v>
      </c>
      <c r="F241">
        <v>30</v>
      </c>
      <c r="G241">
        <v>3</v>
      </c>
      <c r="H241">
        <v>31</v>
      </c>
      <c r="I241">
        <v>3.5714285714285712E-2</v>
      </c>
      <c r="J241">
        <v>0.9642857142857143</v>
      </c>
      <c r="K241" t="s">
        <v>19</v>
      </c>
      <c r="L241" t="s">
        <v>392</v>
      </c>
      <c r="M241">
        <v>33.450000000000003</v>
      </c>
      <c r="N241">
        <v>35.9</v>
      </c>
      <c r="O241">
        <v>37.200000000000003</v>
      </c>
      <c r="P241">
        <v>36.549999999999997</v>
      </c>
      <c r="Q241" t="s">
        <v>21</v>
      </c>
      <c r="R241">
        <v>11.9</v>
      </c>
      <c r="S241" t="s">
        <v>393</v>
      </c>
      <c r="T241">
        <v>93.12</v>
      </c>
      <c r="U241">
        <v>95.1</v>
      </c>
      <c r="V241">
        <v>97.3</v>
      </c>
      <c r="W241">
        <v>96.199999999999989</v>
      </c>
      <c r="X241" t="s">
        <v>21</v>
      </c>
      <c r="Y241">
        <v>13.436999999999999</v>
      </c>
      <c r="Z241">
        <f t="shared" si="3"/>
        <v>13.382107142857143</v>
      </c>
      <c r="AA241">
        <v>0.13223874999999999</v>
      </c>
    </row>
    <row r="242" spans="1:27" x14ac:dyDescent="0.25">
      <c r="A242" s="1">
        <v>46008</v>
      </c>
      <c r="B242">
        <v>6721.43</v>
      </c>
      <c r="C242">
        <v>6720</v>
      </c>
      <c r="D242" s="1">
        <v>46010</v>
      </c>
      <c r="E242" s="1">
        <v>46038</v>
      </c>
      <c r="F242">
        <v>30</v>
      </c>
      <c r="G242">
        <v>2</v>
      </c>
      <c r="H242">
        <v>30</v>
      </c>
      <c r="I242">
        <v>0</v>
      </c>
      <c r="J242">
        <v>1</v>
      </c>
      <c r="K242" t="s">
        <v>19</v>
      </c>
      <c r="L242" t="s">
        <v>357</v>
      </c>
      <c r="M242">
        <v>23.63</v>
      </c>
      <c r="N242">
        <v>26.2</v>
      </c>
      <c r="O242">
        <v>27.5</v>
      </c>
      <c r="P242">
        <v>26.85</v>
      </c>
      <c r="Q242" t="s">
        <v>21</v>
      </c>
      <c r="R242">
        <v>15.253</v>
      </c>
      <c r="S242" t="s">
        <v>394</v>
      </c>
      <c r="T242">
        <v>93.3</v>
      </c>
      <c r="U242">
        <v>95.1</v>
      </c>
      <c r="V242">
        <v>97.6</v>
      </c>
      <c r="W242">
        <v>96.35</v>
      </c>
      <c r="X242" t="s">
        <v>21</v>
      </c>
      <c r="Y242">
        <v>15.1</v>
      </c>
      <c r="Z242">
        <f t="shared" si="3"/>
        <v>15.1</v>
      </c>
      <c r="AA242">
        <v>0.150005</v>
      </c>
    </row>
    <row r="243" spans="1:27" x14ac:dyDescent="0.25">
      <c r="A243" s="1">
        <v>46009</v>
      </c>
      <c r="B243">
        <v>6774.76</v>
      </c>
      <c r="C243">
        <v>6775</v>
      </c>
      <c r="D243" s="1">
        <v>46010</v>
      </c>
      <c r="E243" s="1">
        <v>46038</v>
      </c>
      <c r="F243">
        <v>30</v>
      </c>
      <c r="G243">
        <v>1</v>
      </c>
      <c r="H243">
        <v>29</v>
      </c>
      <c r="I243">
        <v>0</v>
      </c>
      <c r="J243">
        <v>1</v>
      </c>
      <c r="K243" t="s">
        <v>19</v>
      </c>
      <c r="L243" t="s">
        <v>395</v>
      </c>
      <c r="M243">
        <v>18.61</v>
      </c>
      <c r="N243">
        <v>17.100000000000001</v>
      </c>
      <c r="O243">
        <v>18.399999999999999</v>
      </c>
      <c r="P243">
        <v>17.75</v>
      </c>
      <c r="Q243" t="s">
        <v>21</v>
      </c>
      <c r="R243">
        <v>9.5090000000000003</v>
      </c>
      <c r="S243" t="s">
        <v>396</v>
      </c>
      <c r="T243">
        <v>86.31</v>
      </c>
      <c r="U243">
        <v>93.9</v>
      </c>
      <c r="V243">
        <v>95.6</v>
      </c>
      <c r="W243">
        <v>94.75</v>
      </c>
      <c r="X243" t="s">
        <v>21</v>
      </c>
      <c r="Y243">
        <v>13.691000000000001</v>
      </c>
      <c r="Z243">
        <f t="shared" si="3"/>
        <v>13.691000000000001</v>
      </c>
      <c r="AA243">
        <v>0.137185</v>
      </c>
    </row>
    <row r="244" spans="1:27" x14ac:dyDescent="0.25">
      <c r="A244" s="1">
        <v>46010</v>
      </c>
      <c r="B244">
        <v>6834.5</v>
      </c>
      <c r="C244">
        <v>6835</v>
      </c>
      <c r="D244" s="1">
        <v>46038</v>
      </c>
      <c r="E244" s="1">
        <v>46073</v>
      </c>
      <c r="F244">
        <v>30</v>
      </c>
      <c r="G244">
        <v>28</v>
      </c>
      <c r="H244">
        <v>63</v>
      </c>
      <c r="I244">
        <v>0.94285714285714284</v>
      </c>
      <c r="J244">
        <v>5.7142857142857141E-2</v>
      </c>
      <c r="K244" t="s">
        <v>19</v>
      </c>
      <c r="L244" t="s">
        <v>397</v>
      </c>
      <c r="M244">
        <v>82</v>
      </c>
      <c r="N244">
        <v>75.5</v>
      </c>
      <c r="O244">
        <v>77.3</v>
      </c>
      <c r="P244">
        <v>76.400000000000006</v>
      </c>
      <c r="Q244" t="s">
        <v>21</v>
      </c>
      <c r="R244">
        <v>12.348000000000001</v>
      </c>
      <c r="S244" t="s">
        <v>398</v>
      </c>
      <c r="T244">
        <v>132</v>
      </c>
      <c r="U244">
        <v>125.9</v>
      </c>
      <c r="V244">
        <v>128</v>
      </c>
      <c r="W244">
        <v>126.95</v>
      </c>
      <c r="X244" t="s">
        <v>21</v>
      </c>
      <c r="Y244">
        <v>13.698</v>
      </c>
      <c r="Z244">
        <f t="shared" si="3"/>
        <v>12.425142857142857</v>
      </c>
      <c r="AA244">
        <v>0.12334714300000001</v>
      </c>
    </row>
    <row r="245" spans="1:27" x14ac:dyDescent="0.25">
      <c r="A245" s="1">
        <v>46013</v>
      </c>
      <c r="B245">
        <v>6878.49</v>
      </c>
      <c r="C245">
        <v>6880</v>
      </c>
      <c r="D245" s="1">
        <v>46038</v>
      </c>
      <c r="E245" s="1">
        <v>46073</v>
      </c>
      <c r="F245">
        <v>30</v>
      </c>
      <c r="G245">
        <v>25</v>
      </c>
      <c r="H245">
        <v>60</v>
      </c>
      <c r="I245">
        <v>0.8571428571428571</v>
      </c>
      <c r="J245">
        <v>0.14285714285714285</v>
      </c>
      <c r="K245" t="s">
        <v>19</v>
      </c>
      <c r="L245" t="s">
        <v>399</v>
      </c>
      <c r="M245">
        <v>71.099999999999994</v>
      </c>
      <c r="N245">
        <v>69.900000000000006</v>
      </c>
      <c r="O245">
        <v>71.2</v>
      </c>
      <c r="P245">
        <v>70.550000000000011</v>
      </c>
      <c r="Q245" t="s">
        <v>21</v>
      </c>
      <c r="R245">
        <v>11.084</v>
      </c>
      <c r="S245" t="s">
        <v>400</v>
      </c>
      <c r="T245">
        <v>120.82</v>
      </c>
      <c r="U245">
        <v>121.4</v>
      </c>
      <c r="V245">
        <v>123</v>
      </c>
      <c r="W245">
        <v>122.2</v>
      </c>
      <c r="X245" t="s">
        <v>21</v>
      </c>
      <c r="Y245">
        <v>12.93</v>
      </c>
      <c r="Z245">
        <f t="shared" si="3"/>
        <v>11.347714285714286</v>
      </c>
      <c r="AA245">
        <v>0.11257642900000001</v>
      </c>
    </row>
    <row r="246" spans="1:27" x14ac:dyDescent="0.25">
      <c r="A246" s="1">
        <v>46014</v>
      </c>
      <c r="B246">
        <v>6909.79</v>
      </c>
      <c r="C246">
        <v>6910</v>
      </c>
      <c r="D246" s="1">
        <v>46038</v>
      </c>
      <c r="E246" s="1">
        <v>46073</v>
      </c>
      <c r="F246">
        <v>30</v>
      </c>
      <c r="G246">
        <v>24</v>
      </c>
      <c r="H246">
        <v>59</v>
      </c>
      <c r="I246">
        <v>0.82857142857142863</v>
      </c>
      <c r="J246">
        <v>0.17142857142857143</v>
      </c>
      <c r="K246" t="s">
        <v>19</v>
      </c>
      <c r="L246" t="s">
        <v>401</v>
      </c>
      <c r="M246">
        <v>68.56</v>
      </c>
      <c r="N246">
        <v>68.099999999999994</v>
      </c>
      <c r="O246">
        <v>69.5</v>
      </c>
      <c r="P246">
        <v>68.8</v>
      </c>
      <c r="Q246" t="s">
        <v>21</v>
      </c>
      <c r="R246">
        <v>10.847</v>
      </c>
      <c r="S246" t="s">
        <v>402</v>
      </c>
      <c r="T246">
        <v>119.47</v>
      </c>
      <c r="U246">
        <v>121.5</v>
      </c>
      <c r="V246">
        <v>123.1</v>
      </c>
      <c r="W246">
        <v>122.3</v>
      </c>
      <c r="X246" t="s">
        <v>21</v>
      </c>
      <c r="Y246">
        <v>12.89</v>
      </c>
      <c r="Z246">
        <f t="shared" si="3"/>
        <v>11.197228571428571</v>
      </c>
      <c r="AA246">
        <v>0.111272</v>
      </c>
    </row>
    <row r="247" spans="1:27" x14ac:dyDescent="0.25">
      <c r="A247" s="1">
        <v>46015</v>
      </c>
      <c r="B247">
        <v>6932.05</v>
      </c>
      <c r="C247">
        <v>6930</v>
      </c>
      <c r="D247" s="1">
        <v>46038</v>
      </c>
      <c r="E247" s="1">
        <v>46073</v>
      </c>
      <c r="F247">
        <v>30</v>
      </c>
      <c r="G247">
        <v>23</v>
      </c>
      <c r="H247">
        <v>58</v>
      </c>
      <c r="I247">
        <v>0.8</v>
      </c>
      <c r="J247">
        <v>0.2</v>
      </c>
      <c r="K247" t="s">
        <v>19</v>
      </c>
      <c r="L247" t="s">
        <v>403</v>
      </c>
      <c r="M247">
        <v>63.1</v>
      </c>
      <c r="N247">
        <v>63.8</v>
      </c>
      <c r="O247">
        <v>64.599999999999994</v>
      </c>
      <c r="P247">
        <v>64.199999999999989</v>
      </c>
      <c r="Q247" t="s">
        <v>21</v>
      </c>
      <c r="R247">
        <v>10.706</v>
      </c>
      <c r="S247" t="s">
        <v>404</v>
      </c>
      <c r="T247" t="s">
        <v>21</v>
      </c>
      <c r="U247">
        <v>119.1</v>
      </c>
      <c r="V247">
        <v>120.2</v>
      </c>
      <c r="W247">
        <v>119.65</v>
      </c>
      <c r="X247" t="s">
        <v>21</v>
      </c>
      <c r="Y247">
        <v>12.906000000000001</v>
      </c>
      <c r="Z247">
        <f t="shared" si="3"/>
        <v>11.146000000000001</v>
      </c>
      <c r="AA247">
        <v>0.110648</v>
      </c>
    </row>
    <row r="248" spans="1:27" x14ac:dyDescent="0.25">
      <c r="A248" s="1">
        <v>46017</v>
      </c>
      <c r="B248">
        <v>6929.94</v>
      </c>
      <c r="C248">
        <v>6930</v>
      </c>
      <c r="D248" s="1">
        <v>46038</v>
      </c>
      <c r="E248" s="1">
        <v>46073</v>
      </c>
      <c r="F248">
        <v>30</v>
      </c>
      <c r="G248">
        <v>21</v>
      </c>
      <c r="H248">
        <v>56</v>
      </c>
      <c r="I248">
        <v>0.74285714285714288</v>
      </c>
      <c r="J248">
        <v>0.25714285714285712</v>
      </c>
      <c r="K248" t="s">
        <v>19</v>
      </c>
      <c r="L248" t="s">
        <v>403</v>
      </c>
      <c r="M248">
        <v>61.1</v>
      </c>
      <c r="N248">
        <v>61</v>
      </c>
      <c r="O248">
        <v>62.2</v>
      </c>
      <c r="P248">
        <v>61.6</v>
      </c>
      <c r="Q248" t="s">
        <v>21</v>
      </c>
      <c r="R248">
        <v>10.484</v>
      </c>
      <c r="S248" t="s">
        <v>404</v>
      </c>
      <c r="T248">
        <v>118</v>
      </c>
      <c r="U248">
        <v>118.2</v>
      </c>
      <c r="V248">
        <v>119.8</v>
      </c>
      <c r="W248">
        <v>119</v>
      </c>
      <c r="X248" t="s">
        <v>21</v>
      </c>
      <c r="Y248">
        <v>12.875</v>
      </c>
      <c r="Z248">
        <f t="shared" si="3"/>
        <v>11.098828571428571</v>
      </c>
      <c r="AA248">
        <v>0.109943286</v>
      </c>
    </row>
    <row r="249" spans="1:27" x14ac:dyDescent="0.25">
      <c r="A249" s="1">
        <v>46020</v>
      </c>
      <c r="B249">
        <v>6905.74</v>
      </c>
      <c r="C249">
        <v>6905</v>
      </c>
      <c r="D249" s="1">
        <v>46038</v>
      </c>
      <c r="E249" s="1">
        <v>46073</v>
      </c>
      <c r="F249">
        <v>30</v>
      </c>
      <c r="G249">
        <v>18</v>
      </c>
      <c r="H249">
        <v>53</v>
      </c>
      <c r="I249">
        <v>0.65714285714285714</v>
      </c>
      <c r="J249">
        <v>0.34285714285714286</v>
      </c>
      <c r="K249" t="s">
        <v>19</v>
      </c>
      <c r="L249" t="s">
        <v>405</v>
      </c>
      <c r="M249">
        <v>57.9</v>
      </c>
      <c r="N249">
        <v>56.7</v>
      </c>
      <c r="O249">
        <v>58.1</v>
      </c>
      <c r="P249">
        <v>57.400000000000006</v>
      </c>
      <c r="Q249" t="s">
        <v>21</v>
      </c>
      <c r="R249">
        <v>10.473000000000001</v>
      </c>
      <c r="S249" t="s">
        <v>406</v>
      </c>
      <c r="T249">
        <v>122.9</v>
      </c>
      <c r="U249">
        <v>113.8</v>
      </c>
      <c r="V249">
        <v>115.3</v>
      </c>
      <c r="W249">
        <v>114.55</v>
      </c>
      <c r="X249" t="s">
        <v>21</v>
      </c>
      <c r="Y249">
        <v>12.816000000000001</v>
      </c>
      <c r="Z249">
        <f t="shared" si="3"/>
        <v>11.276314285714285</v>
      </c>
      <c r="AA249">
        <v>0.112261714</v>
      </c>
    </row>
    <row r="250" spans="1:27" x14ac:dyDescent="0.25">
      <c r="A250" s="1">
        <v>46021</v>
      </c>
      <c r="B250">
        <v>6896.24</v>
      </c>
      <c r="C250">
        <v>6895</v>
      </c>
      <c r="D250" s="1">
        <v>46038</v>
      </c>
      <c r="E250" s="1">
        <v>46073</v>
      </c>
      <c r="F250">
        <v>30</v>
      </c>
      <c r="G250">
        <v>17</v>
      </c>
      <c r="H250">
        <v>52</v>
      </c>
      <c r="I250">
        <v>0.62857142857142856</v>
      </c>
      <c r="J250">
        <v>0.37142857142857144</v>
      </c>
      <c r="K250" t="s">
        <v>19</v>
      </c>
      <c r="L250" t="s">
        <v>407</v>
      </c>
      <c r="M250">
        <v>56.23</v>
      </c>
      <c r="N250">
        <v>55.6</v>
      </c>
      <c r="O250">
        <v>56.9</v>
      </c>
      <c r="P250">
        <v>56.25</v>
      </c>
      <c r="Q250" t="s">
        <v>21</v>
      </c>
      <c r="R250">
        <v>10.743</v>
      </c>
      <c r="S250" t="s">
        <v>408</v>
      </c>
      <c r="T250">
        <v>110.85</v>
      </c>
      <c r="U250">
        <v>113</v>
      </c>
      <c r="V250">
        <v>114.6</v>
      </c>
      <c r="W250">
        <v>113.8</v>
      </c>
      <c r="X250" t="s">
        <v>21</v>
      </c>
      <c r="Y250">
        <v>12.96</v>
      </c>
      <c r="Z250">
        <f t="shared" si="3"/>
        <v>11.566457142857143</v>
      </c>
      <c r="AA250">
        <v>0.114773714</v>
      </c>
    </row>
    <row r="251" spans="1:27" x14ac:dyDescent="0.25">
      <c r="A251" s="1">
        <v>46022</v>
      </c>
      <c r="B251">
        <v>6845.5</v>
      </c>
      <c r="C251">
        <v>6845</v>
      </c>
      <c r="D251" s="1">
        <v>46038</v>
      </c>
      <c r="E251" s="1">
        <v>46073</v>
      </c>
      <c r="F251">
        <v>30</v>
      </c>
      <c r="G251">
        <v>16</v>
      </c>
      <c r="H251">
        <v>51</v>
      </c>
      <c r="I251">
        <v>0.6</v>
      </c>
      <c r="J251">
        <v>0.4</v>
      </c>
      <c r="K251" t="s">
        <v>19</v>
      </c>
      <c r="L251" t="s">
        <v>384</v>
      </c>
      <c r="M251">
        <v>58.45</v>
      </c>
      <c r="N251">
        <v>57.7</v>
      </c>
      <c r="O251">
        <v>59</v>
      </c>
      <c r="P251">
        <v>58.35</v>
      </c>
      <c r="Q251" t="s">
        <v>21</v>
      </c>
      <c r="R251">
        <v>11.635</v>
      </c>
      <c r="S251" t="s">
        <v>409</v>
      </c>
      <c r="T251">
        <v>100.71</v>
      </c>
      <c r="U251">
        <v>114.2</v>
      </c>
      <c r="V251">
        <v>115.8</v>
      </c>
      <c r="W251">
        <v>115</v>
      </c>
      <c r="X251" t="s">
        <v>21</v>
      </c>
      <c r="Y251">
        <v>13.364000000000001</v>
      </c>
      <c r="Z251">
        <f t="shared" si="3"/>
        <v>12.326600000000001</v>
      </c>
      <c r="AA251">
        <v>0.122406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4E0AA-AA03-F24C-AF20-4A59BBF7C295}">
  <dimension ref="A1:E251"/>
  <sheetViews>
    <sheetView workbookViewId="0">
      <selection activeCell="I49" sqref="I49"/>
    </sheetView>
  </sheetViews>
  <sheetFormatPr defaultColWidth="11.42578125" defaultRowHeight="15" x14ac:dyDescent="0.25"/>
  <cols>
    <col min="2" max="2" width="16.85546875" bestFit="1" customWidth="1"/>
    <col min="3" max="3" width="16" bestFit="1" customWidth="1"/>
    <col min="4" max="4" width="19.5703125" bestFit="1" customWidth="1"/>
    <col min="5" max="5" width="17.42578125" bestFit="1" customWidth="1"/>
  </cols>
  <sheetData>
    <row r="1" spans="1:5" ht="15.75" x14ac:dyDescent="0.25">
      <c r="A1" s="3" t="s">
        <v>0</v>
      </c>
      <c r="B1" s="5" t="s">
        <v>822</v>
      </c>
      <c r="C1" s="4" t="s">
        <v>823</v>
      </c>
      <c r="D1" s="6" t="s">
        <v>825</v>
      </c>
      <c r="E1" s="7" t="s">
        <v>824</v>
      </c>
    </row>
    <row r="2" spans="1:5" ht="15.75" x14ac:dyDescent="0.25">
      <c r="A2" s="3">
        <v>45659</v>
      </c>
      <c r="B2">
        <f>VLOOKUP(A2, Call!A:Z, 26, FALSE)</f>
        <v>14.336999999999998</v>
      </c>
      <c r="C2">
        <f>VLOOKUP(A2, Put!A:Z, 26, FALSE)</f>
        <v>14.475428571428569</v>
      </c>
      <c r="D2">
        <f>(B2+C2)/200</f>
        <v>0.14406214285714283</v>
      </c>
      <c r="E2">
        <f>C2-B2</f>
        <v>0.13842857142857135</v>
      </c>
    </row>
    <row r="3" spans="1:5" ht="15.75" x14ac:dyDescent="0.25">
      <c r="A3" s="3">
        <v>45660</v>
      </c>
      <c r="B3">
        <f>VLOOKUP(A3, Call!A:Z, 26, FALSE)</f>
        <v>12.571114285714284</v>
      </c>
      <c r="C3">
        <f>VLOOKUP(A3, Put!A:Z, 26, FALSE)</f>
        <v>12.941371428571429</v>
      </c>
      <c r="D3">
        <f t="shared" ref="D3:D66" si="0">(B3+C3)/200</f>
        <v>0.12756242857142858</v>
      </c>
      <c r="E3">
        <f t="shared" ref="E3:E66" si="1">C3-B3</f>
        <v>0.37025714285714528</v>
      </c>
    </row>
    <row r="4" spans="1:5" ht="15.75" x14ac:dyDescent="0.25">
      <c r="A4" s="3">
        <v>45663</v>
      </c>
      <c r="B4">
        <f>VLOOKUP(A4, Call!A:Z, 26, FALSE)</f>
        <v>12.598857142857142</v>
      </c>
      <c r="C4">
        <f>VLOOKUP(A4, Put!A:Z, 26, FALSE)</f>
        <v>13.037485714285713</v>
      </c>
      <c r="D4">
        <f t="shared" si="0"/>
        <v>0.12818171428571429</v>
      </c>
      <c r="E4">
        <f t="shared" si="1"/>
        <v>0.43862857142857159</v>
      </c>
    </row>
    <row r="5" spans="1:5" ht="15.75" x14ac:dyDescent="0.25">
      <c r="A5" s="3">
        <v>45664</v>
      </c>
      <c r="B5">
        <f>VLOOKUP(A5, Call!A:Z, 26, FALSE)</f>
        <v>14.369142857142856</v>
      </c>
      <c r="C5">
        <f>VLOOKUP(A5, Put!A:Z, 26, FALSE)</f>
        <v>14.670571428571428</v>
      </c>
      <c r="D5">
        <f t="shared" si="0"/>
        <v>0.1451985714285714</v>
      </c>
      <c r="E5">
        <f t="shared" si="1"/>
        <v>0.3014285714285716</v>
      </c>
    </row>
    <row r="6" spans="1:5" ht="15.75" x14ac:dyDescent="0.25">
      <c r="A6" s="3">
        <v>45665</v>
      </c>
      <c r="B6">
        <f>VLOOKUP(A6, Call!A:Z, 26, FALSE)</f>
        <v>14.303799999999999</v>
      </c>
      <c r="C6">
        <f>VLOOKUP(A6, Put!A:Z, 26, FALSE)</f>
        <v>14.574400000000001</v>
      </c>
      <c r="D6">
        <f t="shared" si="0"/>
        <v>0.14439099999999999</v>
      </c>
      <c r="E6">
        <f t="shared" si="1"/>
        <v>0.27060000000000173</v>
      </c>
    </row>
    <row r="7" spans="1:5" ht="15.75" x14ac:dyDescent="0.25">
      <c r="A7" s="3">
        <v>45667</v>
      </c>
      <c r="B7">
        <f>VLOOKUP(A7, Call!A:Z, 26, FALSE)</f>
        <v>15.865600000000001</v>
      </c>
      <c r="C7">
        <f>VLOOKUP(A7, Put!A:Z, 26, FALSE)</f>
        <v>15.908028571428572</v>
      </c>
      <c r="D7">
        <f t="shared" si="0"/>
        <v>0.15886814285714287</v>
      </c>
      <c r="E7">
        <f t="shared" si="1"/>
        <v>4.242857142857126E-2</v>
      </c>
    </row>
    <row r="8" spans="1:5" ht="15.75" x14ac:dyDescent="0.25">
      <c r="A8" s="3">
        <v>45670</v>
      </c>
      <c r="B8">
        <f>VLOOKUP(A8, Call!A:Z, 26, FALSE)</f>
        <v>15.599228571428572</v>
      </c>
      <c r="C8">
        <f>VLOOKUP(A8, Put!A:Z, 26, FALSE)</f>
        <v>15.66562857142857</v>
      </c>
      <c r="D8">
        <f t="shared" si="0"/>
        <v>0.15632428571428572</v>
      </c>
      <c r="E8">
        <f t="shared" si="1"/>
        <v>6.6399999999998016E-2</v>
      </c>
    </row>
    <row r="9" spans="1:5" ht="15.75" x14ac:dyDescent="0.25">
      <c r="A9" s="3">
        <v>45671</v>
      </c>
      <c r="B9">
        <f>VLOOKUP(A9, Call!A:Z, 26, FALSE)</f>
        <v>15.548971428571429</v>
      </c>
      <c r="C9">
        <f>VLOOKUP(A9, Put!A:Z, 26, FALSE)</f>
        <v>16.058971428571429</v>
      </c>
      <c r="D9">
        <f t="shared" si="0"/>
        <v>0.15803971428571428</v>
      </c>
      <c r="E9">
        <f t="shared" si="1"/>
        <v>0.50999999999999979</v>
      </c>
    </row>
    <row r="10" spans="1:5" ht="15.75" x14ac:dyDescent="0.25">
      <c r="A10" s="3">
        <v>45672</v>
      </c>
      <c r="B10">
        <f>VLOOKUP(A10, Call!A:Z, 26, FALSE)</f>
        <v>12.576000000000001</v>
      </c>
      <c r="C10">
        <f>VLOOKUP(A10, Put!A:Z, 26, FALSE)</f>
        <v>12.865600000000001</v>
      </c>
      <c r="D10">
        <f t="shared" si="0"/>
        <v>0.12720800000000002</v>
      </c>
      <c r="E10">
        <f t="shared" si="1"/>
        <v>0.28960000000000008</v>
      </c>
    </row>
    <row r="11" spans="1:5" ht="15.75" x14ac:dyDescent="0.25">
      <c r="A11" s="3">
        <v>45673</v>
      </c>
      <c r="B11">
        <f>VLOOKUP(A11, Call!A:Z, 26, FALSE)</f>
        <v>12.569285714285716</v>
      </c>
      <c r="C11">
        <f>VLOOKUP(A11, Put!A:Z, 26, FALSE)</f>
        <v>12.520571428571429</v>
      </c>
      <c r="D11">
        <f t="shared" si="0"/>
        <v>0.12544928571428574</v>
      </c>
      <c r="E11">
        <f t="shared" si="1"/>
        <v>-4.8714285714286376E-2</v>
      </c>
    </row>
    <row r="12" spans="1:5" ht="15.75" x14ac:dyDescent="0.25">
      <c r="A12" s="3">
        <v>45674</v>
      </c>
      <c r="B12">
        <f>VLOOKUP(A12, Call!A:Z, 26, FALSE)</f>
        <v>12.862</v>
      </c>
      <c r="C12">
        <f>VLOOKUP(A12, Put!A:Z, 26, FALSE)</f>
        <v>13.061</v>
      </c>
      <c r="D12">
        <f t="shared" si="0"/>
        <v>0.12961500000000001</v>
      </c>
      <c r="E12">
        <f t="shared" si="1"/>
        <v>0.19899999999999984</v>
      </c>
    </row>
    <row r="13" spans="1:5" ht="15.75" x14ac:dyDescent="0.25">
      <c r="A13" s="3">
        <v>45678</v>
      </c>
      <c r="B13">
        <f>VLOOKUP(A13, Call!A:Z, 26, FALSE)</f>
        <v>11.612</v>
      </c>
      <c r="C13">
        <f>VLOOKUP(A13, Put!A:Z, 26, FALSE)</f>
        <v>11.864000000000001</v>
      </c>
      <c r="D13">
        <f t="shared" si="0"/>
        <v>0.11738</v>
      </c>
      <c r="E13">
        <f t="shared" si="1"/>
        <v>0.25200000000000067</v>
      </c>
    </row>
    <row r="14" spans="1:5" ht="15.75" x14ac:dyDescent="0.25">
      <c r="A14" s="3">
        <v>45679</v>
      </c>
      <c r="B14">
        <f>VLOOKUP(A14, Call!A:Z, 26, FALSE)</f>
        <v>11.413</v>
      </c>
      <c r="C14">
        <f>VLOOKUP(A14, Put!A:Z, 26, FALSE)</f>
        <v>11.632999999999999</v>
      </c>
      <c r="D14">
        <f t="shared" si="0"/>
        <v>0.11523</v>
      </c>
      <c r="E14">
        <f t="shared" si="1"/>
        <v>0.21999999999999886</v>
      </c>
    </row>
    <row r="15" spans="1:5" ht="15.75" x14ac:dyDescent="0.25">
      <c r="A15" s="3">
        <v>45680</v>
      </c>
      <c r="B15">
        <f>VLOOKUP(A15, Call!A:Z, 26, FALSE)</f>
        <v>11.308178571428572</v>
      </c>
      <c r="C15">
        <f>VLOOKUP(A15, Put!A:Z, 26, FALSE)</f>
        <v>11.562000000000001</v>
      </c>
      <c r="D15">
        <f t="shared" si="0"/>
        <v>0.11435089285714288</v>
      </c>
      <c r="E15">
        <f t="shared" si="1"/>
        <v>0.25382142857142931</v>
      </c>
    </row>
    <row r="16" spans="1:5" ht="15.75" x14ac:dyDescent="0.25">
      <c r="A16" s="3">
        <v>45681</v>
      </c>
      <c r="B16">
        <f>VLOOKUP(A16, Call!A:Z, 26, FALSE)</f>
        <v>11.3955</v>
      </c>
      <c r="C16">
        <f>VLOOKUP(A16, Put!A:Z, 26, FALSE)</f>
        <v>11.5905</v>
      </c>
      <c r="D16">
        <f t="shared" si="0"/>
        <v>0.11493</v>
      </c>
      <c r="E16">
        <f t="shared" si="1"/>
        <v>0.19500000000000028</v>
      </c>
    </row>
    <row r="17" spans="1:5" ht="15.75" x14ac:dyDescent="0.25">
      <c r="A17" s="3">
        <v>45684</v>
      </c>
      <c r="B17">
        <f>VLOOKUP(A17, Call!A:Z, 26, FALSE)</f>
        <v>13.911642857142855</v>
      </c>
      <c r="C17">
        <f>VLOOKUP(A17, Put!A:Z, 26, FALSE)</f>
        <v>13.896714285714284</v>
      </c>
      <c r="D17">
        <f t="shared" si="0"/>
        <v>0.13904178571428571</v>
      </c>
      <c r="E17">
        <f t="shared" si="1"/>
        <v>-1.4928571428571402E-2</v>
      </c>
    </row>
    <row r="18" spans="1:5" ht="15.75" x14ac:dyDescent="0.25">
      <c r="A18" s="3">
        <v>45685</v>
      </c>
      <c r="B18">
        <f>VLOOKUP(A18, Call!A:Z, 26, FALSE)</f>
        <v>12.658428571428571</v>
      </c>
      <c r="C18">
        <f>VLOOKUP(A18, Put!A:Z, 26, FALSE)</f>
        <v>12.750571428571428</v>
      </c>
      <c r="D18">
        <f t="shared" si="0"/>
        <v>0.12704499999999999</v>
      </c>
      <c r="E18">
        <f t="shared" si="1"/>
        <v>9.2142857142857082E-2</v>
      </c>
    </row>
    <row r="19" spans="1:5" ht="15.75" x14ac:dyDescent="0.25">
      <c r="A19" s="3">
        <v>45686</v>
      </c>
      <c r="B19">
        <f>VLOOKUP(A19, Call!A:Z, 26, FALSE)</f>
        <v>12.90625</v>
      </c>
      <c r="C19">
        <f>VLOOKUP(A19, Put!A:Z, 26, FALSE)</f>
        <v>13.488</v>
      </c>
      <c r="D19">
        <f t="shared" si="0"/>
        <v>0.13197124999999998</v>
      </c>
      <c r="E19">
        <f t="shared" si="1"/>
        <v>0.58174999999999955</v>
      </c>
    </row>
    <row r="20" spans="1:5" ht="15.75" x14ac:dyDescent="0.25">
      <c r="A20" s="3">
        <v>45687</v>
      </c>
      <c r="B20">
        <f>VLOOKUP(A20, Call!A:Z, 26, FALSE)</f>
        <v>12.414714285714286</v>
      </c>
      <c r="C20">
        <f>VLOOKUP(A20, Put!A:Z, 26, FALSE)</f>
        <v>12.769714285714286</v>
      </c>
      <c r="D20">
        <f t="shared" si="0"/>
        <v>0.12592214285714287</v>
      </c>
      <c r="E20">
        <f t="shared" si="1"/>
        <v>0.35500000000000043</v>
      </c>
    </row>
    <row r="21" spans="1:5" ht="15.75" x14ac:dyDescent="0.25">
      <c r="A21" s="3">
        <v>45688</v>
      </c>
      <c r="B21">
        <f>VLOOKUP(A21, Call!A:Z, 26, FALSE)</f>
        <v>13.285357142857144</v>
      </c>
      <c r="C21">
        <f>VLOOKUP(A21, Put!A:Z, 26, FALSE)</f>
        <v>13.554214285714286</v>
      </c>
      <c r="D21">
        <f t="shared" si="0"/>
        <v>0.13419785714285715</v>
      </c>
      <c r="E21">
        <f t="shared" si="1"/>
        <v>0.2688571428571418</v>
      </c>
    </row>
    <row r="22" spans="1:5" ht="15.75" x14ac:dyDescent="0.25">
      <c r="A22" s="3">
        <v>45691</v>
      </c>
      <c r="B22">
        <f>VLOOKUP(A22, Call!A:Z, 26, FALSE)</f>
        <v>14.423142857142857</v>
      </c>
      <c r="C22">
        <f>VLOOKUP(A22, Put!A:Z, 26, FALSE)</f>
        <v>15.320714285714285</v>
      </c>
      <c r="D22">
        <f t="shared" si="0"/>
        <v>0.14871928571428572</v>
      </c>
      <c r="E22">
        <f t="shared" si="1"/>
        <v>0.89757142857142824</v>
      </c>
    </row>
    <row r="23" spans="1:5" ht="15.75" x14ac:dyDescent="0.25">
      <c r="A23" s="3">
        <v>45692</v>
      </c>
      <c r="B23">
        <f>VLOOKUP(A23, Call!A:Z, 26, FALSE)</f>
        <v>13.31232142857143</v>
      </c>
      <c r="C23">
        <f>VLOOKUP(A23, Put!A:Z, 26, FALSE)</f>
        <v>13.611857142857144</v>
      </c>
      <c r="D23">
        <f t="shared" si="0"/>
        <v>0.13462089285714288</v>
      </c>
      <c r="E23">
        <f t="shared" si="1"/>
        <v>0.29953571428571379</v>
      </c>
    </row>
    <row r="24" spans="1:5" ht="15.75" x14ac:dyDescent="0.25">
      <c r="A24" s="3">
        <v>45693</v>
      </c>
      <c r="B24">
        <f>VLOOKUP(A24, Call!A:Z, 26, FALSE)</f>
        <v>12.5465</v>
      </c>
      <c r="C24">
        <f>VLOOKUP(A24, Put!A:Z, 26, FALSE)</f>
        <v>12.814499999999999</v>
      </c>
      <c r="D24">
        <f t="shared" si="0"/>
        <v>0.12680499999999997</v>
      </c>
      <c r="E24">
        <f t="shared" si="1"/>
        <v>0.26799999999999891</v>
      </c>
    </row>
    <row r="25" spans="1:5" ht="15.75" x14ac:dyDescent="0.25">
      <c r="A25" s="3">
        <v>45694</v>
      </c>
      <c r="B25">
        <f>VLOOKUP(A25, Call!A:Z, 26, FALSE)</f>
        <v>11.999642857142856</v>
      </c>
      <c r="C25">
        <f>VLOOKUP(A25, Put!A:Z, 26, FALSE)</f>
        <v>12.138678571428571</v>
      </c>
      <c r="D25">
        <f t="shared" si="0"/>
        <v>0.12069160714285714</v>
      </c>
      <c r="E25">
        <f t="shared" si="1"/>
        <v>0.13903571428571482</v>
      </c>
    </row>
    <row r="26" spans="1:5" ht="15.75" x14ac:dyDescent="0.25">
      <c r="A26" s="3">
        <v>45695</v>
      </c>
      <c r="B26">
        <f>VLOOKUP(A26, Call!A:Z, 26, FALSE)</f>
        <v>13.022428571428572</v>
      </c>
      <c r="C26">
        <f>VLOOKUP(A26, Put!A:Z, 26, FALSE)</f>
        <v>13.336714285714285</v>
      </c>
      <c r="D26">
        <f t="shared" si="0"/>
        <v>0.13179571428571429</v>
      </c>
      <c r="E26">
        <f t="shared" si="1"/>
        <v>0.31428571428571317</v>
      </c>
    </row>
    <row r="27" spans="1:5" ht="15.75" x14ac:dyDescent="0.25">
      <c r="A27" s="3">
        <v>45698</v>
      </c>
      <c r="B27">
        <f>VLOOKUP(A27, Call!A:Z, 26, FALSE)</f>
        <v>11.925464285714288</v>
      </c>
      <c r="C27">
        <f>VLOOKUP(A27, Put!A:Z, 26, FALSE)</f>
        <v>12.17732142857143</v>
      </c>
      <c r="D27">
        <f t="shared" si="0"/>
        <v>0.12051392857142858</v>
      </c>
      <c r="E27">
        <f t="shared" si="1"/>
        <v>0.25185714285714234</v>
      </c>
    </row>
    <row r="28" spans="1:5" ht="15.75" x14ac:dyDescent="0.25">
      <c r="A28" s="3">
        <v>45699</v>
      </c>
      <c r="B28">
        <f>VLOOKUP(A28, Call!A:Z, 26, FALSE)</f>
        <v>12.013571428571428</v>
      </c>
      <c r="C28">
        <f>VLOOKUP(A28, Put!A:Z, 26, FALSE)</f>
        <v>12.244</v>
      </c>
      <c r="D28">
        <f t="shared" si="0"/>
        <v>0.12128785714285714</v>
      </c>
      <c r="E28">
        <f t="shared" si="1"/>
        <v>0.23042857142857187</v>
      </c>
    </row>
    <row r="29" spans="1:5" ht="15.75" x14ac:dyDescent="0.25">
      <c r="A29" s="3">
        <v>45700</v>
      </c>
      <c r="B29">
        <f>VLOOKUP(A29, Call!A:Z, 26, FALSE)</f>
        <v>12.337</v>
      </c>
      <c r="C29">
        <f>VLOOKUP(A29, Put!A:Z, 26, FALSE)</f>
        <v>12.744</v>
      </c>
      <c r="D29">
        <f t="shared" si="0"/>
        <v>0.12540499999999999</v>
      </c>
      <c r="E29">
        <f t="shared" si="1"/>
        <v>0.40700000000000003</v>
      </c>
    </row>
    <row r="30" spans="1:5" ht="15.75" x14ac:dyDescent="0.25">
      <c r="A30" s="3">
        <v>45701</v>
      </c>
      <c r="B30">
        <f>VLOOKUP(A30, Call!A:Z, 26, FALSE)</f>
        <v>11.484857142857141</v>
      </c>
      <c r="C30">
        <f>VLOOKUP(A30, Put!A:Z, 26, FALSE)</f>
        <v>11.729714285714284</v>
      </c>
      <c r="D30">
        <f t="shared" si="0"/>
        <v>0.11607285714285713</v>
      </c>
      <c r="E30">
        <f t="shared" si="1"/>
        <v>0.24485714285714266</v>
      </c>
    </row>
    <row r="31" spans="1:5" ht="15.75" x14ac:dyDescent="0.25">
      <c r="A31" s="3">
        <v>45702</v>
      </c>
      <c r="B31">
        <f>VLOOKUP(A31, Call!A:Z, 26, FALSE)</f>
        <v>11.182464285714286</v>
      </c>
      <c r="C31">
        <f>VLOOKUP(A31, Put!A:Z, 26, FALSE)</f>
        <v>11.492857142857142</v>
      </c>
      <c r="D31">
        <f t="shared" si="0"/>
        <v>0.11337660714285715</v>
      </c>
      <c r="E31">
        <f t="shared" si="1"/>
        <v>0.31039285714285647</v>
      </c>
    </row>
    <row r="32" spans="1:5" ht="15.75" x14ac:dyDescent="0.25">
      <c r="A32" s="3">
        <v>45706</v>
      </c>
      <c r="B32">
        <f>VLOOKUP(A32, Call!A:Z, 26, FALSE)</f>
        <v>11.214142857142857</v>
      </c>
      <c r="C32">
        <f>VLOOKUP(A32, Put!A:Z, 26, FALSE)</f>
        <v>11.388178571428572</v>
      </c>
      <c r="D32">
        <f t="shared" si="0"/>
        <v>0.11301160714285714</v>
      </c>
      <c r="E32">
        <f t="shared" si="1"/>
        <v>0.17403571428571496</v>
      </c>
    </row>
    <row r="33" spans="1:5" ht="15.75" x14ac:dyDescent="0.25">
      <c r="A33" s="3">
        <v>45707</v>
      </c>
      <c r="B33">
        <f>VLOOKUP(A33, Call!A:Z, 26, FALSE)</f>
        <v>11.089</v>
      </c>
      <c r="C33">
        <f>VLOOKUP(A33, Put!A:Z, 26, FALSE)</f>
        <v>11.314</v>
      </c>
      <c r="D33">
        <f t="shared" si="0"/>
        <v>0.11201499999999999</v>
      </c>
      <c r="E33">
        <f t="shared" si="1"/>
        <v>0.22499999999999964</v>
      </c>
    </row>
    <row r="34" spans="1:5" ht="15.75" x14ac:dyDescent="0.25">
      <c r="A34" s="3">
        <v>45708</v>
      </c>
      <c r="B34">
        <f>VLOOKUP(A34, Call!A:Z, 26, FALSE)</f>
        <v>11.228999999999999</v>
      </c>
      <c r="C34">
        <f>VLOOKUP(A34, Put!A:Z, 26, FALSE)</f>
        <v>11.561</v>
      </c>
      <c r="D34">
        <f t="shared" si="0"/>
        <v>0.11395</v>
      </c>
      <c r="E34">
        <f t="shared" si="1"/>
        <v>0.33200000000000074</v>
      </c>
    </row>
    <row r="35" spans="1:5" ht="15.75" x14ac:dyDescent="0.25">
      <c r="A35" s="3">
        <v>45709</v>
      </c>
      <c r="B35">
        <f>VLOOKUP(A35, Call!A:Z, 26, FALSE)</f>
        <v>13.849703703703705</v>
      </c>
      <c r="C35">
        <f>VLOOKUP(A35, Put!A:Z, 26, FALSE)</f>
        <v>14.146888888888888</v>
      </c>
      <c r="D35">
        <f t="shared" si="0"/>
        <v>0.13998296296296295</v>
      </c>
      <c r="E35">
        <f t="shared" si="1"/>
        <v>0.29718518518518344</v>
      </c>
    </row>
    <row r="36" spans="1:5" ht="15.75" x14ac:dyDescent="0.25">
      <c r="A36" s="3">
        <v>45712</v>
      </c>
      <c r="B36">
        <f>VLOOKUP(A36, Call!A:Z, 26, FALSE)</f>
        <v>14.624407407407407</v>
      </c>
      <c r="C36">
        <f>VLOOKUP(A36, Put!A:Z, 26, FALSE)</f>
        <v>14.873592592592592</v>
      </c>
      <c r="D36">
        <f t="shared" si="0"/>
        <v>0.14748999999999998</v>
      </c>
      <c r="E36">
        <f t="shared" si="1"/>
        <v>0.24918518518518518</v>
      </c>
    </row>
    <row r="37" spans="1:5" ht="15.75" x14ac:dyDescent="0.25">
      <c r="A37" s="3">
        <v>45713</v>
      </c>
      <c r="B37">
        <f>VLOOKUP(A37, Call!A:Z, 26, FALSE)</f>
        <v>15.276333333333334</v>
      </c>
      <c r="C37">
        <f>VLOOKUP(A37, Put!A:Z, 26, FALSE)</f>
        <v>15.545666666666666</v>
      </c>
      <c r="D37">
        <f t="shared" si="0"/>
        <v>0.15411</v>
      </c>
      <c r="E37">
        <f t="shared" si="1"/>
        <v>0.26933333333333209</v>
      </c>
    </row>
    <row r="38" spans="1:5" ht="15.75" x14ac:dyDescent="0.25">
      <c r="A38" s="3">
        <v>45714</v>
      </c>
      <c r="B38">
        <f>VLOOKUP(A38, Call!A:Z, 26, FALSE)</f>
        <v>15.514777777777777</v>
      </c>
      <c r="C38">
        <f>VLOOKUP(A38, Put!A:Z, 26, FALSE)</f>
        <v>15.798925925925925</v>
      </c>
      <c r="D38">
        <f t="shared" si="0"/>
        <v>0.1565685185185185</v>
      </c>
      <c r="E38">
        <f t="shared" si="1"/>
        <v>0.28414814814814804</v>
      </c>
    </row>
    <row r="39" spans="1:5" ht="15.75" x14ac:dyDescent="0.25">
      <c r="A39" s="3">
        <v>45715</v>
      </c>
      <c r="B39">
        <f>VLOOKUP(A39, Call!A:Z, 26, FALSE)</f>
        <v>17.575666666666667</v>
      </c>
      <c r="C39">
        <f>VLOOKUP(A39, Put!A:Z, 26, FALSE)</f>
        <v>17.690925925925924</v>
      </c>
      <c r="D39">
        <f t="shared" si="0"/>
        <v>0.17633296296296294</v>
      </c>
      <c r="E39">
        <f t="shared" si="1"/>
        <v>0.11525925925925762</v>
      </c>
    </row>
    <row r="40" spans="1:5" ht="15.75" x14ac:dyDescent="0.25">
      <c r="A40" s="3">
        <v>45716</v>
      </c>
      <c r="B40">
        <f>VLOOKUP(A40, Call!A:Z, 26, FALSE)</f>
        <v>15.779999999999998</v>
      </c>
      <c r="C40">
        <f>VLOOKUP(A40, Put!A:Z, 26, FALSE)</f>
        <v>15.827666666666666</v>
      </c>
      <c r="D40">
        <f t="shared" si="0"/>
        <v>0.15803833333333331</v>
      </c>
      <c r="E40">
        <f t="shared" si="1"/>
        <v>4.7666666666668078E-2</v>
      </c>
    </row>
    <row r="41" spans="1:5" ht="15.75" x14ac:dyDescent="0.25">
      <c r="A41" s="3">
        <v>45719</v>
      </c>
      <c r="B41">
        <f>VLOOKUP(A41, Call!A:Z, 26, FALSE)</f>
        <v>18.255333333333333</v>
      </c>
      <c r="C41">
        <f>VLOOKUP(A41, Put!A:Z, 26, FALSE)</f>
        <v>18.445111111111114</v>
      </c>
      <c r="D41">
        <f t="shared" si="0"/>
        <v>0.18350222222222221</v>
      </c>
      <c r="E41">
        <f t="shared" si="1"/>
        <v>0.18977777777778115</v>
      </c>
    </row>
    <row r="42" spans="1:5" ht="15.75" x14ac:dyDescent="0.25">
      <c r="A42" s="3">
        <v>45720</v>
      </c>
      <c r="B42">
        <f>VLOOKUP(A42, Call!A:Z, 26, FALSE)</f>
        <v>19.371444444444442</v>
      </c>
      <c r="C42">
        <f>VLOOKUP(A42, Put!A:Z, 26, FALSE)</f>
        <v>19.604370370370368</v>
      </c>
      <c r="D42">
        <f t="shared" si="0"/>
        <v>0.19487907407407407</v>
      </c>
      <c r="E42">
        <f t="shared" si="1"/>
        <v>0.23292592592592598</v>
      </c>
    </row>
    <row r="43" spans="1:5" ht="15.75" x14ac:dyDescent="0.25">
      <c r="A43" s="3">
        <v>45721</v>
      </c>
      <c r="B43">
        <f>VLOOKUP(A43, Call!A:Z, 26, FALSE)</f>
        <v>18.330962962962964</v>
      </c>
      <c r="C43">
        <f>VLOOKUP(A43, Put!A:Z, 26, FALSE)</f>
        <v>18.533407407407406</v>
      </c>
      <c r="D43">
        <f t="shared" si="0"/>
        <v>0.18432185185185182</v>
      </c>
      <c r="E43">
        <f t="shared" si="1"/>
        <v>0.20244444444444198</v>
      </c>
    </row>
    <row r="44" spans="1:5" ht="15.75" x14ac:dyDescent="0.25">
      <c r="A44" s="3">
        <v>45722</v>
      </c>
      <c r="B44">
        <f>VLOOKUP(A44, Call!A:Z, 26, FALSE)</f>
        <v>21.316000000000003</v>
      </c>
      <c r="C44">
        <f>VLOOKUP(A44, Put!A:Z, 26, FALSE)</f>
        <v>21.44488888888889</v>
      </c>
      <c r="D44">
        <f t="shared" si="0"/>
        <v>0.21380444444444446</v>
      </c>
      <c r="E44">
        <f t="shared" si="1"/>
        <v>0.12888888888888772</v>
      </c>
    </row>
    <row r="45" spans="1:5" ht="15.75" x14ac:dyDescent="0.25">
      <c r="A45" s="3">
        <v>45723</v>
      </c>
      <c r="B45">
        <f>VLOOKUP(A45, Call!A:Z, 26, FALSE)</f>
        <v>19.665703703703706</v>
      </c>
      <c r="C45">
        <f>VLOOKUP(A45, Put!A:Z, 26, FALSE)</f>
        <v>19.92685185185185</v>
      </c>
      <c r="D45">
        <f t="shared" si="0"/>
        <v>0.19796277777777779</v>
      </c>
      <c r="E45">
        <f t="shared" si="1"/>
        <v>0.2611481481481448</v>
      </c>
    </row>
    <row r="46" spans="1:5" ht="15.75" x14ac:dyDescent="0.25">
      <c r="A46" s="3">
        <v>45726</v>
      </c>
      <c r="B46">
        <f>VLOOKUP(A46, Call!A:Z, 26, FALSE)</f>
        <v>22.992962962962963</v>
      </c>
      <c r="C46">
        <f>VLOOKUP(A46, Put!A:Z, 26, FALSE)</f>
        <v>22.793185185185187</v>
      </c>
      <c r="D46">
        <f t="shared" si="0"/>
        <v>0.22893074074074074</v>
      </c>
      <c r="E46">
        <f t="shared" si="1"/>
        <v>-0.19977777777777561</v>
      </c>
    </row>
    <row r="47" spans="1:5" ht="15.75" x14ac:dyDescent="0.25">
      <c r="A47" s="3">
        <v>45727</v>
      </c>
      <c r="B47">
        <f>VLOOKUP(A47, Call!A:Z, 26, FALSE)</f>
        <v>23.088925925925924</v>
      </c>
      <c r="C47">
        <f>VLOOKUP(A47, Put!A:Z, 26, FALSE)</f>
        <v>23.093185185185185</v>
      </c>
      <c r="D47">
        <f t="shared" si="0"/>
        <v>0.23091055555555556</v>
      </c>
      <c r="E47">
        <f t="shared" si="1"/>
        <v>4.2592592592605172E-3</v>
      </c>
    </row>
    <row r="48" spans="1:5" ht="15.75" x14ac:dyDescent="0.25">
      <c r="A48" s="3">
        <v>45728</v>
      </c>
      <c r="B48">
        <f>VLOOKUP(A48, Call!A:Z, 26, FALSE)</f>
        <v>20.832666666666668</v>
      </c>
      <c r="C48">
        <f>VLOOKUP(A48, Put!A:Z, 26, FALSE)</f>
        <v>21.000555555555554</v>
      </c>
      <c r="D48">
        <f t="shared" si="0"/>
        <v>0.20916611111111108</v>
      </c>
      <c r="E48">
        <f t="shared" si="1"/>
        <v>0.16788888888888565</v>
      </c>
    </row>
    <row r="49" spans="1:5" ht="15.75" x14ac:dyDescent="0.25">
      <c r="A49" s="3">
        <v>45729</v>
      </c>
      <c r="B49">
        <f>VLOOKUP(A49, Call!A:Z, 26, FALSE)</f>
        <v>21.67374074074074</v>
      </c>
      <c r="C49">
        <f>VLOOKUP(A49, Put!A:Z, 26, FALSE)</f>
        <v>21.873148148148147</v>
      </c>
      <c r="D49">
        <f t="shared" si="0"/>
        <v>0.21773444444444442</v>
      </c>
      <c r="E49">
        <f t="shared" si="1"/>
        <v>0.19940740740740637</v>
      </c>
    </row>
    <row r="50" spans="1:5" ht="15.75" x14ac:dyDescent="0.25">
      <c r="A50" s="3">
        <v>45730</v>
      </c>
      <c r="B50">
        <f>VLOOKUP(A50, Call!A:Z, 26, FALSE)</f>
        <v>18.720037037037038</v>
      </c>
      <c r="C50">
        <f>VLOOKUP(A50, Put!A:Z, 26, FALSE)</f>
        <v>18.976740740740741</v>
      </c>
      <c r="D50">
        <f t="shared" si="0"/>
        <v>0.18848388888888892</v>
      </c>
      <c r="E50">
        <f t="shared" si="1"/>
        <v>0.25670370370370321</v>
      </c>
    </row>
    <row r="51" spans="1:5" ht="15.75" x14ac:dyDescent="0.25">
      <c r="A51" s="3">
        <v>45733</v>
      </c>
      <c r="B51">
        <f>VLOOKUP(A51, Call!A:Z, 26, FALSE)</f>
        <v>17.521370370370366</v>
      </c>
      <c r="C51">
        <f>VLOOKUP(A51, Put!A:Z, 26, FALSE)</f>
        <v>17.544814814814814</v>
      </c>
      <c r="D51">
        <f t="shared" si="0"/>
        <v>0.17533092592592589</v>
      </c>
      <c r="E51">
        <f t="shared" si="1"/>
        <v>2.3444444444447043E-2</v>
      </c>
    </row>
    <row r="52" spans="1:5" ht="15.75" x14ac:dyDescent="0.25">
      <c r="A52" s="3">
        <v>45734</v>
      </c>
      <c r="B52">
        <f>VLOOKUP(A52, Call!A:Z, 26, FALSE)</f>
        <v>18.692</v>
      </c>
      <c r="C52">
        <f>VLOOKUP(A52, Put!A:Z, 26, FALSE)</f>
        <v>18.898</v>
      </c>
      <c r="D52">
        <f t="shared" si="0"/>
        <v>0.18795000000000001</v>
      </c>
      <c r="E52">
        <f t="shared" si="1"/>
        <v>0.20599999999999952</v>
      </c>
    </row>
    <row r="53" spans="1:5" ht="15.75" x14ac:dyDescent="0.25">
      <c r="A53" s="3">
        <v>45735</v>
      </c>
      <c r="B53">
        <f>VLOOKUP(A53, Call!A:Z, 26, FALSE)</f>
        <v>17.228999999999999</v>
      </c>
      <c r="C53">
        <f>VLOOKUP(A53, Put!A:Z, 26, FALSE)</f>
        <v>17.324000000000002</v>
      </c>
      <c r="D53">
        <f t="shared" si="0"/>
        <v>0.17276499999999997</v>
      </c>
      <c r="E53">
        <f t="shared" si="1"/>
        <v>9.5000000000002416E-2</v>
      </c>
    </row>
    <row r="54" spans="1:5" ht="15.75" x14ac:dyDescent="0.25">
      <c r="A54" s="3">
        <v>45736</v>
      </c>
      <c r="B54">
        <f>VLOOKUP(A54, Call!A:Z, 26, FALSE)</f>
        <v>17.187999999999999</v>
      </c>
      <c r="C54">
        <f>VLOOKUP(A54, Put!A:Z, 26, FALSE)</f>
        <v>17.283999999999999</v>
      </c>
      <c r="D54">
        <f t="shared" si="0"/>
        <v>0.17235999999999996</v>
      </c>
      <c r="E54">
        <f t="shared" si="1"/>
        <v>9.6000000000000085E-2</v>
      </c>
    </row>
    <row r="55" spans="1:5" ht="15.75" x14ac:dyDescent="0.25">
      <c r="A55" s="3">
        <v>45737</v>
      </c>
      <c r="B55">
        <f>VLOOKUP(A55, Call!A:Z, 26, FALSE)</f>
        <v>16.822862068965517</v>
      </c>
      <c r="C55">
        <f>VLOOKUP(A55, Put!A:Z, 26, FALSE)</f>
        <v>16.926344827586206</v>
      </c>
      <c r="D55">
        <f t="shared" si="0"/>
        <v>0.16874603448275863</v>
      </c>
      <c r="E55">
        <f t="shared" si="1"/>
        <v>0.10348275862068945</v>
      </c>
    </row>
    <row r="56" spans="1:5" ht="15.75" x14ac:dyDescent="0.25">
      <c r="A56" s="3">
        <v>45740</v>
      </c>
      <c r="B56">
        <f>VLOOKUP(A56, Call!A:Z, 26, FALSE)</f>
        <v>14.873620689655173</v>
      </c>
      <c r="C56">
        <f>VLOOKUP(A56, Put!A:Z, 26, FALSE)</f>
        <v>14.955137931034482</v>
      </c>
      <c r="D56">
        <f t="shared" si="0"/>
        <v>0.14914379310344827</v>
      </c>
      <c r="E56">
        <f t="shared" si="1"/>
        <v>8.1517241379309269E-2</v>
      </c>
    </row>
    <row r="57" spans="1:5" ht="15.75" x14ac:dyDescent="0.25">
      <c r="A57" s="3">
        <v>45741</v>
      </c>
      <c r="B57">
        <f>VLOOKUP(A57, Call!A:Z, 26, FALSE)</f>
        <v>14.668517241379309</v>
      </c>
      <c r="C57">
        <f>VLOOKUP(A57, Put!A:Z, 26, FALSE)</f>
        <v>14.841275862068965</v>
      </c>
      <c r="D57">
        <f t="shared" si="0"/>
        <v>0.14754896551724136</v>
      </c>
      <c r="E57">
        <f t="shared" si="1"/>
        <v>0.17275862068965608</v>
      </c>
    </row>
    <row r="58" spans="1:5" ht="15.75" x14ac:dyDescent="0.25">
      <c r="A58" s="3">
        <v>45742</v>
      </c>
      <c r="B58">
        <f>VLOOKUP(A58, Call!A:Z, 26, FALSE)</f>
        <v>16.04848275862069</v>
      </c>
      <c r="C58">
        <f>VLOOKUP(A58, Put!A:Z, 26, FALSE)</f>
        <v>16.168551724137931</v>
      </c>
      <c r="D58">
        <f t="shared" si="0"/>
        <v>0.16108517241379311</v>
      </c>
      <c r="E58">
        <f t="shared" si="1"/>
        <v>0.12006896551724111</v>
      </c>
    </row>
    <row r="59" spans="1:5" ht="15.75" x14ac:dyDescent="0.25">
      <c r="A59" s="3">
        <v>45743</v>
      </c>
      <c r="B59">
        <f>VLOOKUP(A59, Call!A:Z, 26, FALSE)</f>
        <v>16.464586206896552</v>
      </c>
      <c r="C59">
        <f>VLOOKUP(A59, Put!A:Z, 26, FALSE)</f>
        <v>16.679689655172417</v>
      </c>
      <c r="D59">
        <f t="shared" si="0"/>
        <v>0.16572137931034484</v>
      </c>
      <c r="E59">
        <f t="shared" si="1"/>
        <v>0.21510344827586536</v>
      </c>
    </row>
    <row r="60" spans="1:5" ht="15.75" x14ac:dyDescent="0.25">
      <c r="A60" s="3">
        <v>45744</v>
      </c>
      <c r="B60">
        <f>VLOOKUP(A60, Call!A:Z, 26, FALSE)</f>
        <v>19.149206896551725</v>
      </c>
      <c r="C60">
        <f>VLOOKUP(A60, Put!A:Z, 26, FALSE)</f>
        <v>19.218965517241379</v>
      </c>
      <c r="D60">
        <f t="shared" si="0"/>
        <v>0.19184086206896553</v>
      </c>
      <c r="E60">
        <f t="shared" si="1"/>
        <v>6.9758620689654549E-2</v>
      </c>
    </row>
    <row r="61" spans="1:5" ht="15.75" x14ac:dyDescent="0.25">
      <c r="A61" s="3">
        <v>45747</v>
      </c>
      <c r="B61">
        <f>VLOOKUP(A61, Call!A:Z, 26, FALSE)</f>
        <v>18.841000000000001</v>
      </c>
      <c r="C61">
        <f>VLOOKUP(A61, Put!A:Z, 26, FALSE)</f>
        <v>18.82396551724138</v>
      </c>
      <c r="D61">
        <f t="shared" si="0"/>
        <v>0.18832482758620692</v>
      </c>
      <c r="E61">
        <f t="shared" si="1"/>
        <v>-1.7034482758621294E-2</v>
      </c>
    </row>
    <row r="62" spans="1:5" ht="15.75" x14ac:dyDescent="0.25">
      <c r="A62" s="3">
        <v>45748</v>
      </c>
      <c r="B62">
        <f>VLOOKUP(A62, Call!A:Z, 26, FALSE)</f>
        <v>18.536517241379311</v>
      </c>
      <c r="C62">
        <f>VLOOKUP(A62, Put!A:Z, 26, FALSE)</f>
        <v>18.843965517241379</v>
      </c>
      <c r="D62">
        <f t="shared" si="0"/>
        <v>0.18690241379310343</v>
      </c>
      <c r="E62">
        <f t="shared" si="1"/>
        <v>0.30744827586206824</v>
      </c>
    </row>
    <row r="63" spans="1:5" ht="15.75" x14ac:dyDescent="0.25">
      <c r="A63" s="3">
        <v>45749</v>
      </c>
      <c r="B63">
        <f>VLOOKUP(A63, Call!A:Z, 26, FALSE)</f>
        <v>18.470620689655174</v>
      </c>
      <c r="C63">
        <f>VLOOKUP(A63, Put!A:Z, 26, FALSE)</f>
        <v>18.534586206896549</v>
      </c>
      <c r="D63">
        <f t="shared" si="0"/>
        <v>0.18502603448275864</v>
      </c>
      <c r="E63">
        <f t="shared" si="1"/>
        <v>6.396551724137467E-2</v>
      </c>
    </row>
    <row r="64" spans="1:5" ht="15.75" x14ac:dyDescent="0.25">
      <c r="A64" s="3">
        <v>45750</v>
      </c>
      <c r="B64">
        <f>VLOOKUP(A64, Call!A:Z, 26, FALSE)</f>
        <v>25.477206896551721</v>
      </c>
      <c r="C64">
        <f>VLOOKUP(A64, Put!A:Z, 26, FALSE)</f>
        <v>25.69003448275862</v>
      </c>
      <c r="D64">
        <f t="shared" si="0"/>
        <v>0.25583620689655168</v>
      </c>
      <c r="E64">
        <f t="shared" si="1"/>
        <v>0.2128275862068989</v>
      </c>
    </row>
    <row r="65" spans="1:5" ht="15.75" x14ac:dyDescent="0.25">
      <c r="A65" s="3">
        <v>45751</v>
      </c>
      <c r="B65">
        <f>VLOOKUP(A65, Call!A:Z, 26, FALSE)</f>
        <v>38.340482758620688</v>
      </c>
      <c r="C65">
        <f>VLOOKUP(A65, Put!A:Z, 26, FALSE)</f>
        <v>38.54524137931034</v>
      </c>
      <c r="D65">
        <f t="shared" si="0"/>
        <v>0.38442862068965511</v>
      </c>
      <c r="E65">
        <f t="shared" si="1"/>
        <v>0.20475862068965256</v>
      </c>
    </row>
    <row r="66" spans="1:5" ht="15.75" x14ac:dyDescent="0.25">
      <c r="A66" s="3">
        <v>45754</v>
      </c>
      <c r="B66">
        <f>VLOOKUP(A66, Call!A:Z, 26, FALSE)</f>
        <v>40.421103448275865</v>
      </c>
      <c r="C66">
        <f>VLOOKUP(A66, Put!A:Z, 26, FALSE)</f>
        <v>40.878379310344833</v>
      </c>
      <c r="D66">
        <f t="shared" si="0"/>
        <v>0.4064974137931035</v>
      </c>
      <c r="E66">
        <f t="shared" si="1"/>
        <v>0.45727586206896831</v>
      </c>
    </row>
    <row r="67" spans="1:5" ht="15.75" x14ac:dyDescent="0.25">
      <c r="A67" s="3">
        <v>45755</v>
      </c>
      <c r="B67">
        <f>VLOOKUP(A67, Call!A:Z, 26, FALSE)</f>
        <v>43.747206896551724</v>
      </c>
      <c r="C67">
        <f>VLOOKUP(A67, Put!A:Z, 26, FALSE)</f>
        <v>43.878931034482761</v>
      </c>
      <c r="D67">
        <f t="shared" ref="D67:D130" si="2">(B67+C67)/200</f>
        <v>0.43813068965517243</v>
      </c>
      <c r="E67">
        <f t="shared" ref="E67:E130" si="3">C67-B67</f>
        <v>0.13172413793103743</v>
      </c>
    </row>
    <row r="68" spans="1:5" ht="15.75" x14ac:dyDescent="0.25">
      <c r="A68" s="3">
        <v>45756</v>
      </c>
      <c r="B68">
        <f>VLOOKUP(A68, Call!A:Z, 26, FALSE)</f>
        <v>28.032758620689656</v>
      </c>
      <c r="C68">
        <f>VLOOKUP(A68, Put!A:Z, 26, FALSE)</f>
        <v>27.161241379310344</v>
      </c>
      <c r="D68">
        <f t="shared" si="2"/>
        <v>0.27596999999999999</v>
      </c>
      <c r="E68">
        <f t="shared" si="3"/>
        <v>-0.87151724137931197</v>
      </c>
    </row>
    <row r="69" spans="1:5" ht="15.75" x14ac:dyDescent="0.25">
      <c r="A69" s="3">
        <v>45757</v>
      </c>
      <c r="B69">
        <f>VLOOKUP(A69, Call!A:Z, 26, FALSE)</f>
        <v>36.329344827586212</v>
      </c>
      <c r="C69">
        <f>VLOOKUP(A69, Put!A:Z, 26, FALSE)</f>
        <v>36.010000000000005</v>
      </c>
      <c r="D69">
        <f t="shared" si="2"/>
        <v>0.36169672413793108</v>
      </c>
      <c r="E69">
        <f t="shared" si="3"/>
        <v>-0.31934482758620675</v>
      </c>
    </row>
    <row r="70" spans="1:5" ht="15.75" x14ac:dyDescent="0.25">
      <c r="A70" s="3">
        <v>45758</v>
      </c>
      <c r="B70">
        <f>VLOOKUP(A70, Call!A:Z, 26, FALSE)</f>
        <v>32.840896551724143</v>
      </c>
      <c r="C70">
        <f>VLOOKUP(A70, Put!A:Z, 26, FALSE)</f>
        <v>32.694241379310341</v>
      </c>
      <c r="D70">
        <f t="shared" si="2"/>
        <v>0.32767568965517241</v>
      </c>
      <c r="E70">
        <f t="shared" si="3"/>
        <v>-0.14665517241380144</v>
      </c>
    </row>
    <row r="71" spans="1:5" ht="15.75" x14ac:dyDescent="0.25">
      <c r="A71" s="3">
        <v>45761</v>
      </c>
      <c r="B71">
        <f>VLOOKUP(A71, Call!A:Z, 26, FALSE)</f>
        <v>25.637758620689656</v>
      </c>
      <c r="C71">
        <f>VLOOKUP(A71, Put!A:Z, 26, FALSE)</f>
        <v>25.812275862068965</v>
      </c>
      <c r="D71">
        <f t="shared" si="2"/>
        <v>0.25725017241379311</v>
      </c>
      <c r="E71">
        <f t="shared" si="3"/>
        <v>0.17451724137930924</v>
      </c>
    </row>
    <row r="72" spans="1:5" ht="15.75" x14ac:dyDescent="0.25">
      <c r="A72" s="3">
        <v>45762</v>
      </c>
      <c r="B72">
        <f>VLOOKUP(A72, Call!A:Z, 26, FALSE)</f>
        <v>24.635586206896555</v>
      </c>
      <c r="C72">
        <f>VLOOKUP(A72, Put!A:Z, 26, FALSE)</f>
        <v>24.768448275862067</v>
      </c>
      <c r="D72">
        <f t="shared" si="2"/>
        <v>0.24702017241379309</v>
      </c>
      <c r="E72">
        <f t="shared" si="3"/>
        <v>0.13286206896551178</v>
      </c>
    </row>
    <row r="73" spans="1:5" ht="15.75" x14ac:dyDescent="0.25">
      <c r="A73" s="3">
        <v>45763</v>
      </c>
      <c r="B73">
        <f>VLOOKUP(A73, Call!A:Z, 26, FALSE)</f>
        <v>27.847000000000001</v>
      </c>
      <c r="C73">
        <f>VLOOKUP(A73, Put!A:Z, 26, FALSE)</f>
        <v>27.991</v>
      </c>
      <c r="D73">
        <f t="shared" si="2"/>
        <v>0.27918999999999999</v>
      </c>
      <c r="E73">
        <f t="shared" si="3"/>
        <v>0.14399999999999835</v>
      </c>
    </row>
    <row r="74" spans="1:5" ht="15.75" x14ac:dyDescent="0.25">
      <c r="A74" s="3">
        <v>45764</v>
      </c>
      <c r="B74">
        <f>VLOOKUP(A74, Call!A:Z, 26, FALSE)</f>
        <v>24.928999999999998</v>
      </c>
      <c r="C74">
        <f>VLOOKUP(A74, Put!A:Z, 26, FALSE)</f>
        <v>25.233000000000001</v>
      </c>
      <c r="D74">
        <f t="shared" si="2"/>
        <v>0.25080999999999998</v>
      </c>
      <c r="E74">
        <f t="shared" si="3"/>
        <v>0.30400000000000205</v>
      </c>
    </row>
    <row r="75" spans="1:5" ht="15.75" x14ac:dyDescent="0.25">
      <c r="A75" s="3">
        <v>45768</v>
      </c>
      <c r="B75">
        <f>VLOOKUP(A75, Call!A:Z, 26, FALSE)</f>
        <v>28.794</v>
      </c>
      <c r="C75">
        <f>VLOOKUP(A75, Put!A:Z, 26, FALSE)</f>
        <v>29.122857142857143</v>
      </c>
      <c r="D75">
        <f t="shared" si="2"/>
        <v>0.28958428571428568</v>
      </c>
      <c r="E75">
        <f t="shared" si="3"/>
        <v>0.32885714285714229</v>
      </c>
    </row>
    <row r="76" spans="1:5" ht="15.75" x14ac:dyDescent="0.25">
      <c r="A76" s="3">
        <v>45769</v>
      </c>
      <c r="B76">
        <f>VLOOKUP(A76, Call!A:Z, 26, FALSE)</f>
        <v>25.514428571428574</v>
      </c>
      <c r="C76">
        <f>VLOOKUP(A76, Put!A:Z, 26, FALSE)</f>
        <v>25.628714285714285</v>
      </c>
      <c r="D76">
        <f t="shared" si="2"/>
        <v>0.25571571428571432</v>
      </c>
      <c r="E76">
        <f t="shared" si="3"/>
        <v>0.11428571428571033</v>
      </c>
    </row>
    <row r="77" spans="1:5" ht="15.75" x14ac:dyDescent="0.25">
      <c r="A77" s="3">
        <v>45770</v>
      </c>
      <c r="B77">
        <f>VLOOKUP(A77, Call!A:Z, 26, FALSE)</f>
        <v>24.7226</v>
      </c>
      <c r="C77">
        <f>VLOOKUP(A77, Put!A:Z, 26, FALSE)</f>
        <v>24.6648</v>
      </c>
      <c r="D77">
        <f t="shared" si="2"/>
        <v>0.24693699999999999</v>
      </c>
      <c r="E77">
        <f t="shared" si="3"/>
        <v>-5.7800000000000296E-2</v>
      </c>
    </row>
    <row r="78" spans="1:5" ht="15.75" x14ac:dyDescent="0.25">
      <c r="A78" s="3">
        <v>45771</v>
      </c>
      <c r="B78">
        <f>VLOOKUP(A78, Call!A:Z, 26, FALSE)</f>
        <v>22.769971428571427</v>
      </c>
      <c r="C78">
        <f>VLOOKUP(A78, Put!A:Z, 26, FALSE)</f>
        <v>23.061628571428571</v>
      </c>
      <c r="D78">
        <f t="shared" si="2"/>
        <v>0.22915799999999997</v>
      </c>
      <c r="E78">
        <f t="shared" si="3"/>
        <v>0.29165714285714373</v>
      </c>
    </row>
    <row r="79" spans="1:5" ht="15.75" x14ac:dyDescent="0.25">
      <c r="A79" s="3">
        <v>45772</v>
      </c>
      <c r="B79">
        <f>VLOOKUP(A79, Call!A:Z, 26, FALSE)</f>
        <v>21.444199999999999</v>
      </c>
      <c r="C79">
        <f>VLOOKUP(A79, Put!A:Z, 26, FALSE)</f>
        <v>21.417828571428572</v>
      </c>
      <c r="D79">
        <f t="shared" si="2"/>
        <v>0.21431014285714284</v>
      </c>
      <c r="E79">
        <f t="shared" si="3"/>
        <v>-2.6371428571426492E-2</v>
      </c>
    </row>
    <row r="80" spans="1:5" ht="15.75" x14ac:dyDescent="0.25">
      <c r="A80" s="3">
        <v>45775</v>
      </c>
      <c r="B80">
        <f>VLOOKUP(A80, Call!A:Z, 26, FALSE)</f>
        <v>21.113657142857143</v>
      </c>
      <c r="C80">
        <f>VLOOKUP(A80, Put!A:Z, 26, FALSE)</f>
        <v>21.275057142857143</v>
      </c>
      <c r="D80">
        <f t="shared" si="2"/>
        <v>0.21194357142857143</v>
      </c>
      <c r="E80">
        <f t="shared" si="3"/>
        <v>0.16140000000000043</v>
      </c>
    </row>
    <row r="81" spans="1:5" ht="15.75" x14ac:dyDescent="0.25">
      <c r="A81" s="3">
        <v>45776</v>
      </c>
      <c r="B81">
        <f>VLOOKUP(A81, Call!A:Z, 26, FALSE)</f>
        <v>20.593942857142856</v>
      </c>
      <c r="C81">
        <f>VLOOKUP(A81, Put!A:Z, 26, FALSE)</f>
        <v>20.578828571428573</v>
      </c>
      <c r="D81">
        <f t="shared" si="2"/>
        <v>0.20586385714285715</v>
      </c>
      <c r="E81">
        <f t="shared" si="3"/>
        <v>-1.5114285714282971E-2</v>
      </c>
    </row>
    <row r="82" spans="1:5" ht="15.75" x14ac:dyDescent="0.25">
      <c r="A82" s="3">
        <v>45777</v>
      </c>
      <c r="B82">
        <f>VLOOKUP(A82, Call!A:Z, 26, FALSE)</f>
        <v>21.147599999999997</v>
      </c>
      <c r="C82">
        <f>VLOOKUP(A82, Put!A:Z, 26, FALSE)</f>
        <v>21.378599999999999</v>
      </c>
      <c r="D82">
        <f t="shared" si="2"/>
        <v>0.21263099999999999</v>
      </c>
      <c r="E82">
        <f t="shared" si="3"/>
        <v>0.23100000000000165</v>
      </c>
    </row>
    <row r="83" spans="1:5" ht="15.75" x14ac:dyDescent="0.25">
      <c r="A83" s="3">
        <v>45778</v>
      </c>
      <c r="B83">
        <f>VLOOKUP(A83, Call!A:Z, 26, FALSE)</f>
        <v>20.941285714285712</v>
      </c>
      <c r="C83">
        <f>VLOOKUP(A83, Put!A:Z, 26, FALSE)</f>
        <v>20.744571428571426</v>
      </c>
      <c r="D83">
        <f t="shared" si="2"/>
        <v>0.20842928571428568</v>
      </c>
      <c r="E83">
        <f t="shared" si="3"/>
        <v>-0.19671428571428606</v>
      </c>
    </row>
    <row r="84" spans="1:5" ht="15.75" x14ac:dyDescent="0.25">
      <c r="A84" s="3">
        <v>45779</v>
      </c>
      <c r="B84">
        <f>VLOOKUP(A84, Call!A:Z, 26, FALSE)</f>
        <v>18.813542857142856</v>
      </c>
      <c r="C84">
        <f>VLOOKUP(A84, Put!A:Z, 26, FALSE)</f>
        <v>19.066971428571428</v>
      </c>
      <c r="D84">
        <f t="shared" si="2"/>
        <v>0.18940257142857142</v>
      </c>
      <c r="E84">
        <f t="shared" si="3"/>
        <v>0.25342857142857156</v>
      </c>
    </row>
    <row r="85" spans="1:5" ht="15.75" x14ac:dyDescent="0.25">
      <c r="A85" s="3">
        <v>45782</v>
      </c>
      <c r="B85">
        <f>VLOOKUP(A85, Call!A:Z, 26, FALSE)</f>
        <v>19.155857142857144</v>
      </c>
      <c r="C85">
        <f>VLOOKUP(A85, Put!A:Z, 26, FALSE)</f>
        <v>19.169628571428571</v>
      </c>
      <c r="D85">
        <f t="shared" si="2"/>
        <v>0.19162742857142859</v>
      </c>
      <c r="E85">
        <f t="shared" si="3"/>
        <v>1.3771428571427435E-2</v>
      </c>
    </row>
    <row r="86" spans="1:5" ht="15.75" x14ac:dyDescent="0.25">
      <c r="A86" s="3">
        <v>45783</v>
      </c>
      <c r="B86">
        <f>VLOOKUP(A86, Call!A:Z, 26, FALSE)</f>
        <v>20.332000000000001</v>
      </c>
      <c r="C86">
        <f>VLOOKUP(A86, Put!A:Z, 26, FALSE)</f>
        <v>20.601428571428571</v>
      </c>
      <c r="D86">
        <f t="shared" si="2"/>
        <v>0.20466714285714285</v>
      </c>
      <c r="E86">
        <f t="shared" si="3"/>
        <v>0.2694285714285698</v>
      </c>
    </row>
    <row r="87" spans="1:5" ht="15.75" x14ac:dyDescent="0.25">
      <c r="A87" s="3">
        <v>45784</v>
      </c>
      <c r="B87">
        <f>VLOOKUP(A87, Call!A:Z, 26, FALSE)</f>
        <v>19.747</v>
      </c>
      <c r="C87">
        <f>VLOOKUP(A87, Put!A:Z, 26, FALSE)</f>
        <v>19.991</v>
      </c>
      <c r="D87">
        <f t="shared" si="2"/>
        <v>0.19869000000000001</v>
      </c>
      <c r="E87">
        <f t="shared" si="3"/>
        <v>0.24399999999999977</v>
      </c>
    </row>
    <row r="88" spans="1:5" ht="15.75" x14ac:dyDescent="0.25">
      <c r="A88" s="3">
        <v>45785</v>
      </c>
      <c r="B88">
        <f>VLOOKUP(A88, Call!A:Z, 26, FALSE)</f>
        <v>19.193742857142858</v>
      </c>
      <c r="C88">
        <f>VLOOKUP(A88, Put!A:Z, 26, FALSE)</f>
        <v>19.413371428571427</v>
      </c>
      <c r="D88">
        <f t="shared" si="2"/>
        <v>0.19303557142857145</v>
      </c>
      <c r="E88">
        <f t="shared" si="3"/>
        <v>0.21962857142856862</v>
      </c>
    </row>
    <row r="89" spans="1:5" ht="15.75" x14ac:dyDescent="0.25">
      <c r="A89" s="3">
        <v>45786</v>
      </c>
      <c r="B89">
        <f>VLOOKUP(A89, Call!A:Z, 26, FALSE)</f>
        <v>19.354571428571429</v>
      </c>
      <c r="C89">
        <f>VLOOKUP(A89, Put!A:Z, 26, FALSE)</f>
        <v>19.508885714285714</v>
      </c>
      <c r="D89">
        <f t="shared" si="2"/>
        <v>0.19431728571428572</v>
      </c>
      <c r="E89">
        <f t="shared" si="3"/>
        <v>0.1543142857142854</v>
      </c>
    </row>
    <row r="90" spans="1:5" ht="15.75" x14ac:dyDescent="0.25">
      <c r="A90" s="3">
        <v>45789</v>
      </c>
      <c r="B90">
        <f>VLOOKUP(A90, Call!A:Z, 26, FALSE)</f>
        <v>14.903314285714288</v>
      </c>
      <c r="C90">
        <f>VLOOKUP(A90, Put!A:Z, 26, FALSE)</f>
        <v>15.224857142857143</v>
      </c>
      <c r="D90">
        <f t="shared" si="2"/>
        <v>0.15064085714285716</v>
      </c>
      <c r="E90">
        <f t="shared" si="3"/>
        <v>0.32154285714285535</v>
      </c>
    </row>
    <row r="91" spans="1:5" ht="15.75" x14ac:dyDescent="0.25">
      <c r="A91" s="3">
        <v>45790</v>
      </c>
      <c r="B91">
        <f>VLOOKUP(A91, Call!A:Z, 26, FALSE)</f>
        <v>14.375628571428573</v>
      </c>
      <c r="C91">
        <f>VLOOKUP(A91, Put!A:Z, 26, FALSE)</f>
        <v>14.537828571428571</v>
      </c>
      <c r="D91">
        <f t="shared" si="2"/>
        <v>0.14456728571428573</v>
      </c>
      <c r="E91">
        <f t="shared" si="3"/>
        <v>0.16219999999999857</v>
      </c>
    </row>
    <row r="92" spans="1:5" ht="15.75" x14ac:dyDescent="0.25">
      <c r="A92" s="3">
        <v>45791</v>
      </c>
      <c r="B92">
        <f>VLOOKUP(A92, Call!A:Z, 26, FALSE)</f>
        <v>14.776400000000002</v>
      </c>
      <c r="C92">
        <f>VLOOKUP(A92, Put!A:Z, 26, FALSE)</f>
        <v>15.017000000000003</v>
      </c>
      <c r="D92">
        <f t="shared" si="2"/>
        <v>0.14896700000000002</v>
      </c>
      <c r="E92">
        <f t="shared" si="3"/>
        <v>0.24060000000000059</v>
      </c>
    </row>
    <row r="93" spans="1:5" ht="15.75" x14ac:dyDescent="0.25">
      <c r="A93" s="3">
        <v>45792</v>
      </c>
      <c r="B93">
        <f>VLOOKUP(A93, Call!A:Z, 26, FALSE)</f>
        <v>14.231085714285715</v>
      </c>
      <c r="C93">
        <f>VLOOKUP(A93, Put!A:Z, 26, FALSE)</f>
        <v>14.304285714285715</v>
      </c>
      <c r="D93">
        <f t="shared" si="2"/>
        <v>0.14267685714285716</v>
      </c>
      <c r="E93">
        <f t="shared" si="3"/>
        <v>7.3199999999999932E-2</v>
      </c>
    </row>
    <row r="94" spans="1:5" ht="15.75" x14ac:dyDescent="0.25">
      <c r="A94" s="3">
        <v>45793</v>
      </c>
      <c r="B94">
        <f>VLOOKUP(A94, Call!A:Z, 26, FALSE)</f>
        <v>14.609</v>
      </c>
      <c r="C94">
        <f>VLOOKUP(A94, Put!A:Z, 26, FALSE)</f>
        <v>14.803000000000001</v>
      </c>
      <c r="D94">
        <f t="shared" si="2"/>
        <v>0.14706</v>
      </c>
      <c r="E94">
        <f t="shared" si="3"/>
        <v>0.19400000000000084</v>
      </c>
    </row>
    <row r="95" spans="1:5" ht="15.75" x14ac:dyDescent="0.25">
      <c r="A95" s="3">
        <v>45796</v>
      </c>
      <c r="B95">
        <f>VLOOKUP(A95, Call!A:Z, 26, FALSE)</f>
        <v>14.951000000000001</v>
      </c>
      <c r="C95">
        <f>VLOOKUP(A95, Put!A:Z, 26, FALSE)</f>
        <v>15.131</v>
      </c>
      <c r="D95">
        <f t="shared" si="2"/>
        <v>0.15041000000000002</v>
      </c>
      <c r="E95">
        <f t="shared" si="3"/>
        <v>0.17999999999999972</v>
      </c>
    </row>
    <row r="96" spans="1:5" ht="15.75" x14ac:dyDescent="0.25">
      <c r="A96" s="3">
        <v>45797</v>
      </c>
      <c r="B96">
        <f>VLOOKUP(A96, Call!A:Z, 26, FALSE)</f>
        <v>15.146000000000001</v>
      </c>
      <c r="C96">
        <f>VLOOKUP(A96, Put!A:Z, 26, FALSE)</f>
        <v>15.372</v>
      </c>
      <c r="D96">
        <f t="shared" si="2"/>
        <v>0.15259</v>
      </c>
      <c r="E96">
        <f t="shared" si="3"/>
        <v>0.22599999999999909</v>
      </c>
    </row>
    <row r="97" spans="1:5" ht="15.75" x14ac:dyDescent="0.25">
      <c r="A97" s="3">
        <v>45798</v>
      </c>
      <c r="B97">
        <f>VLOOKUP(A97, Call!A:Z, 26, FALSE)</f>
        <v>17.469000000000001</v>
      </c>
      <c r="C97">
        <f>VLOOKUP(A97, Put!A:Z, 26, FALSE)</f>
        <v>17.622</v>
      </c>
      <c r="D97">
        <f t="shared" si="2"/>
        <v>0.175455</v>
      </c>
      <c r="E97">
        <f t="shared" si="3"/>
        <v>0.15299999999999869</v>
      </c>
    </row>
    <row r="98" spans="1:5" ht="15.75" x14ac:dyDescent="0.25">
      <c r="A98" s="3">
        <v>45799</v>
      </c>
      <c r="B98">
        <f>VLOOKUP(A98, Call!A:Z, 26, FALSE)</f>
        <v>17.330500000000001</v>
      </c>
      <c r="C98">
        <f>VLOOKUP(A98, Put!A:Z, 26, FALSE)</f>
        <v>17.539249999999999</v>
      </c>
      <c r="D98">
        <f t="shared" si="2"/>
        <v>0.17434874999999997</v>
      </c>
      <c r="E98">
        <f t="shared" si="3"/>
        <v>0.20874999999999844</v>
      </c>
    </row>
    <row r="99" spans="1:5" ht="15.75" x14ac:dyDescent="0.25">
      <c r="A99" s="3">
        <v>45800</v>
      </c>
      <c r="B99">
        <f>VLOOKUP(A99, Call!A:Z, 26, FALSE)</f>
        <v>19.101571428571429</v>
      </c>
      <c r="C99">
        <f>VLOOKUP(A99, Put!A:Z, 26, FALSE)</f>
        <v>19.077285714285718</v>
      </c>
      <c r="D99">
        <f t="shared" si="2"/>
        <v>0.19089428571428574</v>
      </c>
      <c r="E99">
        <f t="shared" si="3"/>
        <v>-2.4285714285710469E-2</v>
      </c>
    </row>
    <row r="100" spans="1:5" ht="15.75" x14ac:dyDescent="0.25">
      <c r="A100" s="3">
        <v>45804</v>
      </c>
      <c r="B100">
        <f>VLOOKUP(A100, Call!A:Z, 26, FALSE)</f>
        <v>15.493928571428571</v>
      </c>
      <c r="C100">
        <f>VLOOKUP(A100, Put!A:Z, 26, FALSE)</f>
        <v>15.684428571428571</v>
      </c>
      <c r="D100">
        <f t="shared" si="2"/>
        <v>0.15589178571428572</v>
      </c>
      <c r="E100">
        <f t="shared" si="3"/>
        <v>0.19050000000000011</v>
      </c>
    </row>
    <row r="101" spans="1:5" ht="15.75" x14ac:dyDescent="0.25">
      <c r="A101" s="3">
        <v>45805</v>
      </c>
      <c r="B101">
        <f>VLOOKUP(A101, Call!A:Z, 26, FALSE)</f>
        <v>15.952750000000002</v>
      </c>
      <c r="C101">
        <f>VLOOKUP(A101, Put!A:Z, 26, FALSE)</f>
        <v>16.027999999999999</v>
      </c>
      <c r="D101">
        <f t="shared" si="2"/>
        <v>0.15990375000000001</v>
      </c>
      <c r="E101">
        <f t="shared" si="3"/>
        <v>7.524999999999693E-2</v>
      </c>
    </row>
    <row r="102" spans="1:5" ht="15.75" x14ac:dyDescent="0.25">
      <c r="A102" s="3">
        <v>45806</v>
      </c>
      <c r="B102">
        <f>VLOOKUP(A102, Call!A:Z, 26, FALSE)</f>
        <v>15.836714285714287</v>
      </c>
      <c r="C102">
        <f>VLOOKUP(A102, Put!A:Z, 26, FALSE)</f>
        <v>15.904571428571428</v>
      </c>
      <c r="D102">
        <f t="shared" si="2"/>
        <v>0.15870642857142858</v>
      </c>
      <c r="E102">
        <f t="shared" si="3"/>
        <v>6.7857142857141284E-2</v>
      </c>
    </row>
    <row r="103" spans="1:5" ht="15.75" x14ac:dyDescent="0.25">
      <c r="A103" s="3">
        <v>45807</v>
      </c>
      <c r="B103">
        <f>VLOOKUP(A103, Call!A:Z, 26, FALSE)</f>
        <v>15.776142857142858</v>
      </c>
      <c r="C103">
        <f>VLOOKUP(A103, Put!A:Z, 26, FALSE)</f>
        <v>15.81157142857143</v>
      </c>
      <c r="D103">
        <f t="shared" si="2"/>
        <v>0.15793857142857143</v>
      </c>
      <c r="E103">
        <f t="shared" si="3"/>
        <v>3.5428571428571587E-2</v>
      </c>
    </row>
    <row r="104" spans="1:5" ht="15.75" x14ac:dyDescent="0.25">
      <c r="A104" s="3">
        <v>45810</v>
      </c>
      <c r="B104">
        <f>VLOOKUP(A104, Call!A:Z, 26, FALSE)</f>
        <v>15.259571428571428</v>
      </c>
      <c r="C104">
        <f>VLOOKUP(A104, Put!A:Z, 26, FALSE)</f>
        <v>15.376857142857142</v>
      </c>
      <c r="D104">
        <f t="shared" si="2"/>
        <v>0.15318214285714285</v>
      </c>
      <c r="E104">
        <f t="shared" si="3"/>
        <v>0.11728571428571399</v>
      </c>
    </row>
    <row r="105" spans="1:5" ht="15.75" x14ac:dyDescent="0.25">
      <c r="A105" s="3">
        <v>45811</v>
      </c>
      <c r="B105">
        <f>VLOOKUP(A105, Call!A:Z, 26, FALSE)</f>
        <v>14.559142857142858</v>
      </c>
      <c r="C105">
        <f>VLOOKUP(A105, Put!A:Z, 26, FALSE)</f>
        <v>15.37817857142857</v>
      </c>
      <c r="D105">
        <f t="shared" si="2"/>
        <v>0.14968660714285714</v>
      </c>
      <c r="E105">
        <f t="shared" si="3"/>
        <v>0.81903571428571276</v>
      </c>
    </row>
    <row r="106" spans="1:5" ht="15.75" x14ac:dyDescent="0.25">
      <c r="A106" s="3">
        <v>45812</v>
      </c>
      <c r="B106">
        <f>VLOOKUP(A106, Call!A:Z, 26, FALSE)</f>
        <v>14.728</v>
      </c>
      <c r="C106">
        <f>VLOOKUP(A106, Put!A:Z, 26, FALSE)</f>
        <v>14.911</v>
      </c>
      <c r="D106">
        <f t="shared" si="2"/>
        <v>0.14819499999999999</v>
      </c>
      <c r="E106">
        <f t="shared" si="3"/>
        <v>0.18299999999999983</v>
      </c>
    </row>
    <row r="107" spans="1:5" ht="15.75" x14ac:dyDescent="0.25">
      <c r="A107" s="3">
        <v>45813</v>
      </c>
      <c r="B107">
        <f>VLOOKUP(A107, Call!A:Z, 26, FALSE)</f>
        <v>15.470714285714287</v>
      </c>
      <c r="C107">
        <f>VLOOKUP(A107, Put!A:Z, 26, FALSE)</f>
        <v>15.570857142857143</v>
      </c>
      <c r="D107">
        <f t="shared" si="2"/>
        <v>0.15520785714285715</v>
      </c>
      <c r="E107">
        <f t="shared" si="3"/>
        <v>0.1001428571428562</v>
      </c>
    </row>
    <row r="108" spans="1:5" ht="15.75" x14ac:dyDescent="0.25">
      <c r="A108" s="3">
        <v>45814</v>
      </c>
      <c r="B108">
        <f>VLOOKUP(A108, Call!A:Z, 26, FALSE)</f>
        <v>13.677428571428571</v>
      </c>
      <c r="C108">
        <f>VLOOKUP(A108, Put!A:Z, 26, FALSE)</f>
        <v>13.886714285714286</v>
      </c>
      <c r="D108">
        <f t="shared" si="2"/>
        <v>0.13782071428571427</v>
      </c>
      <c r="E108">
        <f t="shared" si="3"/>
        <v>0.20928571428571452</v>
      </c>
    </row>
    <row r="109" spans="1:5" ht="15.75" x14ac:dyDescent="0.25">
      <c r="A109" s="3">
        <v>45817</v>
      </c>
      <c r="B109">
        <f>VLOOKUP(A109, Call!A:Z, 26, FALSE)</f>
        <v>13.896892857142859</v>
      </c>
      <c r="C109">
        <f>VLOOKUP(A109, Put!A:Z, 26, FALSE)</f>
        <v>14.107142857142858</v>
      </c>
      <c r="D109">
        <f t="shared" si="2"/>
        <v>0.14002017857142859</v>
      </c>
      <c r="E109">
        <f t="shared" si="3"/>
        <v>0.21024999999999849</v>
      </c>
    </row>
    <row r="110" spans="1:5" ht="15.75" x14ac:dyDescent="0.25">
      <c r="A110" s="3">
        <v>45818</v>
      </c>
      <c r="B110">
        <f>VLOOKUP(A110, Call!A:Z, 26, FALSE)</f>
        <v>13.758714285714285</v>
      </c>
      <c r="C110">
        <f>VLOOKUP(A110, Put!A:Z, 26, FALSE)</f>
        <v>13.902428571428572</v>
      </c>
      <c r="D110">
        <f t="shared" si="2"/>
        <v>0.13830571428571428</v>
      </c>
      <c r="E110">
        <f t="shared" si="3"/>
        <v>0.14371428571428702</v>
      </c>
    </row>
    <row r="111" spans="1:5" ht="15.75" x14ac:dyDescent="0.25">
      <c r="A111" s="3">
        <v>45819</v>
      </c>
      <c r="B111">
        <f>VLOOKUP(A111, Call!A:Z, 26, FALSE)</f>
        <v>14.267749999999999</v>
      </c>
      <c r="C111">
        <f>VLOOKUP(A111, Put!A:Z, 26, FALSE)</f>
        <v>14.391</v>
      </c>
      <c r="D111">
        <f t="shared" si="2"/>
        <v>0.14329375</v>
      </c>
      <c r="E111">
        <f t="shared" si="3"/>
        <v>0.12325000000000053</v>
      </c>
    </row>
    <row r="112" spans="1:5" ht="15.75" x14ac:dyDescent="0.25">
      <c r="A112" s="3">
        <v>45820</v>
      </c>
      <c r="B112">
        <f>VLOOKUP(A112, Call!A:Z, 26, FALSE)</f>
        <v>14.426571428571428</v>
      </c>
      <c r="C112">
        <f>VLOOKUP(A112, Put!A:Z, 26, FALSE)</f>
        <v>14.740571428571428</v>
      </c>
      <c r="D112">
        <f t="shared" si="2"/>
        <v>0.14583571428571429</v>
      </c>
      <c r="E112">
        <f t="shared" si="3"/>
        <v>0.31400000000000006</v>
      </c>
    </row>
    <row r="113" spans="1:5" ht="15.75" x14ac:dyDescent="0.25">
      <c r="A113" s="3">
        <v>45821</v>
      </c>
      <c r="B113">
        <f>VLOOKUP(A113, Call!A:Z, 26, FALSE)</f>
        <v>17.04035714285714</v>
      </c>
      <c r="C113">
        <f>VLOOKUP(A113, Put!A:Z, 26, FALSE)</f>
        <v>17.187214285714283</v>
      </c>
      <c r="D113">
        <f t="shared" si="2"/>
        <v>0.17113785714285712</v>
      </c>
      <c r="E113">
        <f t="shared" si="3"/>
        <v>0.14685714285714369</v>
      </c>
    </row>
    <row r="114" spans="1:5" ht="15.75" x14ac:dyDescent="0.25">
      <c r="A114" s="3">
        <v>45824</v>
      </c>
      <c r="B114">
        <f>VLOOKUP(A114, Call!A:Z, 26, FALSE)</f>
        <v>14.735642857142858</v>
      </c>
      <c r="C114">
        <f>VLOOKUP(A114, Put!A:Z, 26, FALSE)</f>
        <v>14.982428571428573</v>
      </c>
      <c r="D114">
        <f t="shared" si="2"/>
        <v>0.14859035714285715</v>
      </c>
      <c r="E114">
        <f t="shared" si="3"/>
        <v>0.24678571428571416</v>
      </c>
    </row>
    <row r="115" spans="1:5" ht="15.75" x14ac:dyDescent="0.25">
      <c r="A115" s="3">
        <v>45825</v>
      </c>
      <c r="B115">
        <f>VLOOKUP(A115, Call!A:Z, 26, FALSE)</f>
        <v>17.15510714285714</v>
      </c>
      <c r="C115">
        <f>VLOOKUP(A115, Put!A:Z, 26, FALSE)</f>
        <v>17.295678571428571</v>
      </c>
      <c r="D115">
        <f t="shared" si="2"/>
        <v>0.17225392857142857</v>
      </c>
      <c r="E115">
        <f t="shared" si="3"/>
        <v>0.14057142857143035</v>
      </c>
    </row>
    <row r="116" spans="1:5" ht="15.75" x14ac:dyDescent="0.25">
      <c r="A116" s="3">
        <v>45826</v>
      </c>
      <c r="B116">
        <f>VLOOKUP(A116, Call!A:Z, 26, FALSE)</f>
        <v>16.472999999999999</v>
      </c>
      <c r="C116">
        <f>VLOOKUP(A116, Put!A:Z, 26, FALSE)</f>
        <v>16.585999999999999</v>
      </c>
      <c r="D116">
        <f t="shared" si="2"/>
        <v>0.165295</v>
      </c>
      <c r="E116">
        <f t="shared" si="3"/>
        <v>0.11299999999999955</v>
      </c>
    </row>
    <row r="117" spans="1:5" ht="15.75" x14ac:dyDescent="0.25">
      <c r="A117" s="3">
        <v>45828</v>
      </c>
      <c r="B117">
        <f>VLOOKUP(A117, Call!A:Z, 26, FALSE)</f>
        <v>16.479214285714288</v>
      </c>
      <c r="C117">
        <f>VLOOKUP(A117, Put!A:Z, 26, FALSE)</f>
        <v>16.673357142857142</v>
      </c>
      <c r="D117">
        <f t="shared" si="2"/>
        <v>0.16576285714285718</v>
      </c>
      <c r="E117">
        <f t="shared" si="3"/>
        <v>0.19414285714285384</v>
      </c>
    </row>
    <row r="118" spans="1:5" ht="15.75" x14ac:dyDescent="0.25">
      <c r="A118" s="3">
        <v>45831</v>
      </c>
      <c r="B118">
        <f>VLOOKUP(A118, Call!A:Z, 26, FALSE)</f>
        <v>15.118071428571429</v>
      </c>
      <c r="C118">
        <f>VLOOKUP(A118, Put!A:Z, 26, FALSE)</f>
        <v>15.158107142857142</v>
      </c>
      <c r="D118">
        <f t="shared" si="2"/>
        <v>0.15138089285714287</v>
      </c>
      <c r="E118">
        <f t="shared" si="3"/>
        <v>4.0035714285712842E-2</v>
      </c>
    </row>
    <row r="119" spans="1:5" ht="15.75" x14ac:dyDescent="0.25">
      <c r="A119" s="3">
        <v>45832</v>
      </c>
      <c r="B119">
        <f>VLOOKUP(A119, Call!A:Z, 26, FALSE)</f>
        <v>13.721071428571427</v>
      </c>
      <c r="C119">
        <f>VLOOKUP(A119, Put!A:Z, 26, FALSE)</f>
        <v>13.767499999999998</v>
      </c>
      <c r="D119">
        <f t="shared" si="2"/>
        <v>0.13744285714285712</v>
      </c>
      <c r="E119">
        <f t="shared" si="3"/>
        <v>4.642857142857082E-2</v>
      </c>
    </row>
    <row r="120" spans="1:5" ht="15.75" x14ac:dyDescent="0.25">
      <c r="A120" s="3">
        <v>45833</v>
      </c>
      <c r="B120">
        <f>VLOOKUP(A120, Call!A:Z, 26, FALSE)</f>
        <v>13.478999999999999</v>
      </c>
      <c r="C120">
        <f>VLOOKUP(A120, Put!A:Z, 26, FALSE)</f>
        <v>13.667250000000001</v>
      </c>
      <c r="D120">
        <f t="shared" si="2"/>
        <v>0.13573125</v>
      </c>
      <c r="E120">
        <f t="shared" si="3"/>
        <v>0.1882500000000018</v>
      </c>
    </row>
    <row r="121" spans="1:5" ht="15.75" x14ac:dyDescent="0.25">
      <c r="A121" s="3">
        <v>45834</v>
      </c>
      <c r="B121">
        <f>VLOOKUP(A121, Call!A:Z, 26, FALSE)</f>
        <v>13.247428571428571</v>
      </c>
      <c r="C121">
        <f>VLOOKUP(A121, Put!A:Z, 26, FALSE)</f>
        <v>13.364857142857144</v>
      </c>
      <c r="D121">
        <f t="shared" si="2"/>
        <v>0.13306142857142858</v>
      </c>
      <c r="E121">
        <f t="shared" si="3"/>
        <v>0.11742857142857233</v>
      </c>
    </row>
    <row r="122" spans="1:5" ht="15.75" x14ac:dyDescent="0.25">
      <c r="A122" s="3">
        <v>45835</v>
      </c>
      <c r="B122">
        <f>VLOOKUP(A122, Call!A:Z, 26, FALSE)</f>
        <v>13.122785714285715</v>
      </c>
      <c r="C122">
        <f>VLOOKUP(A122, Put!A:Z, 26, FALSE)</f>
        <v>13.200678571428572</v>
      </c>
      <c r="D122">
        <f t="shared" si="2"/>
        <v>0.13161732142857144</v>
      </c>
      <c r="E122">
        <f t="shared" si="3"/>
        <v>7.7892857142856542E-2</v>
      </c>
    </row>
    <row r="123" spans="1:5" ht="15.75" x14ac:dyDescent="0.25">
      <c r="A123" s="3">
        <v>45838</v>
      </c>
      <c r="B123">
        <f>VLOOKUP(A123, Call!A:Z, 26, FALSE)</f>
        <v>13.072142857142858</v>
      </c>
      <c r="C123">
        <f>VLOOKUP(A123, Put!A:Z, 26, FALSE)</f>
        <v>13.156857142857142</v>
      </c>
      <c r="D123">
        <f t="shared" si="2"/>
        <v>0.13114499999999998</v>
      </c>
      <c r="E123">
        <f t="shared" si="3"/>
        <v>8.4714285714284188E-2</v>
      </c>
    </row>
    <row r="124" spans="1:5" ht="15.75" x14ac:dyDescent="0.25">
      <c r="A124" s="3">
        <v>45839</v>
      </c>
      <c r="B124">
        <f>VLOOKUP(A124, Call!A:Z, 26, FALSE)</f>
        <v>13.359928571428572</v>
      </c>
      <c r="C124">
        <f>VLOOKUP(A124, Put!A:Z, 26, FALSE)</f>
        <v>13.427464285714287</v>
      </c>
      <c r="D124">
        <f t="shared" si="2"/>
        <v>0.13393696428571431</v>
      </c>
      <c r="E124">
        <f t="shared" si="3"/>
        <v>6.7535714285714477E-2</v>
      </c>
    </row>
    <row r="125" spans="1:5" ht="15.75" x14ac:dyDescent="0.25">
      <c r="A125" s="3">
        <v>45840</v>
      </c>
      <c r="B125">
        <f>VLOOKUP(A125, Call!A:Z, 26, FALSE)</f>
        <v>13.233000000000001</v>
      </c>
      <c r="C125">
        <f>VLOOKUP(A125, Put!A:Z, 26, FALSE)</f>
        <v>13.3705</v>
      </c>
      <c r="D125">
        <f t="shared" si="2"/>
        <v>0.13301750000000001</v>
      </c>
      <c r="E125">
        <f t="shared" si="3"/>
        <v>0.13749999999999929</v>
      </c>
    </row>
    <row r="126" spans="1:5" ht="15.75" x14ac:dyDescent="0.25">
      <c r="A126" s="3">
        <v>45841</v>
      </c>
      <c r="B126">
        <f>VLOOKUP(A126, Call!A:Z, 26, FALSE)</f>
        <v>13.104321428571428</v>
      </c>
      <c r="C126">
        <f>VLOOKUP(A126, Put!A:Z, 26, FALSE)</f>
        <v>13.277107142857144</v>
      </c>
      <c r="D126">
        <f t="shared" si="2"/>
        <v>0.13190714285714286</v>
      </c>
      <c r="E126">
        <f t="shared" si="3"/>
        <v>0.1727857142857161</v>
      </c>
    </row>
    <row r="127" spans="1:5" ht="15.75" x14ac:dyDescent="0.25">
      <c r="A127" s="3">
        <v>45845</v>
      </c>
      <c r="B127">
        <f>VLOOKUP(A127, Call!A:Z, 26, FALSE)</f>
        <v>13.75582142857143</v>
      </c>
      <c r="C127">
        <f>VLOOKUP(A127, Put!A:Z, 26, FALSE)</f>
        <v>13.899142857142859</v>
      </c>
      <c r="D127">
        <f t="shared" si="2"/>
        <v>0.13827482142857145</v>
      </c>
      <c r="E127">
        <f t="shared" si="3"/>
        <v>0.14332142857142927</v>
      </c>
    </row>
    <row r="128" spans="1:5" ht="15.75" x14ac:dyDescent="0.25">
      <c r="A128" s="3">
        <v>45846</v>
      </c>
      <c r="B128">
        <f>VLOOKUP(A128, Call!A:Z, 26, FALSE)</f>
        <v>13.011428571428571</v>
      </c>
      <c r="C128">
        <f>VLOOKUP(A128, Put!A:Z, 26, FALSE)</f>
        <v>13.230857142857143</v>
      </c>
      <c r="D128">
        <f t="shared" si="2"/>
        <v>0.13121142857142856</v>
      </c>
      <c r="E128">
        <f t="shared" si="3"/>
        <v>0.21942857142857264</v>
      </c>
    </row>
    <row r="129" spans="1:5" ht="15.75" x14ac:dyDescent="0.25">
      <c r="A129" s="3">
        <v>45847</v>
      </c>
      <c r="B129">
        <f>VLOOKUP(A129, Call!A:Z, 26, FALSE)</f>
        <v>12.336499999999999</v>
      </c>
      <c r="C129">
        <f>VLOOKUP(A129, Put!A:Z, 26, FALSE)</f>
        <v>12.45575</v>
      </c>
      <c r="D129">
        <f t="shared" si="2"/>
        <v>0.12396125</v>
      </c>
      <c r="E129">
        <f t="shared" si="3"/>
        <v>0.11925000000000097</v>
      </c>
    </row>
    <row r="130" spans="1:5" ht="15.75" x14ac:dyDescent="0.25">
      <c r="A130" s="3">
        <v>45848</v>
      </c>
      <c r="B130">
        <f>VLOOKUP(A130, Call!A:Z, 26, FALSE)</f>
        <v>12.199857142857143</v>
      </c>
      <c r="C130">
        <f>VLOOKUP(A130, Put!A:Z, 26, FALSE)</f>
        <v>12.405714285714286</v>
      </c>
      <c r="D130">
        <f t="shared" si="2"/>
        <v>0.12302785714285715</v>
      </c>
      <c r="E130">
        <f t="shared" si="3"/>
        <v>0.20585714285714296</v>
      </c>
    </row>
    <row r="131" spans="1:5" ht="15.75" x14ac:dyDescent="0.25">
      <c r="A131" s="3">
        <v>45849</v>
      </c>
      <c r="B131">
        <f>VLOOKUP(A131, Call!A:Z, 26, FALSE)</f>
        <v>12.830464285714285</v>
      </c>
      <c r="C131">
        <f>VLOOKUP(A131, Put!A:Z, 26, FALSE)</f>
        <v>12.852535714285715</v>
      </c>
      <c r="D131">
        <f t="shared" ref="D131:D194" si="4">(B131+C131)/200</f>
        <v>0.128415</v>
      </c>
      <c r="E131">
        <f t="shared" ref="E131:E194" si="5">C131-B131</f>
        <v>2.2071428571429408E-2</v>
      </c>
    </row>
    <row r="132" spans="1:5" ht="15.75" x14ac:dyDescent="0.25">
      <c r="A132" s="3">
        <v>45852</v>
      </c>
      <c r="B132">
        <f>VLOOKUP(A132, Call!A:Z, 26, FALSE)</f>
        <v>13.245571428571427</v>
      </c>
      <c r="C132">
        <f>VLOOKUP(A132, Put!A:Z, 26, FALSE)</f>
        <v>13.315428571428573</v>
      </c>
      <c r="D132">
        <f t="shared" si="4"/>
        <v>0.13280500000000001</v>
      </c>
      <c r="E132">
        <f t="shared" si="5"/>
        <v>6.9857142857145504E-2</v>
      </c>
    </row>
    <row r="133" spans="1:5" ht="15.75" x14ac:dyDescent="0.25">
      <c r="A133" s="3">
        <v>45853</v>
      </c>
      <c r="B133">
        <f>VLOOKUP(A133, Call!A:Z, 26, FALSE)</f>
        <v>13.765428571428572</v>
      </c>
      <c r="C133">
        <f>VLOOKUP(A133, Put!A:Z, 26, FALSE)</f>
        <v>13.690071428571429</v>
      </c>
      <c r="D133">
        <f t="shared" si="4"/>
        <v>0.1372775</v>
      </c>
      <c r="E133">
        <f t="shared" si="5"/>
        <v>-7.5357142857143344E-2</v>
      </c>
    </row>
    <row r="134" spans="1:5" ht="15.75" x14ac:dyDescent="0.25">
      <c r="A134" s="3">
        <v>45854</v>
      </c>
      <c r="B134">
        <f>VLOOKUP(A134, Call!A:Z, 26, FALSE)</f>
        <v>13.568</v>
      </c>
      <c r="C134">
        <f>VLOOKUP(A134, Put!A:Z, 26, FALSE)</f>
        <v>13.646000000000001</v>
      </c>
      <c r="D134">
        <f t="shared" si="4"/>
        <v>0.13607</v>
      </c>
      <c r="E134">
        <f t="shared" si="5"/>
        <v>7.800000000000118E-2</v>
      </c>
    </row>
    <row r="135" spans="1:5" ht="15.75" x14ac:dyDescent="0.25">
      <c r="A135" s="3">
        <v>45855</v>
      </c>
      <c r="B135">
        <f>VLOOKUP(A135, Call!A:Z, 26, FALSE)</f>
        <v>13.019</v>
      </c>
      <c r="C135">
        <f>VLOOKUP(A135, Put!A:Z, 26, FALSE)</f>
        <v>13.167</v>
      </c>
      <c r="D135">
        <f t="shared" si="4"/>
        <v>0.13092999999999999</v>
      </c>
      <c r="E135">
        <f t="shared" si="5"/>
        <v>0.14799999999999969</v>
      </c>
    </row>
    <row r="136" spans="1:5" ht="15.75" x14ac:dyDescent="0.25">
      <c r="A136" s="3">
        <v>45856</v>
      </c>
      <c r="B136">
        <f>VLOOKUP(A136, Call!A:Z, 26, FALSE)</f>
        <v>13.042514285714287</v>
      </c>
      <c r="C136">
        <f>VLOOKUP(A136, Put!A:Z, 26, FALSE)</f>
        <v>13.172457142857143</v>
      </c>
      <c r="D136">
        <f t="shared" si="4"/>
        <v>0.13107485714285716</v>
      </c>
      <c r="E136">
        <f t="shared" si="5"/>
        <v>0.12994285714285603</v>
      </c>
    </row>
    <row r="137" spans="1:5" ht="15.75" x14ac:dyDescent="0.25">
      <c r="A137" s="3">
        <v>45859</v>
      </c>
      <c r="B137">
        <f>VLOOKUP(A137, Call!A:Z, 26, FALSE)</f>
        <v>12.854714285714286</v>
      </c>
      <c r="C137">
        <f>VLOOKUP(A137, Put!A:Z, 26, FALSE)</f>
        <v>13.000142857142855</v>
      </c>
      <c r="D137">
        <f t="shared" si="4"/>
        <v>0.1292742857142857</v>
      </c>
      <c r="E137">
        <f t="shared" si="5"/>
        <v>0.14542857142856924</v>
      </c>
    </row>
    <row r="138" spans="1:5" ht="15.75" x14ac:dyDescent="0.25">
      <c r="A138" s="3">
        <v>45860</v>
      </c>
      <c r="B138">
        <f>VLOOKUP(A138, Call!A:Z, 26, FALSE)</f>
        <v>12.811028571428572</v>
      </c>
      <c r="C138">
        <f>VLOOKUP(A138, Put!A:Z, 26, FALSE)</f>
        <v>12.915428571428572</v>
      </c>
      <c r="D138">
        <f t="shared" si="4"/>
        <v>0.12863228571428573</v>
      </c>
      <c r="E138">
        <f t="shared" si="5"/>
        <v>0.10440000000000005</v>
      </c>
    </row>
    <row r="139" spans="1:5" ht="15.75" x14ac:dyDescent="0.25">
      <c r="A139" s="3">
        <v>45861</v>
      </c>
      <c r="B139">
        <f>VLOOKUP(A139, Call!A:Z, 26, FALSE)</f>
        <v>12.067</v>
      </c>
      <c r="C139">
        <f>VLOOKUP(A139, Put!A:Z, 26, FALSE)</f>
        <v>12.1204</v>
      </c>
      <c r="D139">
        <f t="shared" si="4"/>
        <v>0.120937</v>
      </c>
      <c r="E139">
        <f t="shared" si="5"/>
        <v>5.3399999999999892E-2</v>
      </c>
    </row>
    <row r="140" spans="1:5" ht="15.75" x14ac:dyDescent="0.25">
      <c r="A140" s="3">
        <v>45862</v>
      </c>
      <c r="B140">
        <f>VLOOKUP(A140, Call!A:Z, 26, FALSE)</f>
        <v>12.016228571428572</v>
      </c>
      <c r="C140">
        <f>VLOOKUP(A140, Put!A:Z, 26, FALSE)</f>
        <v>12.069171428571428</v>
      </c>
      <c r="D140">
        <f t="shared" si="4"/>
        <v>0.12042700000000001</v>
      </c>
      <c r="E140">
        <f t="shared" si="5"/>
        <v>5.294285714285607E-2</v>
      </c>
    </row>
    <row r="141" spans="1:5" ht="15.75" x14ac:dyDescent="0.25">
      <c r="A141" s="3">
        <v>45863</v>
      </c>
      <c r="B141">
        <f>VLOOKUP(A141, Call!A:Z, 26, FALSE)</f>
        <v>11.574628571428571</v>
      </c>
      <c r="C141">
        <f>VLOOKUP(A141, Put!A:Z, 26, FALSE)</f>
        <v>11.627914285714287</v>
      </c>
      <c r="D141">
        <f t="shared" si="4"/>
        <v>0.1160127142857143</v>
      </c>
      <c r="E141">
        <f t="shared" si="5"/>
        <v>5.3285714285715713E-2</v>
      </c>
    </row>
    <row r="142" spans="1:5" ht="15.75" x14ac:dyDescent="0.25">
      <c r="A142" s="3">
        <v>45866</v>
      </c>
      <c r="B142">
        <f>VLOOKUP(A142, Call!A:Z, 26, FALSE)</f>
        <v>11.242485714285714</v>
      </c>
      <c r="C142">
        <f>VLOOKUP(A142, Put!A:Z, 26, FALSE)</f>
        <v>11.445657142857144</v>
      </c>
      <c r="D142">
        <f t="shared" si="4"/>
        <v>0.11344071428571428</v>
      </c>
      <c r="E142">
        <f t="shared" si="5"/>
        <v>0.20317142857143011</v>
      </c>
    </row>
    <row r="143" spans="1:5" ht="15.75" x14ac:dyDescent="0.25">
      <c r="A143" s="3">
        <v>45867</v>
      </c>
      <c r="B143">
        <f>VLOOKUP(A143, Call!A:Z, 26, FALSE)</f>
        <v>12.018457142857143</v>
      </c>
      <c r="C143">
        <f>VLOOKUP(A143, Put!A:Z, 26, FALSE)</f>
        <v>12.088257142857142</v>
      </c>
      <c r="D143">
        <f t="shared" si="4"/>
        <v>0.12053357142857141</v>
      </c>
      <c r="E143">
        <f t="shared" si="5"/>
        <v>6.9799999999998974E-2</v>
      </c>
    </row>
    <row r="144" spans="1:5" ht="15.75" x14ac:dyDescent="0.25">
      <c r="A144" s="3">
        <v>45868</v>
      </c>
      <c r="B144">
        <f>VLOOKUP(A144, Call!A:Z, 26, FALSE)</f>
        <v>11.907400000000001</v>
      </c>
      <c r="C144">
        <f>VLOOKUP(A144, Put!A:Z, 26, FALSE)</f>
        <v>12.483599999999999</v>
      </c>
      <c r="D144">
        <f t="shared" si="4"/>
        <v>0.12195499999999999</v>
      </c>
      <c r="E144">
        <f t="shared" si="5"/>
        <v>0.57619999999999827</v>
      </c>
    </row>
    <row r="145" spans="1:5" ht="15.75" x14ac:dyDescent="0.25">
      <c r="A145" s="3">
        <v>45869</v>
      </c>
      <c r="B145">
        <f>VLOOKUP(A145, Call!A:Z, 26, FALSE)</f>
        <v>12.766285714285713</v>
      </c>
      <c r="C145">
        <f>VLOOKUP(A145, Put!A:Z, 26, FALSE)</f>
        <v>13.045428571428571</v>
      </c>
      <c r="D145">
        <f t="shared" si="4"/>
        <v>0.12905857142857141</v>
      </c>
      <c r="E145">
        <f t="shared" si="5"/>
        <v>0.27914285714285825</v>
      </c>
    </row>
    <row r="146" spans="1:5" ht="15.75" x14ac:dyDescent="0.25">
      <c r="A146" s="3">
        <v>45870</v>
      </c>
      <c r="B146">
        <f>VLOOKUP(A146, Call!A:Z, 26, FALSE)</f>
        <v>15.854542857142857</v>
      </c>
      <c r="C146">
        <f>VLOOKUP(A146, Put!A:Z, 26, FALSE)</f>
        <v>15.879657142857141</v>
      </c>
      <c r="D146">
        <f t="shared" si="4"/>
        <v>0.15867099999999998</v>
      </c>
      <c r="E146">
        <f t="shared" si="5"/>
        <v>2.5114285714284534E-2</v>
      </c>
    </row>
    <row r="147" spans="1:5" ht="15.75" x14ac:dyDescent="0.25">
      <c r="A147" s="3">
        <v>45873</v>
      </c>
      <c r="B147">
        <f>VLOOKUP(A147, Call!A:Z, 26, FALSE)</f>
        <v>12.609542857142856</v>
      </c>
      <c r="C147">
        <f>VLOOKUP(A147, Put!A:Z, 26, FALSE)</f>
        <v>13.285371428571427</v>
      </c>
      <c r="D147">
        <f t="shared" si="4"/>
        <v>0.12947457142857141</v>
      </c>
      <c r="E147">
        <f t="shared" si="5"/>
        <v>0.67582857142857122</v>
      </c>
    </row>
    <row r="148" spans="1:5" ht="15.75" x14ac:dyDescent="0.25">
      <c r="A148" s="3">
        <v>45874</v>
      </c>
      <c r="B148">
        <f>VLOOKUP(A148, Call!A:Z, 26, FALSE)</f>
        <v>13.765142857142857</v>
      </c>
      <c r="C148">
        <f>VLOOKUP(A148, Put!A:Z, 26, FALSE)</f>
        <v>13.72342857142857</v>
      </c>
      <c r="D148">
        <f t="shared" si="4"/>
        <v>0.13744285714285712</v>
      </c>
      <c r="E148">
        <f t="shared" si="5"/>
        <v>-4.1714285714286703E-2</v>
      </c>
    </row>
    <row r="149" spans="1:5" ht="15.75" x14ac:dyDescent="0.25">
      <c r="A149" s="3">
        <v>45875</v>
      </c>
      <c r="B149">
        <f>VLOOKUP(A149, Call!A:Z, 26, FALSE)</f>
        <v>12.7668</v>
      </c>
      <c r="C149">
        <f>VLOOKUP(A149, Put!A:Z, 26, FALSE)</f>
        <v>12.808400000000001</v>
      </c>
      <c r="D149">
        <f t="shared" si="4"/>
        <v>0.12787600000000002</v>
      </c>
      <c r="E149">
        <f t="shared" si="5"/>
        <v>4.1600000000000747E-2</v>
      </c>
    </row>
    <row r="150" spans="1:5" ht="15.75" x14ac:dyDescent="0.25">
      <c r="A150" s="3">
        <v>45876</v>
      </c>
      <c r="B150">
        <f>VLOOKUP(A150, Call!A:Z, 26, FALSE)</f>
        <v>13.097685714285713</v>
      </c>
      <c r="C150">
        <f>VLOOKUP(A150, Put!A:Z, 26, FALSE)</f>
        <v>13.111057142857142</v>
      </c>
      <c r="D150">
        <f t="shared" si="4"/>
        <v>0.13104371428571426</v>
      </c>
      <c r="E150">
        <f t="shared" si="5"/>
        <v>1.3371428571428368E-2</v>
      </c>
    </row>
    <row r="151" spans="1:5" ht="15.75" x14ac:dyDescent="0.25">
      <c r="A151" s="3">
        <v>45877</v>
      </c>
      <c r="B151">
        <f>VLOOKUP(A151, Call!A:Z, 26, FALSE)</f>
        <v>11.880142857142857</v>
      </c>
      <c r="C151">
        <f>VLOOKUP(A151, Put!A:Z, 26, FALSE)</f>
        <v>12.039542857142859</v>
      </c>
      <c r="D151">
        <f t="shared" si="4"/>
        <v>0.11959842857142858</v>
      </c>
      <c r="E151">
        <f t="shared" si="5"/>
        <v>0.15940000000000154</v>
      </c>
    </row>
    <row r="152" spans="1:5" ht="15.75" x14ac:dyDescent="0.25">
      <c r="A152" s="3">
        <v>45880</v>
      </c>
      <c r="B152">
        <f>VLOOKUP(A152, Call!A:Z, 26, FALSE)</f>
        <v>12.475942857142856</v>
      </c>
      <c r="C152">
        <f>VLOOKUP(A152, Put!A:Z, 26, FALSE)</f>
        <v>12.562085714285715</v>
      </c>
      <c r="D152">
        <f t="shared" si="4"/>
        <v>0.12519014285714283</v>
      </c>
      <c r="E152">
        <f t="shared" si="5"/>
        <v>8.6142857142858631E-2</v>
      </c>
    </row>
    <row r="153" spans="1:5" ht="15.75" x14ac:dyDescent="0.25">
      <c r="A153" s="3">
        <v>45881</v>
      </c>
      <c r="B153">
        <f>VLOOKUP(A153, Call!A:Z, 26, FALSE)</f>
        <v>10.987142857142858</v>
      </c>
      <c r="C153">
        <f>VLOOKUP(A153, Put!A:Z, 26, FALSE)</f>
        <v>11.079314285714286</v>
      </c>
      <c r="D153">
        <f t="shared" si="4"/>
        <v>0.11033228571428573</v>
      </c>
      <c r="E153">
        <f t="shared" si="5"/>
        <v>9.2171428571427683E-2</v>
      </c>
    </row>
    <row r="154" spans="1:5" ht="15.75" x14ac:dyDescent="0.25">
      <c r="A154" s="3">
        <v>45882</v>
      </c>
      <c r="B154">
        <f>VLOOKUP(A154, Call!A:Z, 26, FALSE)</f>
        <v>10.963600000000001</v>
      </c>
      <c r="C154">
        <f>VLOOKUP(A154, Put!A:Z, 26, FALSE)</f>
        <v>10.9442</v>
      </c>
      <c r="D154">
        <f t="shared" si="4"/>
        <v>0.10953900000000001</v>
      </c>
      <c r="E154">
        <f t="shared" si="5"/>
        <v>-1.9400000000000972E-2</v>
      </c>
    </row>
    <row r="155" spans="1:5" ht="15.75" x14ac:dyDescent="0.25">
      <c r="A155" s="3">
        <v>45883</v>
      </c>
      <c r="B155">
        <f>VLOOKUP(A155, Call!A:Z, 26, FALSE)</f>
        <v>11.039485714285716</v>
      </c>
      <c r="C155">
        <f>VLOOKUP(A155, Put!A:Z, 26, FALSE)</f>
        <v>10.989400000000002</v>
      </c>
      <c r="D155">
        <f t="shared" si="4"/>
        <v>0.11014442857142859</v>
      </c>
      <c r="E155">
        <f t="shared" si="5"/>
        <v>-5.0085714285714289E-2</v>
      </c>
    </row>
    <row r="156" spans="1:5" ht="15.75" x14ac:dyDescent="0.25">
      <c r="A156" s="3">
        <v>45884</v>
      </c>
      <c r="B156">
        <f>VLOOKUP(A156, Call!A:Z, 26, FALSE)</f>
        <v>12.010999999999999</v>
      </c>
      <c r="C156">
        <f>VLOOKUP(A156, Put!A:Z, 26, FALSE)</f>
        <v>12.145</v>
      </c>
      <c r="D156">
        <f t="shared" si="4"/>
        <v>0.12078</v>
      </c>
      <c r="E156">
        <f t="shared" si="5"/>
        <v>0.13400000000000034</v>
      </c>
    </row>
    <row r="157" spans="1:5" ht="15.75" x14ac:dyDescent="0.25">
      <c r="A157" s="3">
        <v>45887</v>
      </c>
      <c r="B157">
        <f>VLOOKUP(A157, Call!A:Z, 26, FALSE)</f>
        <v>11.624000000000001</v>
      </c>
      <c r="C157">
        <f>VLOOKUP(A157, Put!A:Z, 26, FALSE)</f>
        <v>11.722</v>
      </c>
      <c r="D157">
        <f t="shared" si="4"/>
        <v>0.11673</v>
      </c>
      <c r="E157">
        <f t="shared" si="5"/>
        <v>9.7999999999998977E-2</v>
      </c>
    </row>
    <row r="158" spans="1:5" ht="15.75" x14ac:dyDescent="0.25">
      <c r="A158" s="3">
        <v>45888</v>
      </c>
      <c r="B158">
        <f>VLOOKUP(A158, Call!A:Z, 26, FALSE)</f>
        <v>12.266999999999999</v>
      </c>
      <c r="C158">
        <f>VLOOKUP(A158, Put!A:Z, 26, FALSE)</f>
        <v>12.336</v>
      </c>
      <c r="D158">
        <f t="shared" si="4"/>
        <v>0.12301500000000001</v>
      </c>
      <c r="E158">
        <f t="shared" si="5"/>
        <v>6.9000000000000838E-2</v>
      </c>
    </row>
    <row r="159" spans="1:5" ht="15.75" x14ac:dyDescent="0.25">
      <c r="A159" s="3">
        <v>45889</v>
      </c>
      <c r="B159">
        <f>VLOOKUP(A159, Call!A:Z, 26, FALSE)</f>
        <v>12.717000000000001</v>
      </c>
      <c r="C159">
        <f>VLOOKUP(A159, Put!A:Z, 26, FALSE)</f>
        <v>12.768000000000001</v>
      </c>
      <c r="D159">
        <f t="shared" si="4"/>
        <v>0.12742500000000001</v>
      </c>
      <c r="E159">
        <f t="shared" si="5"/>
        <v>5.1000000000000156E-2</v>
      </c>
    </row>
    <row r="160" spans="1:5" ht="15.75" x14ac:dyDescent="0.25">
      <c r="A160" s="3">
        <v>45890</v>
      </c>
      <c r="B160">
        <f>VLOOKUP(A160, Call!A:Z, 26, FALSE)</f>
        <v>13.803785714285716</v>
      </c>
      <c r="C160">
        <f>VLOOKUP(A160, Put!A:Z, 26, FALSE)</f>
        <v>13.800857142857142</v>
      </c>
      <c r="D160">
        <f t="shared" si="4"/>
        <v>0.13802321428571429</v>
      </c>
      <c r="E160">
        <f t="shared" si="5"/>
        <v>-2.9285714285745001E-3</v>
      </c>
    </row>
    <row r="161" spans="1:5" ht="15.75" x14ac:dyDescent="0.25">
      <c r="A161" s="3">
        <v>45891</v>
      </c>
      <c r="B161">
        <f>VLOOKUP(A161, Call!A:Z, 26, FALSE)</f>
        <v>11.544928571428573</v>
      </c>
      <c r="C161">
        <f>VLOOKUP(A161, Put!A:Z, 26, FALSE)</f>
        <v>11.584857142857144</v>
      </c>
      <c r="D161">
        <f t="shared" si="4"/>
        <v>0.11564892857142858</v>
      </c>
      <c r="E161">
        <f t="shared" si="5"/>
        <v>3.9928571428571757E-2</v>
      </c>
    </row>
    <row r="162" spans="1:5" ht="15.75" x14ac:dyDescent="0.25">
      <c r="A162" s="3">
        <v>45894</v>
      </c>
      <c r="B162">
        <f>VLOOKUP(A162, Call!A:Z, 26, FALSE)</f>
        <v>11.563892857142857</v>
      </c>
      <c r="C162">
        <f>VLOOKUP(A162, Put!A:Z, 26, FALSE)</f>
        <v>11.694642857142856</v>
      </c>
      <c r="D162">
        <f t="shared" si="4"/>
        <v>0.11629267857142857</v>
      </c>
      <c r="E162">
        <f t="shared" si="5"/>
        <v>0.13074999999999903</v>
      </c>
    </row>
    <row r="163" spans="1:5" ht="15.75" x14ac:dyDescent="0.25">
      <c r="A163" s="3">
        <v>45895</v>
      </c>
      <c r="B163">
        <f>VLOOKUP(A163, Call!A:Z, 26, FALSE)</f>
        <v>11.559071428571428</v>
      </c>
      <c r="C163">
        <f>VLOOKUP(A163, Put!A:Z, 26, FALSE)</f>
        <v>11.590499999999999</v>
      </c>
      <c r="D163">
        <f t="shared" si="4"/>
        <v>0.11574785714285714</v>
      </c>
      <c r="E163">
        <f t="shared" si="5"/>
        <v>3.1428571428570251E-2</v>
      </c>
    </row>
    <row r="164" spans="1:5" ht="15.75" x14ac:dyDescent="0.25">
      <c r="A164" s="3">
        <v>45896</v>
      </c>
      <c r="B164">
        <f>VLOOKUP(A164, Call!A:Z, 26, FALSE)</f>
        <v>11.7905</v>
      </c>
      <c r="C164">
        <f>VLOOKUP(A164, Put!A:Z, 26, FALSE)</f>
        <v>11.892249999999999</v>
      </c>
      <c r="D164">
        <f t="shared" si="4"/>
        <v>0.11841375</v>
      </c>
      <c r="E164">
        <f t="shared" si="5"/>
        <v>0.10174999999999912</v>
      </c>
    </row>
    <row r="165" spans="1:5" ht="15.75" x14ac:dyDescent="0.25">
      <c r="A165" s="3">
        <v>45897</v>
      </c>
      <c r="B165">
        <f>VLOOKUP(A165, Call!A:Z, 26, FALSE)</f>
        <v>11.356571428571428</v>
      </c>
      <c r="C165">
        <f>VLOOKUP(A165, Put!A:Z, 26, FALSE)</f>
        <v>11.435142857142857</v>
      </c>
      <c r="D165">
        <f t="shared" si="4"/>
        <v>0.11395857142857142</v>
      </c>
      <c r="E165">
        <f t="shared" si="5"/>
        <v>7.857142857142918E-2</v>
      </c>
    </row>
    <row r="166" spans="1:5" ht="15.75" x14ac:dyDescent="0.25">
      <c r="A166" s="3">
        <v>45898</v>
      </c>
      <c r="B166">
        <f>VLOOKUP(A166, Call!A:Z, 26, FALSE)</f>
        <v>12.314</v>
      </c>
      <c r="C166">
        <f>VLOOKUP(A166, Put!A:Z, 26, FALSE)</f>
        <v>12.269928571428572</v>
      </c>
      <c r="D166">
        <f t="shared" si="4"/>
        <v>0.12291964285714287</v>
      </c>
      <c r="E166">
        <f t="shared" si="5"/>
        <v>-4.4071428571427873E-2</v>
      </c>
    </row>
    <row r="167" spans="1:5" ht="15.75" x14ac:dyDescent="0.25">
      <c r="A167" s="3">
        <v>45902</v>
      </c>
      <c r="B167">
        <f>VLOOKUP(A167, Call!A:Z, 26, FALSE)</f>
        <v>13.192607142857144</v>
      </c>
      <c r="C167">
        <f>VLOOKUP(A167, Put!A:Z, 26, FALSE)</f>
        <v>13.475178571428572</v>
      </c>
      <c r="D167">
        <f t="shared" si="4"/>
        <v>0.13333892857142857</v>
      </c>
      <c r="E167">
        <f t="shared" si="5"/>
        <v>0.28257142857142803</v>
      </c>
    </row>
    <row r="168" spans="1:5" ht="15.75" x14ac:dyDescent="0.25">
      <c r="A168" s="3">
        <v>45903</v>
      </c>
      <c r="B168">
        <f>VLOOKUP(A168, Call!A:Z, 26, FALSE)</f>
        <v>12.535</v>
      </c>
      <c r="C168">
        <f>VLOOKUP(A168, Put!A:Z, 26, FALSE)</f>
        <v>12.611499999999999</v>
      </c>
      <c r="D168">
        <f t="shared" si="4"/>
        <v>0.1257325</v>
      </c>
      <c r="E168">
        <f t="shared" si="5"/>
        <v>7.6499999999999346E-2</v>
      </c>
    </row>
    <row r="169" spans="1:5" ht="15.75" x14ac:dyDescent="0.25">
      <c r="A169" s="3">
        <v>45904</v>
      </c>
      <c r="B169">
        <f>VLOOKUP(A169, Call!A:Z, 26, FALSE)</f>
        <v>11.808464285714287</v>
      </c>
      <c r="C169">
        <f>VLOOKUP(A169, Put!A:Z, 26, FALSE)</f>
        <v>11.859071428571429</v>
      </c>
      <c r="D169">
        <f t="shared" si="4"/>
        <v>0.11833767857142857</v>
      </c>
      <c r="E169">
        <f t="shared" si="5"/>
        <v>5.0607142857142406E-2</v>
      </c>
    </row>
    <row r="170" spans="1:5" ht="15.75" x14ac:dyDescent="0.25">
      <c r="A170" s="3">
        <v>45905</v>
      </c>
      <c r="B170">
        <f>VLOOKUP(A170, Call!A:Z, 26, FALSE)</f>
        <v>11.698142857142857</v>
      </c>
      <c r="C170">
        <f>VLOOKUP(A170, Put!A:Z, 26, FALSE)</f>
        <v>11.772857142857141</v>
      </c>
      <c r="D170">
        <f t="shared" si="4"/>
        <v>0.11735499999999999</v>
      </c>
      <c r="E170">
        <f t="shared" si="5"/>
        <v>7.4714285714284401E-2</v>
      </c>
    </row>
    <row r="171" spans="1:5" ht="15.75" x14ac:dyDescent="0.25">
      <c r="A171" s="3">
        <v>45908</v>
      </c>
      <c r="B171">
        <f>VLOOKUP(A171, Call!A:Z, 26, FALSE)</f>
        <v>11.484285714285715</v>
      </c>
      <c r="C171">
        <f>VLOOKUP(A171, Put!A:Z, 26, FALSE)</f>
        <v>11.557750000000002</v>
      </c>
      <c r="D171">
        <f t="shared" si="4"/>
        <v>0.11521017857142858</v>
      </c>
      <c r="E171">
        <f t="shared" si="5"/>
        <v>7.3464285714287314E-2</v>
      </c>
    </row>
    <row r="172" spans="1:5" ht="15.75" x14ac:dyDescent="0.25">
      <c r="A172" s="3">
        <v>45909</v>
      </c>
      <c r="B172">
        <f>VLOOKUP(A172, Call!A:Z, 26, FALSE)</f>
        <v>11.472142857142858</v>
      </c>
      <c r="C172">
        <f>VLOOKUP(A172, Put!A:Z, 26, FALSE)</f>
        <v>11.484857142857143</v>
      </c>
      <c r="D172">
        <f t="shared" si="4"/>
        <v>0.114785</v>
      </c>
      <c r="E172">
        <f t="shared" si="5"/>
        <v>1.2714285714285012E-2</v>
      </c>
    </row>
    <row r="173" spans="1:5" ht="15.75" x14ac:dyDescent="0.25">
      <c r="A173" s="3">
        <v>45910</v>
      </c>
      <c r="B173">
        <f>VLOOKUP(A173, Call!A:Z, 26, FALSE)</f>
        <v>11.613249999999999</v>
      </c>
      <c r="C173">
        <f>VLOOKUP(A173, Put!A:Z, 26, FALSE)</f>
        <v>11.752749999999999</v>
      </c>
      <c r="D173">
        <f t="shared" si="4"/>
        <v>0.11683</v>
      </c>
      <c r="E173">
        <f t="shared" si="5"/>
        <v>0.13949999999999996</v>
      </c>
    </row>
    <row r="174" spans="1:5" ht="15.75" x14ac:dyDescent="0.25">
      <c r="A174" s="3">
        <v>45911</v>
      </c>
      <c r="B174">
        <f>VLOOKUP(A174, Call!A:Z, 26, FALSE)</f>
        <v>11.172142857142855</v>
      </c>
      <c r="C174">
        <f>VLOOKUP(A174, Put!A:Z, 26, FALSE)</f>
        <v>11.360428571428571</v>
      </c>
      <c r="D174">
        <f t="shared" si="4"/>
        <v>0.11266285714285713</v>
      </c>
      <c r="E174">
        <f t="shared" si="5"/>
        <v>0.1882857142857155</v>
      </c>
    </row>
    <row r="175" spans="1:5" ht="15.75" x14ac:dyDescent="0.25">
      <c r="A175" s="3">
        <v>45912</v>
      </c>
      <c r="B175">
        <f>VLOOKUP(A175, Call!A:Z, 26, FALSE)</f>
        <v>11.291642857142858</v>
      </c>
      <c r="C175">
        <f>VLOOKUP(A175, Put!A:Z, 26, FALSE)</f>
        <v>11.365357142857142</v>
      </c>
      <c r="D175">
        <f t="shared" si="4"/>
        <v>0.113285</v>
      </c>
      <c r="E175">
        <f t="shared" si="5"/>
        <v>7.3714285714284955E-2</v>
      </c>
    </row>
    <row r="176" spans="1:5" ht="15.75" x14ac:dyDescent="0.25">
      <c r="A176" s="3">
        <v>45915</v>
      </c>
      <c r="B176">
        <f>VLOOKUP(A176, Call!A:Z, 26, FALSE)</f>
        <v>11.650714285714287</v>
      </c>
      <c r="C176">
        <f>VLOOKUP(A176, Put!A:Z, 26, FALSE)</f>
        <v>11.829285714285716</v>
      </c>
      <c r="D176">
        <f t="shared" si="4"/>
        <v>0.11740000000000002</v>
      </c>
      <c r="E176">
        <f t="shared" si="5"/>
        <v>0.17857142857142883</v>
      </c>
    </row>
    <row r="177" spans="1:5" ht="15.75" x14ac:dyDescent="0.25">
      <c r="A177" s="3">
        <v>45916</v>
      </c>
      <c r="B177">
        <f>VLOOKUP(A177, Call!A:Z, 26, FALSE)</f>
        <v>12.412892857142857</v>
      </c>
      <c r="C177">
        <f>VLOOKUP(A177, Put!A:Z, 26, FALSE)</f>
        <v>12.51825</v>
      </c>
      <c r="D177">
        <f t="shared" si="4"/>
        <v>0.1246557142857143</v>
      </c>
      <c r="E177">
        <f t="shared" si="5"/>
        <v>0.1053571428571427</v>
      </c>
    </row>
    <row r="178" spans="1:5" ht="15.75" x14ac:dyDescent="0.25">
      <c r="A178" s="3">
        <v>45917</v>
      </c>
      <c r="B178">
        <f>VLOOKUP(A178, Call!A:Z, 26, FALSE)</f>
        <v>12.151</v>
      </c>
      <c r="C178">
        <f>VLOOKUP(A178, Put!A:Z, 26, FALSE)</f>
        <v>12.106</v>
      </c>
      <c r="D178">
        <f t="shared" si="4"/>
        <v>0.12128499999999999</v>
      </c>
      <c r="E178">
        <f t="shared" si="5"/>
        <v>-4.4999999999999929E-2</v>
      </c>
    </row>
    <row r="179" spans="1:5" ht="15.75" x14ac:dyDescent="0.25">
      <c r="A179" s="3">
        <v>45918</v>
      </c>
      <c r="B179">
        <f>VLOOKUP(A179, Call!A:Z, 26, FALSE)</f>
        <v>12.032999999999999</v>
      </c>
      <c r="C179">
        <f>VLOOKUP(A179, Put!A:Z, 26, FALSE)</f>
        <v>12.156000000000001</v>
      </c>
      <c r="D179">
        <f t="shared" si="4"/>
        <v>0.120945</v>
      </c>
      <c r="E179">
        <f t="shared" si="5"/>
        <v>0.12300000000000111</v>
      </c>
    </row>
    <row r="180" spans="1:5" ht="15.75" x14ac:dyDescent="0.25">
      <c r="A180" s="3">
        <v>45919</v>
      </c>
      <c r="B180">
        <f>VLOOKUP(A180, Call!A:Z, 26, FALSE)</f>
        <v>12.142342857142857</v>
      </c>
      <c r="C180">
        <f>VLOOKUP(A180, Put!A:Z, 26, FALSE)</f>
        <v>12.1374</v>
      </c>
      <c r="D180">
        <f t="shared" si="4"/>
        <v>0.12139871428571429</v>
      </c>
      <c r="E180">
        <f t="shared" si="5"/>
        <v>-4.9428571428578039E-3</v>
      </c>
    </row>
    <row r="181" spans="1:5" ht="15.75" x14ac:dyDescent="0.25">
      <c r="A181" s="3">
        <v>45922</v>
      </c>
      <c r="B181">
        <f>VLOOKUP(A181, Call!A:Z, 26, FALSE)</f>
        <v>12.328714285714286</v>
      </c>
      <c r="C181">
        <f>VLOOKUP(A181, Put!A:Z, 26, FALSE)</f>
        <v>12.4</v>
      </c>
      <c r="D181">
        <f t="shared" si="4"/>
        <v>0.12364357142857144</v>
      </c>
      <c r="E181">
        <f t="shared" si="5"/>
        <v>7.1285714285714619E-2</v>
      </c>
    </row>
    <row r="182" spans="1:5" ht="15.75" x14ac:dyDescent="0.25">
      <c r="A182" s="3">
        <v>45923</v>
      </c>
      <c r="B182">
        <f>VLOOKUP(A182, Call!A:Z, 26, FALSE)</f>
        <v>12.974628571428571</v>
      </c>
      <c r="C182">
        <f>VLOOKUP(A182, Put!A:Z, 26, FALSE)</f>
        <v>13.100257142857142</v>
      </c>
      <c r="D182">
        <f t="shared" si="4"/>
        <v>0.13037442857142856</v>
      </c>
      <c r="E182">
        <f t="shared" si="5"/>
        <v>0.12562857142857098</v>
      </c>
    </row>
    <row r="183" spans="1:5" ht="15.75" x14ac:dyDescent="0.25">
      <c r="A183" s="3">
        <v>45924</v>
      </c>
      <c r="B183">
        <f>VLOOKUP(A183, Call!A:Z, 26, FALSE)</f>
        <v>12.782800000000002</v>
      </c>
      <c r="C183">
        <f>VLOOKUP(A183, Put!A:Z, 26, FALSE)</f>
        <v>12.877800000000001</v>
      </c>
      <c r="D183">
        <f t="shared" si="4"/>
        <v>0.128303</v>
      </c>
      <c r="E183">
        <f t="shared" si="5"/>
        <v>9.4999999999998863E-2</v>
      </c>
    </row>
    <row r="184" spans="1:5" ht="15.75" x14ac:dyDescent="0.25">
      <c r="A184" s="3">
        <v>45925</v>
      </c>
      <c r="B184">
        <f>VLOOKUP(A184, Call!A:Z, 26, FALSE)</f>
        <v>13.240342857142858</v>
      </c>
      <c r="C184">
        <f>VLOOKUP(A184, Put!A:Z, 26, FALSE)</f>
        <v>13.236742857142858</v>
      </c>
      <c r="D184">
        <f t="shared" si="4"/>
        <v>0.13238542857142857</v>
      </c>
      <c r="E184">
        <f t="shared" si="5"/>
        <v>-3.6000000000004917E-3</v>
      </c>
    </row>
    <row r="185" spans="1:5" ht="15.75" x14ac:dyDescent="0.25">
      <c r="A185" s="3">
        <v>45926</v>
      </c>
      <c r="B185">
        <f>VLOOKUP(A185, Call!A:Z, 26, FALSE)</f>
        <v>12.121971428571428</v>
      </c>
      <c r="C185">
        <f>VLOOKUP(A185, Put!A:Z, 26, FALSE)</f>
        <v>12.165714285714285</v>
      </c>
      <c r="D185">
        <f t="shared" si="4"/>
        <v>0.12143842857142857</v>
      </c>
      <c r="E185">
        <f t="shared" si="5"/>
        <v>4.3742857142857972E-2</v>
      </c>
    </row>
    <row r="186" spans="1:5" ht="15.75" x14ac:dyDescent="0.25">
      <c r="A186" s="3">
        <v>45929</v>
      </c>
      <c r="B186">
        <f>VLOOKUP(A186, Call!A:Z, 26, FALSE)</f>
        <v>12.028714285714287</v>
      </c>
      <c r="C186">
        <f>VLOOKUP(A186, Put!A:Z, 26, FALSE)</f>
        <v>12.121571428571428</v>
      </c>
      <c r="D186">
        <f t="shared" si="4"/>
        <v>0.12075142857142858</v>
      </c>
      <c r="E186">
        <f t="shared" si="5"/>
        <v>9.2857142857141639E-2</v>
      </c>
    </row>
    <row r="187" spans="1:5" ht="15.75" x14ac:dyDescent="0.25">
      <c r="A187" s="3">
        <v>45930</v>
      </c>
      <c r="B187">
        <f>VLOOKUP(A187, Call!A:Z, 26, FALSE)</f>
        <v>12.055542857142857</v>
      </c>
      <c r="C187">
        <f>VLOOKUP(A187, Put!A:Z, 26, FALSE)</f>
        <v>11.973685714285715</v>
      </c>
      <c r="D187">
        <f t="shared" si="4"/>
        <v>0.12014614285714285</v>
      </c>
      <c r="E187">
        <f t="shared" si="5"/>
        <v>-8.1857142857142406E-2</v>
      </c>
    </row>
    <row r="188" spans="1:5" ht="15.75" x14ac:dyDescent="0.25">
      <c r="A188" s="3">
        <v>45931</v>
      </c>
      <c r="B188">
        <f>VLOOKUP(A188, Call!A:Z, 26, FALSE)</f>
        <v>12.038</v>
      </c>
      <c r="C188">
        <f>VLOOKUP(A188, Put!A:Z, 26, FALSE)</f>
        <v>12.058</v>
      </c>
      <c r="D188">
        <f t="shared" si="4"/>
        <v>0.12048</v>
      </c>
      <c r="E188">
        <f t="shared" si="5"/>
        <v>1.9999999999999574E-2</v>
      </c>
    </row>
    <row r="189" spans="1:5" ht="15.75" x14ac:dyDescent="0.25">
      <c r="A189" s="3">
        <v>45932</v>
      </c>
      <c r="B189">
        <f>VLOOKUP(A189, Call!A:Z, 26, FALSE)</f>
        <v>12.354142857142856</v>
      </c>
      <c r="C189">
        <f>VLOOKUP(A189, Put!A:Z, 26, FALSE)</f>
        <v>12.432285714285713</v>
      </c>
      <c r="D189">
        <f t="shared" si="4"/>
        <v>0.12393214285714285</v>
      </c>
      <c r="E189">
        <f t="shared" si="5"/>
        <v>7.8142857142857736E-2</v>
      </c>
    </row>
    <row r="190" spans="1:5" ht="15.75" x14ac:dyDescent="0.25">
      <c r="A190" s="3">
        <v>45933</v>
      </c>
      <c r="B190">
        <f>VLOOKUP(A190, Call!A:Z, 26, FALSE)</f>
        <v>12.245685714285713</v>
      </c>
      <c r="C190">
        <f>VLOOKUP(A190, Put!A:Z, 26, FALSE)</f>
        <v>12.234342857142856</v>
      </c>
      <c r="D190">
        <f t="shared" si="4"/>
        <v>0.12240014285714285</v>
      </c>
      <c r="E190">
        <f t="shared" si="5"/>
        <v>-1.1342857142857099E-2</v>
      </c>
    </row>
    <row r="191" spans="1:5" ht="15.75" x14ac:dyDescent="0.25">
      <c r="A191" s="3">
        <v>45936</v>
      </c>
      <c r="B191">
        <f>VLOOKUP(A191, Call!A:Z, 26, FALSE)</f>
        <v>11.857371428571428</v>
      </c>
      <c r="C191">
        <f>VLOOKUP(A191, Put!A:Z, 26, FALSE)</f>
        <v>11.923028571428571</v>
      </c>
      <c r="D191">
        <f t="shared" si="4"/>
        <v>0.11890200000000001</v>
      </c>
      <c r="E191">
        <f t="shared" si="5"/>
        <v>6.5657142857142858E-2</v>
      </c>
    </row>
    <row r="192" spans="1:5" ht="15.75" x14ac:dyDescent="0.25">
      <c r="A192" s="3">
        <v>45937</v>
      </c>
      <c r="B192">
        <f>VLOOKUP(A192, Call!A:Z, 26, FALSE)</f>
        <v>12.691142857142856</v>
      </c>
      <c r="C192">
        <f>VLOOKUP(A192, Put!A:Z, 26, FALSE)</f>
        <v>12.859142857142857</v>
      </c>
      <c r="D192">
        <f t="shared" si="4"/>
        <v>0.12775142857142857</v>
      </c>
      <c r="E192">
        <f t="shared" si="5"/>
        <v>0.16800000000000104</v>
      </c>
    </row>
    <row r="193" spans="1:5" ht="15.75" x14ac:dyDescent="0.25">
      <c r="A193" s="3">
        <v>45938</v>
      </c>
      <c r="B193">
        <f>VLOOKUP(A193, Call!A:Z, 26, FALSE)</f>
        <v>11.859</v>
      </c>
      <c r="C193">
        <f>VLOOKUP(A193, Put!A:Z, 26, FALSE)</f>
        <v>11.886799999999999</v>
      </c>
      <c r="D193">
        <f t="shared" si="4"/>
        <v>0.118729</v>
      </c>
      <c r="E193">
        <f t="shared" si="5"/>
        <v>2.7799999999999159E-2</v>
      </c>
    </row>
    <row r="194" spans="1:5" ht="15.75" x14ac:dyDescent="0.25">
      <c r="A194" s="3">
        <v>45939</v>
      </c>
      <c r="B194">
        <f>VLOOKUP(A194, Call!A:Z, 26, FALSE)</f>
        <v>12.352971428571429</v>
      </c>
      <c r="C194">
        <f>VLOOKUP(A194, Put!A:Z, 26, FALSE)</f>
        <v>12.353828571428572</v>
      </c>
      <c r="D194">
        <f t="shared" si="4"/>
        <v>0.123534</v>
      </c>
      <c r="E194">
        <f t="shared" si="5"/>
        <v>8.5714285714288962E-4</v>
      </c>
    </row>
    <row r="195" spans="1:5" ht="15.75" x14ac:dyDescent="0.25">
      <c r="A195" s="3">
        <v>45940</v>
      </c>
      <c r="B195">
        <f>VLOOKUP(A195, Call!A:Z, 26, FALSE)</f>
        <v>17.849</v>
      </c>
      <c r="C195">
        <f>VLOOKUP(A195, Put!A:Z, 26, FALSE)</f>
        <v>17.866628571428571</v>
      </c>
      <c r="D195">
        <f t="shared" ref="D195:D251" si="6">(B195+C195)/200</f>
        <v>0.17857814285714282</v>
      </c>
      <c r="E195">
        <f t="shared" ref="E195:E251" si="7">C195-B195</f>
        <v>1.7628571428570439E-2</v>
      </c>
    </row>
    <row r="196" spans="1:5" ht="15.75" x14ac:dyDescent="0.25">
      <c r="A196" s="3">
        <v>45943</v>
      </c>
      <c r="B196">
        <f>VLOOKUP(A196, Call!A:Z, 26, FALSE)</f>
        <v>14.245799999999999</v>
      </c>
      <c r="C196">
        <f>VLOOKUP(A196, Put!A:Z, 26, FALSE)</f>
        <v>14.197485714285715</v>
      </c>
      <c r="D196">
        <f t="shared" si="6"/>
        <v>0.14221642857142858</v>
      </c>
      <c r="E196">
        <f t="shared" si="7"/>
        <v>-4.8314285714283756E-2</v>
      </c>
    </row>
    <row r="197" spans="1:5" ht="15.75" x14ac:dyDescent="0.25">
      <c r="A197" s="3">
        <v>45944</v>
      </c>
      <c r="B197">
        <f>VLOOKUP(A197, Call!A:Z, 26, FALSE)</f>
        <v>15.262657142857144</v>
      </c>
      <c r="C197">
        <f>VLOOKUP(A197, Put!A:Z, 26, FALSE)</f>
        <v>15.410857142857143</v>
      </c>
      <c r="D197">
        <f t="shared" si="6"/>
        <v>0.15336757142857144</v>
      </c>
      <c r="E197">
        <f t="shared" si="7"/>
        <v>0.14819999999999922</v>
      </c>
    </row>
    <row r="198" spans="1:5" ht="15.75" x14ac:dyDescent="0.25">
      <c r="A198" s="3">
        <v>45945</v>
      </c>
      <c r="B198">
        <f>VLOOKUP(A198, Call!A:Z, 26, FALSE)</f>
        <v>15.523399999999999</v>
      </c>
      <c r="C198">
        <f>VLOOKUP(A198, Put!A:Z, 26, FALSE)</f>
        <v>15.5418</v>
      </c>
      <c r="D198">
        <f t="shared" si="6"/>
        <v>0.15532599999999999</v>
      </c>
      <c r="E198">
        <f t="shared" si="7"/>
        <v>1.8400000000001526E-2</v>
      </c>
    </row>
    <row r="199" spans="1:5" ht="15.75" x14ac:dyDescent="0.25">
      <c r="A199" s="3">
        <v>45946</v>
      </c>
      <c r="B199">
        <f>VLOOKUP(A199, Call!A:Z, 26, FALSE)</f>
        <v>18.211457142857146</v>
      </c>
      <c r="C199">
        <f>VLOOKUP(A199, Put!A:Z, 26, FALSE)</f>
        <v>18.082571428571427</v>
      </c>
      <c r="D199">
        <f t="shared" si="6"/>
        <v>0.18147014285714286</v>
      </c>
      <c r="E199">
        <f t="shared" si="7"/>
        <v>-0.12888571428571893</v>
      </c>
    </row>
    <row r="200" spans="1:5" ht="15.75" x14ac:dyDescent="0.25">
      <c r="A200" s="3">
        <v>45947</v>
      </c>
      <c r="B200">
        <f>VLOOKUP(A200, Call!A:Z, 26, FALSE)</f>
        <v>16.280999999999999</v>
      </c>
      <c r="C200">
        <f>VLOOKUP(A200, Put!A:Z, 26, FALSE)</f>
        <v>16.347000000000001</v>
      </c>
      <c r="D200">
        <f t="shared" si="6"/>
        <v>0.16314000000000001</v>
      </c>
      <c r="E200">
        <f t="shared" si="7"/>
        <v>6.6000000000002501E-2</v>
      </c>
    </row>
    <row r="201" spans="1:5" ht="15.75" x14ac:dyDescent="0.25">
      <c r="A201" s="3">
        <v>45950</v>
      </c>
      <c r="B201">
        <f>VLOOKUP(A201, Call!A:Z, 26, FALSE)</f>
        <v>13.888</v>
      </c>
      <c r="C201">
        <f>VLOOKUP(A201, Put!A:Z, 26, FALSE)</f>
        <v>13.906000000000001</v>
      </c>
      <c r="D201">
        <f t="shared" si="6"/>
        <v>0.13897000000000001</v>
      </c>
      <c r="E201">
        <f t="shared" si="7"/>
        <v>1.8000000000000682E-2</v>
      </c>
    </row>
    <row r="202" spans="1:5" ht="15.75" x14ac:dyDescent="0.25">
      <c r="A202" s="3">
        <v>45951</v>
      </c>
      <c r="B202">
        <f>VLOOKUP(A202, Call!A:Z, 26, FALSE)</f>
        <v>13.778</v>
      </c>
      <c r="C202">
        <f>VLOOKUP(A202, Put!A:Z, 26, FALSE)</f>
        <v>13.775</v>
      </c>
      <c r="D202">
        <f t="shared" si="6"/>
        <v>0.137765</v>
      </c>
      <c r="E202">
        <f t="shared" si="7"/>
        <v>-3.0000000000001137E-3</v>
      </c>
    </row>
    <row r="203" spans="1:5" ht="15.75" x14ac:dyDescent="0.25">
      <c r="A203" s="3">
        <v>45952</v>
      </c>
      <c r="B203">
        <f>VLOOKUP(A203, Call!A:Z, 26, FALSE)</f>
        <v>14.462</v>
      </c>
      <c r="C203">
        <f>VLOOKUP(A203, Put!A:Z, 26, FALSE)</f>
        <v>14.448</v>
      </c>
      <c r="D203">
        <f t="shared" si="6"/>
        <v>0.14455000000000001</v>
      </c>
      <c r="E203">
        <f t="shared" si="7"/>
        <v>-1.3999999999999346E-2</v>
      </c>
    </row>
    <row r="204" spans="1:5" ht="15.75" x14ac:dyDescent="0.25">
      <c r="A204" s="3">
        <v>45953</v>
      </c>
      <c r="B204">
        <f>VLOOKUP(A204, Call!A:Z, 26, FALSE)</f>
        <v>13.480928571428571</v>
      </c>
      <c r="C204">
        <f>VLOOKUP(A204, Put!A:Z, 26, FALSE)</f>
        <v>13.488392857142857</v>
      </c>
      <c r="D204">
        <f t="shared" si="6"/>
        <v>0.13484660714285712</v>
      </c>
      <c r="E204">
        <f t="shared" si="7"/>
        <v>7.4642857142865893E-3</v>
      </c>
    </row>
    <row r="205" spans="1:5" ht="15.75" x14ac:dyDescent="0.25">
      <c r="A205" s="3">
        <v>45954</v>
      </c>
      <c r="B205">
        <f>VLOOKUP(A205, Call!A:Z, 26, FALSE)</f>
        <v>12.832642857142858</v>
      </c>
      <c r="C205">
        <f>VLOOKUP(A205, Put!A:Z, 26, FALSE)</f>
        <v>12.909357142857143</v>
      </c>
      <c r="D205">
        <f t="shared" si="6"/>
        <v>0.12870999999999999</v>
      </c>
      <c r="E205">
        <f t="shared" si="7"/>
        <v>7.6714285714285069E-2</v>
      </c>
    </row>
    <row r="206" spans="1:5" ht="15.75" x14ac:dyDescent="0.25">
      <c r="A206" s="3">
        <v>45957</v>
      </c>
      <c r="B206">
        <f>VLOOKUP(A206, Call!A:Z, 26, FALSE)</f>
        <v>12.36007142857143</v>
      </c>
      <c r="C206">
        <f>VLOOKUP(A206, Put!A:Z, 26, FALSE)</f>
        <v>12.542107142857141</v>
      </c>
      <c r="D206">
        <f t="shared" si="6"/>
        <v>0.12451089285714285</v>
      </c>
      <c r="E206">
        <f t="shared" si="7"/>
        <v>0.18203571428571053</v>
      </c>
    </row>
    <row r="207" spans="1:5" ht="15.75" x14ac:dyDescent="0.25">
      <c r="A207" s="3">
        <v>45958</v>
      </c>
      <c r="B207">
        <f>VLOOKUP(A207, Call!A:Z, 26, FALSE)</f>
        <v>13.305571428571429</v>
      </c>
      <c r="C207">
        <f>VLOOKUP(A207, Put!A:Z, 26, FALSE)</f>
        <v>13.2835</v>
      </c>
      <c r="D207">
        <f t="shared" si="6"/>
        <v>0.13294535714285716</v>
      </c>
      <c r="E207">
        <f t="shared" si="7"/>
        <v>-2.2071428571429408E-2</v>
      </c>
    </row>
    <row r="208" spans="1:5" ht="15.75" x14ac:dyDescent="0.25">
      <c r="A208" s="3">
        <v>45959</v>
      </c>
      <c r="B208">
        <f>VLOOKUP(A208, Call!A:Z, 26, FALSE)</f>
        <v>14.134499999999999</v>
      </c>
      <c r="C208">
        <f>VLOOKUP(A208, Put!A:Z, 26, FALSE)</f>
        <v>14.0175</v>
      </c>
      <c r="D208">
        <f t="shared" si="6"/>
        <v>0.14076</v>
      </c>
      <c r="E208">
        <f t="shared" si="7"/>
        <v>-0.1169999999999991</v>
      </c>
    </row>
    <row r="209" spans="1:5" ht="15.75" x14ac:dyDescent="0.25">
      <c r="A209" s="3">
        <v>45960</v>
      </c>
      <c r="B209">
        <f>VLOOKUP(A209, Call!A:Z, 26, FALSE)</f>
        <v>14.424285714285716</v>
      </c>
      <c r="C209">
        <f>VLOOKUP(A209, Put!A:Z, 26, FALSE)</f>
        <v>14.488571428571429</v>
      </c>
      <c r="D209">
        <f t="shared" si="6"/>
        <v>0.14456428571428573</v>
      </c>
      <c r="E209">
        <f t="shared" si="7"/>
        <v>6.4285714285713169E-2</v>
      </c>
    </row>
    <row r="210" spans="1:5" ht="15.75" x14ac:dyDescent="0.25">
      <c r="A210" s="3">
        <v>45961</v>
      </c>
      <c r="B210">
        <f>VLOOKUP(A210, Call!A:Z, 26, FALSE)</f>
        <v>14.516214285714288</v>
      </c>
      <c r="C210">
        <f>VLOOKUP(A210, Put!A:Z, 26, FALSE)</f>
        <v>14.654142857142858</v>
      </c>
      <c r="D210">
        <f t="shared" si="6"/>
        <v>0.14585178571428573</v>
      </c>
      <c r="E210">
        <f t="shared" si="7"/>
        <v>0.13792857142857073</v>
      </c>
    </row>
    <row r="211" spans="1:5" ht="15.75" x14ac:dyDescent="0.25">
      <c r="A211" s="3">
        <v>45964</v>
      </c>
      <c r="B211">
        <f>VLOOKUP(A211, Call!A:Z, 26, FALSE)</f>
        <v>13.625</v>
      </c>
      <c r="C211">
        <f>VLOOKUP(A211, Put!A:Z, 26, FALSE)</f>
        <v>14.322857142857142</v>
      </c>
      <c r="D211">
        <f t="shared" si="6"/>
        <v>0.1397392857142857</v>
      </c>
      <c r="E211">
        <f t="shared" si="7"/>
        <v>0.69785714285714207</v>
      </c>
    </row>
    <row r="212" spans="1:5" ht="15.75" x14ac:dyDescent="0.25">
      <c r="A212" s="3">
        <v>45965</v>
      </c>
      <c r="B212">
        <f>VLOOKUP(A212, Call!A:Z, 26, FALSE)</f>
        <v>15.453749999999999</v>
      </c>
      <c r="C212">
        <f>VLOOKUP(A212, Put!A:Z, 26, FALSE)</f>
        <v>15.469821428571429</v>
      </c>
      <c r="D212">
        <f t="shared" si="6"/>
        <v>0.15461785714285714</v>
      </c>
      <c r="E212">
        <f t="shared" si="7"/>
        <v>1.607142857142918E-2</v>
      </c>
    </row>
    <row r="213" spans="1:5" ht="15.75" x14ac:dyDescent="0.25">
      <c r="A213" s="3">
        <v>45966</v>
      </c>
      <c r="B213">
        <f>VLOOKUP(A213, Call!A:Z, 26, FALSE)</f>
        <v>14.567499999999999</v>
      </c>
      <c r="C213">
        <f>VLOOKUP(A213, Put!A:Z, 26, FALSE)</f>
        <v>14.7775</v>
      </c>
      <c r="D213">
        <f t="shared" si="6"/>
        <v>0.14672499999999999</v>
      </c>
      <c r="E213">
        <f t="shared" si="7"/>
        <v>0.21000000000000085</v>
      </c>
    </row>
    <row r="214" spans="1:5" ht="15.75" x14ac:dyDescent="0.25">
      <c r="A214" s="3">
        <v>45967</v>
      </c>
      <c r="B214">
        <f>VLOOKUP(A214, Call!A:Z, 26, FALSE)</f>
        <v>16.289892857142856</v>
      </c>
      <c r="C214">
        <f>VLOOKUP(A214, Put!A:Z, 26, FALSE)</f>
        <v>16.331785714285715</v>
      </c>
      <c r="D214">
        <f t="shared" si="6"/>
        <v>0.16310839285714288</v>
      </c>
      <c r="E214">
        <f t="shared" si="7"/>
        <v>4.189285714285873E-2</v>
      </c>
    </row>
    <row r="215" spans="1:5" ht="15.75" x14ac:dyDescent="0.25">
      <c r="A215" s="3">
        <v>45968</v>
      </c>
      <c r="B215">
        <f>VLOOKUP(A215, Call!A:Z, 26, FALSE)</f>
        <v>16.030285714285714</v>
      </c>
      <c r="C215">
        <f>VLOOKUP(A215, Put!A:Z, 26, FALSE)</f>
        <v>15.976999999999997</v>
      </c>
      <c r="D215">
        <f t="shared" si="6"/>
        <v>0.16003642857142858</v>
      </c>
      <c r="E215">
        <f t="shared" si="7"/>
        <v>-5.3285714285717489E-2</v>
      </c>
    </row>
    <row r="216" spans="1:5" ht="15.75" x14ac:dyDescent="0.25">
      <c r="A216" s="3">
        <v>45971</v>
      </c>
      <c r="B216">
        <f>VLOOKUP(A216, Call!A:Z, 26, FALSE)</f>
        <v>13.999178571428573</v>
      </c>
      <c r="C216">
        <f>VLOOKUP(A216, Put!A:Z, 26, FALSE)</f>
        <v>14.074035714285715</v>
      </c>
      <c r="D216">
        <f t="shared" si="6"/>
        <v>0.14036607142857144</v>
      </c>
      <c r="E216">
        <f t="shared" si="7"/>
        <v>7.4857142857142733E-2</v>
      </c>
    </row>
    <row r="217" spans="1:5" ht="15.75" x14ac:dyDescent="0.25">
      <c r="A217" s="3">
        <v>45972</v>
      </c>
      <c r="B217">
        <f>VLOOKUP(A217, Call!A:Z, 26, FALSE)</f>
        <v>13.791428571428572</v>
      </c>
      <c r="C217">
        <f>VLOOKUP(A217, Put!A:Z, 26, FALSE)</f>
        <v>13.821285714285715</v>
      </c>
      <c r="D217">
        <f t="shared" si="6"/>
        <v>0.13806357142857142</v>
      </c>
      <c r="E217">
        <f t="shared" si="7"/>
        <v>2.9857142857142804E-2</v>
      </c>
    </row>
    <row r="218" spans="1:5" ht="15.75" x14ac:dyDescent="0.25">
      <c r="A218" s="3">
        <v>45973</v>
      </c>
      <c r="B218">
        <f>VLOOKUP(A218, Call!A:Z, 26, FALSE)</f>
        <v>13.977</v>
      </c>
      <c r="C218">
        <f>VLOOKUP(A218, Put!A:Z, 26, FALSE)</f>
        <v>14.296250000000001</v>
      </c>
      <c r="D218">
        <f t="shared" si="6"/>
        <v>0.14136625</v>
      </c>
      <c r="E218">
        <f t="shared" si="7"/>
        <v>0.31925000000000026</v>
      </c>
    </row>
    <row r="219" spans="1:5" ht="15.75" x14ac:dyDescent="0.25">
      <c r="A219" s="3">
        <v>45974</v>
      </c>
      <c r="B219">
        <f>VLOOKUP(A219, Call!A:Z, 26, FALSE)</f>
        <v>16.597785714285713</v>
      </c>
      <c r="C219">
        <f>VLOOKUP(A219, Put!A:Z, 26, FALSE)</f>
        <v>16.739642857142854</v>
      </c>
      <c r="D219">
        <f t="shared" si="6"/>
        <v>0.16668714285714284</v>
      </c>
      <c r="E219">
        <f t="shared" si="7"/>
        <v>0.14185714285714113</v>
      </c>
    </row>
    <row r="220" spans="1:5" ht="15.75" x14ac:dyDescent="0.25">
      <c r="A220" s="3">
        <v>45975</v>
      </c>
      <c r="B220">
        <f>VLOOKUP(A220, Call!A:Z, 26, FALSE)</f>
        <v>16.542428571428573</v>
      </c>
      <c r="C220">
        <f>VLOOKUP(A220, Put!A:Z, 26, FALSE)</f>
        <v>16.653857142857142</v>
      </c>
      <c r="D220">
        <f t="shared" si="6"/>
        <v>0.16598142857142859</v>
      </c>
      <c r="E220">
        <f t="shared" si="7"/>
        <v>0.11142857142856855</v>
      </c>
    </row>
    <row r="221" spans="1:5" ht="15.75" x14ac:dyDescent="0.25">
      <c r="A221" s="3">
        <v>45978</v>
      </c>
      <c r="B221">
        <f>VLOOKUP(A221, Call!A:Z, 26, FALSE)</f>
        <v>18.007285714285715</v>
      </c>
      <c r="C221">
        <f>VLOOKUP(A221, Put!A:Z, 26, FALSE)</f>
        <v>18.126571428571431</v>
      </c>
      <c r="D221">
        <f t="shared" si="6"/>
        <v>0.18066928571428573</v>
      </c>
      <c r="E221">
        <f t="shared" si="7"/>
        <v>0.11928571428571644</v>
      </c>
    </row>
    <row r="222" spans="1:5" ht="15.75" x14ac:dyDescent="0.25">
      <c r="A222" s="3">
        <v>45979</v>
      </c>
      <c r="B222">
        <f>VLOOKUP(A222, Call!A:Z, 26, FALSE)</f>
        <v>19.683285714285716</v>
      </c>
      <c r="C222">
        <f>VLOOKUP(A222, Put!A:Z, 26, FALSE)</f>
        <v>19.641464285714285</v>
      </c>
      <c r="D222">
        <f t="shared" si="6"/>
        <v>0.19662375000000001</v>
      </c>
      <c r="E222">
        <f t="shared" si="7"/>
        <v>-4.1821428571431341E-2</v>
      </c>
    </row>
    <row r="223" spans="1:5" ht="15.75" x14ac:dyDescent="0.25">
      <c r="A223" s="3">
        <v>45980</v>
      </c>
      <c r="B223">
        <f>VLOOKUP(A223, Call!A:Z, 26, FALSE)</f>
        <v>19.074000000000002</v>
      </c>
      <c r="C223">
        <f>VLOOKUP(A223, Put!A:Z, 26, FALSE)</f>
        <v>19.253</v>
      </c>
      <c r="D223">
        <f t="shared" si="6"/>
        <v>0.191635</v>
      </c>
      <c r="E223">
        <f t="shared" si="7"/>
        <v>0.17899999999999849</v>
      </c>
    </row>
    <row r="224" spans="1:5" ht="15.75" x14ac:dyDescent="0.25">
      <c r="A224" s="3">
        <v>45981</v>
      </c>
      <c r="B224">
        <f>VLOOKUP(A224, Call!A:Z, 26, FALSE)</f>
        <v>21.553000000000001</v>
      </c>
      <c r="C224">
        <f>VLOOKUP(A224, Put!A:Z, 26, FALSE)</f>
        <v>21.611999999999998</v>
      </c>
      <c r="D224">
        <f t="shared" si="6"/>
        <v>0.21582499999999999</v>
      </c>
      <c r="E224">
        <f t="shared" si="7"/>
        <v>5.8999999999997499E-2</v>
      </c>
    </row>
    <row r="225" spans="1:5" ht="15.75" x14ac:dyDescent="0.25">
      <c r="A225" s="3">
        <v>45982</v>
      </c>
      <c r="B225">
        <f>VLOOKUP(A225, Call!A:Z, 26, FALSE)</f>
        <v>19.411714285714286</v>
      </c>
      <c r="C225">
        <f>VLOOKUP(A225, Put!A:Z, 26, FALSE)</f>
        <v>19.559642857142858</v>
      </c>
      <c r="D225">
        <f t="shared" si="6"/>
        <v>0.19485678571428572</v>
      </c>
      <c r="E225">
        <f t="shared" si="7"/>
        <v>0.1479285714285723</v>
      </c>
    </row>
    <row r="226" spans="1:5" ht="15.75" x14ac:dyDescent="0.25">
      <c r="A226" s="3">
        <v>45985</v>
      </c>
      <c r="B226">
        <f>VLOOKUP(A226, Call!A:Z, 26, FALSE)</f>
        <v>16.531214285714285</v>
      </c>
      <c r="C226">
        <f>VLOOKUP(A226, Put!A:Z, 26, FALSE)</f>
        <v>16.533035714285713</v>
      </c>
      <c r="D226">
        <f t="shared" si="6"/>
        <v>0.16532125</v>
      </c>
      <c r="E226">
        <f t="shared" si="7"/>
        <v>1.8214285714286405E-3</v>
      </c>
    </row>
    <row r="227" spans="1:5" ht="15.75" x14ac:dyDescent="0.25">
      <c r="A227" s="3">
        <v>45986</v>
      </c>
      <c r="B227">
        <f>VLOOKUP(A227, Call!A:Z, 26, FALSE)</f>
        <v>15.046428571428571</v>
      </c>
      <c r="C227">
        <f>VLOOKUP(A227, Put!A:Z, 26, FALSE)</f>
        <v>15.020428571428571</v>
      </c>
      <c r="D227">
        <f t="shared" si="6"/>
        <v>0.1503342857142857</v>
      </c>
      <c r="E227">
        <f t="shared" si="7"/>
        <v>-2.5999999999999801E-2</v>
      </c>
    </row>
    <row r="228" spans="1:5" ht="15.75" x14ac:dyDescent="0.25">
      <c r="A228" s="3">
        <v>45987</v>
      </c>
      <c r="B228">
        <f>VLOOKUP(A228, Call!A:Z, 26, FALSE)</f>
        <v>14.291</v>
      </c>
      <c r="C228">
        <f>VLOOKUP(A228, Put!A:Z, 26, FALSE)</f>
        <v>14.326000000000001</v>
      </c>
      <c r="D228">
        <f t="shared" si="6"/>
        <v>0.14308500000000002</v>
      </c>
      <c r="E228">
        <f t="shared" si="7"/>
        <v>3.5000000000000142E-2</v>
      </c>
    </row>
    <row r="229" spans="1:5" ht="15.75" x14ac:dyDescent="0.25">
      <c r="A229" s="3">
        <v>45989</v>
      </c>
      <c r="B229">
        <f>VLOOKUP(A229, Call!A:Z, 26, FALSE)</f>
        <v>13.760892857142856</v>
      </c>
      <c r="C229">
        <f>VLOOKUP(A229, Put!A:Z, 26, FALSE)</f>
        <v>13.72775</v>
      </c>
      <c r="D229">
        <f t="shared" si="6"/>
        <v>0.13744321428571429</v>
      </c>
      <c r="E229">
        <f t="shared" si="7"/>
        <v>-3.314285714285603E-2</v>
      </c>
    </row>
    <row r="230" spans="1:5" ht="15.75" x14ac:dyDescent="0.25">
      <c r="A230" s="3">
        <v>45992</v>
      </c>
      <c r="B230">
        <f>VLOOKUP(A230, Call!A:Z, 26, FALSE)</f>
        <v>14.059285714285714</v>
      </c>
      <c r="C230">
        <f>VLOOKUP(A230, Put!A:Z, 26, FALSE)</f>
        <v>14.346142857142855</v>
      </c>
      <c r="D230">
        <f t="shared" si="6"/>
        <v>0.14202714285714285</v>
      </c>
      <c r="E230">
        <f t="shared" si="7"/>
        <v>0.2868571428571407</v>
      </c>
    </row>
    <row r="231" spans="1:5" ht="15.75" x14ac:dyDescent="0.25">
      <c r="A231" s="3">
        <v>45993</v>
      </c>
      <c r="B231">
        <f>VLOOKUP(A231, Call!A:Z, 26, FALSE)</f>
        <v>13.782071428571429</v>
      </c>
      <c r="C231">
        <f>VLOOKUP(A231, Put!A:Z, 26, FALSE)</f>
        <v>13.870249999999999</v>
      </c>
      <c r="D231">
        <f t="shared" si="6"/>
        <v>0.13826160714285712</v>
      </c>
      <c r="E231">
        <f t="shared" si="7"/>
        <v>8.8178571428569441E-2</v>
      </c>
    </row>
    <row r="232" spans="1:5" ht="15.75" x14ac:dyDescent="0.25">
      <c r="A232" s="3">
        <v>45994</v>
      </c>
      <c r="B232">
        <f>VLOOKUP(A232, Call!A:Z, 26, FALSE)</f>
        <v>13.417999999999999</v>
      </c>
      <c r="C232">
        <f>VLOOKUP(A232, Put!A:Z, 26, FALSE)</f>
        <v>13.600999999999999</v>
      </c>
      <c r="D232">
        <f t="shared" si="6"/>
        <v>0.13509499999999999</v>
      </c>
      <c r="E232">
        <f t="shared" si="7"/>
        <v>0.18299999999999983</v>
      </c>
    </row>
    <row r="233" spans="1:5" ht="15.75" x14ac:dyDescent="0.25">
      <c r="A233" s="3">
        <v>45995</v>
      </c>
      <c r="B233">
        <f>VLOOKUP(A233, Call!A:Z, 26, FALSE)</f>
        <v>13.187249999999999</v>
      </c>
      <c r="C233">
        <f>VLOOKUP(A233, Put!A:Z, 26, FALSE)</f>
        <v>13.402785714285713</v>
      </c>
      <c r="D233">
        <f t="shared" si="6"/>
        <v>0.13295017857142855</v>
      </c>
      <c r="E233">
        <f t="shared" si="7"/>
        <v>0.21553571428571416</v>
      </c>
    </row>
    <row r="234" spans="1:5" ht="15.75" x14ac:dyDescent="0.25">
      <c r="A234" s="3">
        <v>45996</v>
      </c>
      <c r="B234">
        <f>VLOOKUP(A234, Call!A:Z, 26, FALSE)</f>
        <v>12.914428571428569</v>
      </c>
      <c r="C234">
        <f>VLOOKUP(A234, Put!A:Z, 26, FALSE)</f>
        <v>13.12742857142857</v>
      </c>
      <c r="D234">
        <f t="shared" si="6"/>
        <v>0.13020928571428569</v>
      </c>
      <c r="E234">
        <f t="shared" si="7"/>
        <v>0.21300000000000097</v>
      </c>
    </row>
    <row r="235" spans="1:5" ht="15.75" x14ac:dyDescent="0.25">
      <c r="A235" s="3">
        <v>45999</v>
      </c>
      <c r="B235">
        <f>VLOOKUP(A235, Call!A:Z, 26, FALSE)</f>
        <v>13.62707142857143</v>
      </c>
      <c r="C235">
        <f>VLOOKUP(A235, Put!A:Z, 26, FALSE)</f>
        <v>13.824392857142858</v>
      </c>
      <c r="D235">
        <f t="shared" si="6"/>
        <v>0.13725732142857144</v>
      </c>
      <c r="E235">
        <f t="shared" si="7"/>
        <v>0.19732142857142776</v>
      </c>
    </row>
    <row r="236" spans="1:5" ht="15.75" x14ac:dyDescent="0.25">
      <c r="A236" s="3">
        <v>46000</v>
      </c>
      <c r="B236">
        <f>VLOOKUP(A236, Call!A:Z, 26, FALSE)</f>
        <v>13.811285714285715</v>
      </c>
      <c r="C236">
        <f>VLOOKUP(A236, Put!A:Z, 26, FALSE)</f>
        <v>14.053571428571427</v>
      </c>
      <c r="D236">
        <f t="shared" si="6"/>
        <v>0.13932428571428571</v>
      </c>
      <c r="E236">
        <f t="shared" si="7"/>
        <v>0.24228571428571222</v>
      </c>
    </row>
    <row r="237" spans="1:5" ht="15.75" x14ac:dyDescent="0.25">
      <c r="A237" s="3">
        <v>46001</v>
      </c>
      <c r="B237">
        <f>VLOOKUP(A237, Call!A:Z, 26, FALSE)</f>
        <v>12.692</v>
      </c>
      <c r="C237">
        <f>VLOOKUP(A237, Put!A:Z, 26, FALSE)</f>
        <v>13.319000000000001</v>
      </c>
      <c r="D237">
        <f t="shared" si="6"/>
        <v>0.130055</v>
      </c>
      <c r="E237">
        <f t="shared" si="7"/>
        <v>0.62700000000000067</v>
      </c>
    </row>
    <row r="238" spans="1:5" ht="15.75" x14ac:dyDescent="0.25">
      <c r="A238" s="3">
        <v>46002</v>
      </c>
      <c r="B238">
        <f>VLOOKUP(A238, Call!A:Z, 26, FALSE)</f>
        <v>12.246142857142857</v>
      </c>
      <c r="C238">
        <f>VLOOKUP(A238, Put!A:Z, 26, FALSE)</f>
        <v>12.449499999999999</v>
      </c>
      <c r="D238">
        <f t="shared" si="6"/>
        <v>0.12347821428571429</v>
      </c>
      <c r="E238">
        <f t="shared" si="7"/>
        <v>0.20335714285714168</v>
      </c>
    </row>
    <row r="239" spans="1:5" ht="15.75" x14ac:dyDescent="0.25">
      <c r="A239" s="3">
        <v>46003</v>
      </c>
      <c r="B239">
        <f>VLOOKUP(A239, Call!A:Z, 26, FALSE)</f>
        <v>13.0435</v>
      </c>
      <c r="C239">
        <f>VLOOKUP(A239, Put!A:Z, 26, FALSE)</f>
        <v>13.169607142857142</v>
      </c>
      <c r="D239">
        <f t="shared" si="6"/>
        <v>0.1310655357142857</v>
      </c>
      <c r="E239">
        <f t="shared" si="7"/>
        <v>0.12610714285714231</v>
      </c>
    </row>
    <row r="240" spans="1:5" ht="15.75" x14ac:dyDescent="0.25">
      <c r="A240" s="3">
        <v>46006</v>
      </c>
      <c r="B240">
        <f>VLOOKUP(A240, Call!A:Z, 26, FALSE)</f>
        <v>13.068642857142857</v>
      </c>
      <c r="C240">
        <f>VLOOKUP(A240, Put!A:Z, 26, FALSE)</f>
        <v>13.326642857142858</v>
      </c>
      <c r="D240">
        <f t="shared" si="6"/>
        <v>0.13197642857142855</v>
      </c>
      <c r="E240">
        <f t="shared" si="7"/>
        <v>0.2580000000000009</v>
      </c>
    </row>
    <row r="241" spans="1:5" ht="15.75" x14ac:dyDescent="0.25">
      <c r="A241" s="3">
        <v>46007</v>
      </c>
      <c r="B241">
        <f>VLOOKUP(A241, Call!A:Z, 26, FALSE)</f>
        <v>13.065642857142857</v>
      </c>
      <c r="C241">
        <f>VLOOKUP(A241, Put!A:Z, 26, FALSE)</f>
        <v>13.382107142857143</v>
      </c>
      <c r="D241">
        <f t="shared" si="6"/>
        <v>0.13223874999999999</v>
      </c>
      <c r="E241">
        <f t="shared" si="7"/>
        <v>0.31646428571428586</v>
      </c>
    </row>
    <row r="242" spans="1:5" ht="15.75" x14ac:dyDescent="0.25">
      <c r="A242" s="3">
        <v>46008</v>
      </c>
      <c r="B242">
        <f>VLOOKUP(A242, Call!A:Z, 26, FALSE)</f>
        <v>14.901</v>
      </c>
      <c r="C242">
        <f>VLOOKUP(A242, Put!A:Z, 26, FALSE)</f>
        <v>15.1</v>
      </c>
      <c r="D242">
        <f t="shared" si="6"/>
        <v>0.150005</v>
      </c>
      <c r="E242">
        <f t="shared" si="7"/>
        <v>0.19899999999999984</v>
      </c>
    </row>
    <row r="243" spans="1:5" ht="15.75" x14ac:dyDescent="0.25">
      <c r="A243" s="3">
        <v>46009</v>
      </c>
      <c r="B243">
        <f>VLOOKUP(A243, Call!A:Z, 26, FALSE)</f>
        <v>13.746</v>
      </c>
      <c r="C243">
        <f>VLOOKUP(A243, Put!A:Z, 26, FALSE)</f>
        <v>13.691000000000001</v>
      </c>
      <c r="D243">
        <f t="shared" si="6"/>
        <v>0.137185</v>
      </c>
      <c r="E243">
        <f t="shared" si="7"/>
        <v>-5.4999999999999716E-2</v>
      </c>
    </row>
    <row r="244" spans="1:5" ht="15.75" x14ac:dyDescent="0.25">
      <c r="A244" s="3">
        <v>46010</v>
      </c>
      <c r="B244">
        <f>VLOOKUP(A244, Call!A:Z, 26, FALSE)</f>
        <v>12.244285714285713</v>
      </c>
      <c r="C244">
        <f>VLOOKUP(A244, Put!A:Z, 26, FALSE)</f>
        <v>12.425142857142857</v>
      </c>
      <c r="D244">
        <f t="shared" si="6"/>
        <v>0.12334714285714284</v>
      </c>
      <c r="E244">
        <f t="shared" si="7"/>
        <v>0.18085714285714438</v>
      </c>
    </row>
    <row r="245" spans="1:5" ht="15.75" x14ac:dyDescent="0.25">
      <c r="A245" s="3">
        <v>46013</v>
      </c>
      <c r="B245">
        <f>VLOOKUP(A245, Call!A:Z, 26, FALSE)</f>
        <v>11.167571428571428</v>
      </c>
      <c r="C245">
        <f>VLOOKUP(A245, Put!A:Z, 26, FALSE)</f>
        <v>11.347714285714286</v>
      </c>
      <c r="D245">
        <f t="shared" si="6"/>
        <v>0.11257642857142856</v>
      </c>
      <c r="E245">
        <f t="shared" si="7"/>
        <v>0.18014285714285805</v>
      </c>
    </row>
    <row r="246" spans="1:5" ht="15.75" x14ac:dyDescent="0.25">
      <c r="A246" s="3">
        <v>46014</v>
      </c>
      <c r="B246">
        <f>VLOOKUP(A246, Call!A:Z, 26, FALSE)</f>
        <v>11.057171428571429</v>
      </c>
      <c r="C246">
        <f>VLOOKUP(A246, Put!A:Z, 26, FALSE)</f>
        <v>11.197228571428571</v>
      </c>
      <c r="D246">
        <f t="shared" si="6"/>
        <v>0.111272</v>
      </c>
      <c r="E246">
        <f t="shared" si="7"/>
        <v>0.14005714285714177</v>
      </c>
    </row>
    <row r="247" spans="1:5" ht="15.75" x14ac:dyDescent="0.25">
      <c r="A247" s="3">
        <v>46015</v>
      </c>
      <c r="B247">
        <f>VLOOKUP(A247, Call!A:Z, 26, FALSE)</f>
        <v>10.983600000000001</v>
      </c>
      <c r="C247">
        <f>VLOOKUP(A247, Put!A:Z, 26, FALSE)</f>
        <v>11.146000000000001</v>
      </c>
      <c r="D247">
        <f t="shared" si="6"/>
        <v>0.11064800000000002</v>
      </c>
      <c r="E247">
        <f t="shared" si="7"/>
        <v>0.16239999999999988</v>
      </c>
    </row>
    <row r="248" spans="1:5" ht="15.75" x14ac:dyDescent="0.25">
      <c r="A248" s="3">
        <v>46017</v>
      </c>
      <c r="B248">
        <f>VLOOKUP(A248, Call!A:Z, 26, FALSE)</f>
        <v>10.889828571428572</v>
      </c>
      <c r="C248">
        <f>VLOOKUP(A248, Put!A:Z, 26, FALSE)</f>
        <v>11.098828571428571</v>
      </c>
      <c r="D248">
        <f t="shared" si="6"/>
        <v>0.10994328571428572</v>
      </c>
      <c r="E248">
        <f t="shared" si="7"/>
        <v>0.20899999999999963</v>
      </c>
    </row>
    <row r="249" spans="1:5" ht="15.75" x14ac:dyDescent="0.25">
      <c r="A249" s="3">
        <v>46020</v>
      </c>
      <c r="B249">
        <f>VLOOKUP(A249, Call!A:Z, 26, FALSE)</f>
        <v>11.176028571428571</v>
      </c>
      <c r="C249">
        <f>VLOOKUP(A249, Put!A:Z, 26, FALSE)</f>
        <v>11.276314285714285</v>
      </c>
      <c r="D249">
        <f t="shared" si="6"/>
        <v>0.11226171428571428</v>
      </c>
      <c r="E249">
        <f t="shared" si="7"/>
        <v>0.10028571428571453</v>
      </c>
    </row>
    <row r="250" spans="1:5" ht="15.75" x14ac:dyDescent="0.25">
      <c r="A250" s="3">
        <v>46021</v>
      </c>
      <c r="B250">
        <f>VLOOKUP(A250, Call!A:Z, 26, FALSE)</f>
        <v>11.388285714285715</v>
      </c>
      <c r="C250">
        <f>VLOOKUP(A250, Put!A:Z, 26, FALSE)</f>
        <v>11.566457142857143</v>
      </c>
      <c r="D250">
        <f t="shared" si="6"/>
        <v>0.11477371428571428</v>
      </c>
      <c r="E250">
        <f t="shared" si="7"/>
        <v>0.17817142857142798</v>
      </c>
    </row>
    <row r="251" spans="1:5" ht="15.75" x14ac:dyDescent="0.25">
      <c r="A251" s="3">
        <v>46022</v>
      </c>
      <c r="B251">
        <f>VLOOKUP(A251, Call!A:Z, 26, FALSE)</f>
        <v>12.154599999999999</v>
      </c>
      <c r="C251">
        <f>VLOOKUP(A251, Put!A:Z, 26, FALSE)</f>
        <v>12.326600000000001</v>
      </c>
      <c r="D251">
        <f t="shared" si="6"/>
        <v>0.122406</v>
      </c>
      <c r="E251">
        <f t="shared" si="7"/>
        <v>0.17200000000000237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05BE-3E5E-594F-A63F-630B7C9A1002}">
  <dimension ref="A1:M251"/>
  <sheetViews>
    <sheetView tabSelected="1" workbookViewId="0">
      <selection activeCell="T258" sqref="T258"/>
    </sheetView>
  </sheetViews>
  <sheetFormatPr defaultColWidth="11.42578125" defaultRowHeight="15" x14ac:dyDescent="0.25"/>
  <cols>
    <col min="2" max="2" width="16.140625" bestFit="1" customWidth="1"/>
    <col min="3" max="3" width="15.140625" bestFit="1" customWidth="1"/>
    <col min="4" max="4" width="15.85546875" bestFit="1" customWidth="1"/>
    <col min="5" max="5" width="14.85546875" bestFit="1" customWidth="1"/>
    <col min="6" max="6" width="15" bestFit="1" customWidth="1"/>
    <col min="7" max="7" width="14.85546875" customWidth="1"/>
    <col min="8" max="8" width="16.42578125" bestFit="1" customWidth="1"/>
    <col min="9" max="9" width="13.42578125" bestFit="1" customWidth="1"/>
    <col min="10" max="10" width="31.42578125" bestFit="1" customWidth="1"/>
    <col min="13" max="13" width="14.5703125" bestFit="1" customWidth="1"/>
  </cols>
  <sheetData>
    <row r="1" spans="1:13" x14ac:dyDescent="0.25">
      <c r="A1" s="1" t="s">
        <v>0</v>
      </c>
      <c r="B1" t="s">
        <v>815</v>
      </c>
      <c r="C1" t="s">
        <v>816</v>
      </c>
      <c r="D1" t="s">
        <v>817</v>
      </c>
      <c r="E1" t="s">
        <v>818</v>
      </c>
      <c r="F1" t="s">
        <v>819</v>
      </c>
      <c r="G1" t="s">
        <v>820</v>
      </c>
      <c r="H1" t="s">
        <v>8</v>
      </c>
      <c r="I1" t="s">
        <v>9</v>
      </c>
      <c r="J1" t="s">
        <v>821</v>
      </c>
      <c r="K1" t="s">
        <v>841</v>
      </c>
      <c r="L1" t="s">
        <v>842</v>
      </c>
      <c r="M1" t="s">
        <v>843</v>
      </c>
    </row>
    <row r="2" spans="1:13" x14ac:dyDescent="0.25">
      <c r="A2" s="1">
        <v>45659</v>
      </c>
      <c r="B2">
        <f>VLOOKUP(A2, Call!A:P, 16, FALSE)</f>
        <v>75.800000000000011</v>
      </c>
      <c r="C2">
        <f>VLOOKUP(A2, Put!A:P, 16, FALSE)</f>
        <v>63.25</v>
      </c>
      <c r="D2">
        <f>VLOOKUP(A2, Call!A:W, 23, FALSE)</f>
        <v>141.19999999999999</v>
      </c>
      <c r="E2">
        <f>VLOOKUP(A2, Put!A:W, 23, FALSE)</f>
        <v>108</v>
      </c>
      <c r="F2">
        <f>B2+C2</f>
        <v>139.05000000000001</v>
      </c>
      <c r="G2">
        <f>D2+E2</f>
        <v>249.2</v>
      </c>
      <c r="H2">
        <f>VLOOKUP(A2, Call!A:I, 9, FALSE)</f>
        <v>0.5714285714285714</v>
      </c>
      <c r="I2">
        <f>VLOOKUP(A2, Call!A:J, 10, FALSE)</f>
        <v>0.42857142857142855</v>
      </c>
      <c r="J2">
        <f>F2*H2+G2*I2</f>
        <v>186.25714285714284</v>
      </c>
      <c r="K2">
        <v>0</v>
      </c>
      <c r="L2">
        <v>0</v>
      </c>
      <c r="M2">
        <v>0</v>
      </c>
    </row>
    <row r="3" spans="1:13" x14ac:dyDescent="0.25">
      <c r="A3" s="1">
        <v>45660</v>
      </c>
      <c r="B3">
        <f>VLOOKUP(A3, Call!A:P, 16, FALSE)</f>
        <v>61.55</v>
      </c>
      <c r="C3">
        <f>VLOOKUP(A3, Put!A:P, 16, FALSE)</f>
        <v>53.95</v>
      </c>
      <c r="D3">
        <f>VLOOKUP(A3, Call!A:W, 23, FALSE)</f>
        <v>128.80000000000001</v>
      </c>
      <c r="E3">
        <f>VLOOKUP(A3, Put!A:W, 23, FALSE)</f>
        <v>100.30000000000001</v>
      </c>
      <c r="F3">
        <f t="shared" ref="F3:F66" si="0">B3+C3</f>
        <v>115.5</v>
      </c>
      <c r="G3">
        <f t="shared" ref="G3:G66" si="1">D3+E3</f>
        <v>229.10000000000002</v>
      </c>
      <c r="H3">
        <f>VLOOKUP(A3, Call!A:I, 9, FALSE)</f>
        <v>0.54285714285714282</v>
      </c>
      <c r="I3">
        <f>VLOOKUP(A3, Call!A:J, 10, FALSE)</f>
        <v>0.45714285714285713</v>
      </c>
      <c r="J3">
        <f t="shared" ref="J3:J66" si="2">F3*H3+G3*I3</f>
        <v>167.43142857142857</v>
      </c>
      <c r="K3">
        <f>J3-J2</f>
        <v>-18.82571428571427</v>
      </c>
      <c r="L3">
        <f>(J3-J2)/J2</f>
        <v>-0.10107378432274881</v>
      </c>
      <c r="M3">
        <f>M2 + K3</f>
        <v>-18.82571428571427</v>
      </c>
    </row>
    <row r="4" spans="1:13" x14ac:dyDescent="0.25">
      <c r="A4" s="1">
        <v>45663</v>
      </c>
      <c r="B4">
        <f>VLOOKUP(A4, Call!A:P, 16, FALSE)</f>
        <v>60.25</v>
      </c>
      <c r="C4">
        <f>VLOOKUP(A4, Put!A:P, 16, FALSE)</f>
        <v>44.900000000000006</v>
      </c>
      <c r="D4">
        <f>VLOOKUP(A4, Call!A:W, 23, FALSE)</f>
        <v>127.94999999999999</v>
      </c>
      <c r="E4">
        <f>VLOOKUP(A4, Put!A:W, 23, FALSE)</f>
        <v>91.85</v>
      </c>
      <c r="F4">
        <f t="shared" si="0"/>
        <v>105.15</v>
      </c>
      <c r="G4">
        <f t="shared" si="1"/>
        <v>219.79999999999998</v>
      </c>
      <c r="H4">
        <f>VLOOKUP(A4, Call!A:I, 9, FALSE)</f>
        <v>0.45714285714285713</v>
      </c>
      <c r="I4">
        <f>VLOOKUP(A4, Call!A:J, 10, FALSE)</f>
        <v>0.54285714285714282</v>
      </c>
      <c r="J4">
        <f t="shared" si="2"/>
        <v>167.38857142857142</v>
      </c>
      <c r="K4">
        <f t="shared" ref="K4:K67" si="3">J4-J3</f>
        <v>-4.2857142857144481E-2</v>
      </c>
      <c r="L4">
        <f t="shared" ref="L4:L67" si="4">(J4-J3)/J3</f>
        <v>-2.5596832818553552E-4</v>
      </c>
      <c r="M4">
        <f t="shared" ref="M4:M67" si="5">M3 + K4</f>
        <v>-18.868571428571414</v>
      </c>
    </row>
    <row r="5" spans="1:13" x14ac:dyDescent="0.25">
      <c r="A5" s="1">
        <v>45664</v>
      </c>
      <c r="B5">
        <f>VLOOKUP(A5, Call!A:P, 16, FALSE)</f>
        <v>59.95</v>
      </c>
      <c r="C5">
        <f>VLOOKUP(A5, Put!A:P, 16, FALSE)</f>
        <v>53.2</v>
      </c>
      <c r="D5">
        <f>VLOOKUP(A5, Call!A:W, 23, FALSE)</f>
        <v>131.39999999999998</v>
      </c>
      <c r="E5">
        <f>VLOOKUP(A5, Put!A:W, 23, FALSE)</f>
        <v>104.1</v>
      </c>
      <c r="F5">
        <f t="shared" si="0"/>
        <v>113.15</v>
      </c>
      <c r="G5">
        <f t="shared" si="1"/>
        <v>235.49999999999997</v>
      </c>
      <c r="H5">
        <f>VLOOKUP(A5, Call!A:I, 9, FALSE)</f>
        <v>0.42857142857142855</v>
      </c>
      <c r="I5">
        <f>VLOOKUP(A5, Call!A:J, 10, FALSE)</f>
        <v>0.5714285714285714</v>
      </c>
      <c r="J5">
        <f t="shared" si="2"/>
        <v>183.06428571428569</v>
      </c>
      <c r="K5">
        <f t="shared" si="3"/>
        <v>15.675714285714264</v>
      </c>
      <c r="L5">
        <f t="shared" si="4"/>
        <v>9.3648653261871315E-2</v>
      </c>
      <c r="M5">
        <f t="shared" si="5"/>
        <v>-3.1928571428571502</v>
      </c>
    </row>
    <row r="6" spans="1:13" x14ac:dyDescent="0.25">
      <c r="A6" s="1">
        <v>45665</v>
      </c>
      <c r="B6">
        <f>VLOOKUP(A6, Call!A:P, 16, FALSE)</f>
        <v>52.1</v>
      </c>
      <c r="C6">
        <f>VLOOKUP(A6, Put!A:P, 16, FALSE)</f>
        <v>53.55</v>
      </c>
      <c r="D6">
        <f>VLOOKUP(A6, Call!A:W, 23, FALSE)</f>
        <v>124.4</v>
      </c>
      <c r="E6">
        <f>VLOOKUP(A6, Put!A:W, 23, FALSE)</f>
        <v>106</v>
      </c>
      <c r="F6">
        <f t="shared" si="0"/>
        <v>105.65</v>
      </c>
      <c r="G6">
        <f t="shared" si="1"/>
        <v>230.4</v>
      </c>
      <c r="H6">
        <f>VLOOKUP(A6, Call!A:I, 9, FALSE)</f>
        <v>0.4</v>
      </c>
      <c r="I6">
        <f>VLOOKUP(A6, Call!A:J, 10, FALSE)</f>
        <v>0.6</v>
      </c>
      <c r="J6">
        <f t="shared" si="2"/>
        <v>180.5</v>
      </c>
      <c r="K6">
        <f t="shared" si="3"/>
        <v>-2.5642857142856883</v>
      </c>
      <c r="L6">
        <f t="shared" si="4"/>
        <v>-1.4007569550118866E-2</v>
      </c>
      <c r="M6">
        <f t="shared" si="5"/>
        <v>-5.7571428571428385</v>
      </c>
    </row>
    <row r="7" spans="1:13" x14ac:dyDescent="0.25">
      <c r="A7" s="1">
        <v>45667</v>
      </c>
      <c r="B7">
        <f>VLOOKUP(A7, Call!A:P, 16, FALSE)</f>
        <v>52.6</v>
      </c>
      <c r="C7">
        <f>VLOOKUP(A7, Put!A:P, 16, FALSE)</f>
        <v>51.3</v>
      </c>
      <c r="D7">
        <f>VLOOKUP(A7, Call!A:W, 23, FALSE)</f>
        <v>132</v>
      </c>
      <c r="E7">
        <f>VLOOKUP(A7, Put!A:W, 23, FALSE)</f>
        <v>111.15</v>
      </c>
      <c r="F7">
        <f t="shared" si="0"/>
        <v>103.9</v>
      </c>
      <c r="G7">
        <f t="shared" si="1"/>
        <v>243.15</v>
      </c>
      <c r="H7">
        <f>VLOOKUP(A7, Call!A:I, 9, FALSE)</f>
        <v>0.34285714285714286</v>
      </c>
      <c r="I7">
        <f>VLOOKUP(A7, Call!A:J, 10, FALSE)</f>
        <v>0.65714285714285714</v>
      </c>
      <c r="J7">
        <f t="shared" si="2"/>
        <v>195.40714285714284</v>
      </c>
      <c r="K7">
        <f t="shared" si="3"/>
        <v>14.907142857142844</v>
      </c>
      <c r="L7">
        <f t="shared" si="4"/>
        <v>8.2588049070043454E-2</v>
      </c>
      <c r="M7">
        <f t="shared" si="5"/>
        <v>9.1500000000000057</v>
      </c>
    </row>
    <row r="8" spans="1:13" x14ac:dyDescent="0.25">
      <c r="A8" s="1">
        <v>45670</v>
      </c>
      <c r="B8">
        <f>VLOOKUP(A8, Call!A:P, 16, FALSE)</f>
        <v>52.9</v>
      </c>
      <c r="C8">
        <f>VLOOKUP(A8, Put!A:P, 16, FALSE)</f>
        <v>41.400000000000006</v>
      </c>
      <c r="D8">
        <f>VLOOKUP(A8, Call!A:W, 23, FALSE)</f>
        <v>132.30000000000001</v>
      </c>
      <c r="E8">
        <f>VLOOKUP(A8, Put!A:W, 23, FALSE)</f>
        <v>101.15</v>
      </c>
      <c r="F8">
        <f t="shared" si="0"/>
        <v>94.300000000000011</v>
      </c>
      <c r="G8">
        <f t="shared" si="1"/>
        <v>233.45000000000002</v>
      </c>
      <c r="H8">
        <f>VLOOKUP(A8, Call!A:I, 9, FALSE)</f>
        <v>0.25714285714285712</v>
      </c>
      <c r="I8">
        <f>VLOOKUP(A8, Call!A:J, 10, FALSE)</f>
        <v>0.74285714285714288</v>
      </c>
      <c r="J8">
        <f t="shared" si="2"/>
        <v>197.66857142857145</v>
      </c>
      <c r="K8">
        <f t="shared" si="3"/>
        <v>2.2614285714286098</v>
      </c>
      <c r="L8">
        <f t="shared" si="4"/>
        <v>1.1572906385934327E-2</v>
      </c>
      <c r="M8">
        <f t="shared" si="5"/>
        <v>11.411428571428615</v>
      </c>
    </row>
    <row r="9" spans="1:13" x14ac:dyDescent="0.25">
      <c r="A9" s="1">
        <v>45671</v>
      </c>
      <c r="B9">
        <f>VLOOKUP(A9, Call!A:P, 16, FALSE)</f>
        <v>48.45</v>
      </c>
      <c r="C9">
        <f>VLOOKUP(A9, Put!A:P, 16, FALSE)</f>
        <v>38.5</v>
      </c>
      <c r="D9">
        <f>VLOOKUP(A9, Call!A:W, 23, FALSE)</f>
        <v>128.80000000000001</v>
      </c>
      <c r="E9">
        <f>VLOOKUP(A9, Put!A:W, 23, FALSE)</f>
        <v>98.65</v>
      </c>
      <c r="F9">
        <f t="shared" si="0"/>
        <v>86.95</v>
      </c>
      <c r="G9">
        <f t="shared" si="1"/>
        <v>227.45000000000002</v>
      </c>
      <c r="H9">
        <f>VLOOKUP(A9, Call!A:I, 9, FALSE)</f>
        <v>0.22857142857142856</v>
      </c>
      <c r="I9">
        <f>VLOOKUP(A9, Call!A:J, 10, FALSE)</f>
        <v>0.77142857142857146</v>
      </c>
      <c r="J9">
        <f t="shared" si="2"/>
        <v>195.33571428571432</v>
      </c>
      <c r="K9">
        <f t="shared" si="3"/>
        <v>-2.3328571428571365</v>
      </c>
      <c r="L9">
        <f t="shared" si="4"/>
        <v>-1.1801861702127625E-2</v>
      </c>
      <c r="M9">
        <f t="shared" si="5"/>
        <v>9.0785714285714789</v>
      </c>
    </row>
    <row r="10" spans="1:13" x14ac:dyDescent="0.25">
      <c r="A10" s="1">
        <v>45672</v>
      </c>
      <c r="B10">
        <f>VLOOKUP(A10, Call!A:P, 16, FALSE)</f>
        <v>23.15</v>
      </c>
      <c r="C10">
        <f>VLOOKUP(A10, Put!A:P, 16, FALSE)</f>
        <v>22.15</v>
      </c>
      <c r="D10">
        <f>VLOOKUP(A10, Call!A:W, 23, FALSE)</f>
        <v>107.6</v>
      </c>
      <c r="E10">
        <f>VLOOKUP(A10, Put!A:W, 23, FALSE)</f>
        <v>86.05</v>
      </c>
      <c r="F10">
        <f t="shared" si="0"/>
        <v>45.3</v>
      </c>
      <c r="G10">
        <f t="shared" si="1"/>
        <v>193.64999999999998</v>
      </c>
      <c r="H10">
        <f>VLOOKUP(A10, Call!A:I, 9, FALSE)</f>
        <v>0.2</v>
      </c>
      <c r="I10">
        <f>VLOOKUP(A10, Call!A:J, 10, FALSE)</f>
        <v>0.8</v>
      </c>
      <c r="J10">
        <f t="shared" si="2"/>
        <v>163.98</v>
      </c>
      <c r="K10">
        <f t="shared" si="3"/>
        <v>-31.355714285714328</v>
      </c>
      <c r="L10">
        <f t="shared" si="4"/>
        <v>-0.16052217793542273</v>
      </c>
      <c r="M10">
        <f t="shared" si="5"/>
        <v>-22.277142857142849</v>
      </c>
    </row>
    <row r="11" spans="1:13" x14ac:dyDescent="0.25">
      <c r="A11" s="1">
        <v>45673</v>
      </c>
      <c r="B11">
        <f>VLOOKUP(A11, Call!A:P, 16, FALSE)</f>
        <v>12</v>
      </c>
      <c r="C11">
        <f>VLOOKUP(A11, Put!A:P, 16, FALSE)</f>
        <v>13.2</v>
      </c>
      <c r="D11">
        <f>VLOOKUP(A11, Call!A:W, 23, FALSE)</f>
        <v>105.05</v>
      </c>
      <c r="E11">
        <f>VLOOKUP(A11, Put!A:W, 23, FALSE)</f>
        <v>86.199999999999989</v>
      </c>
      <c r="F11">
        <f t="shared" si="0"/>
        <v>25.2</v>
      </c>
      <c r="G11">
        <f t="shared" si="1"/>
        <v>191.25</v>
      </c>
      <c r="H11">
        <f>VLOOKUP(A11, Call!A:I, 9, FALSE)</f>
        <v>0.17142857142857143</v>
      </c>
      <c r="I11">
        <f>VLOOKUP(A11, Call!A:J, 10, FALSE)</f>
        <v>0.82857142857142863</v>
      </c>
      <c r="J11">
        <f t="shared" si="2"/>
        <v>162.78428571428572</v>
      </c>
      <c r="K11">
        <f t="shared" si="3"/>
        <v>-1.1957142857142742</v>
      </c>
      <c r="L11">
        <f t="shared" si="4"/>
        <v>-7.2918300141131499E-3</v>
      </c>
      <c r="M11">
        <f t="shared" si="5"/>
        <v>-23.472857142857123</v>
      </c>
    </row>
    <row r="12" spans="1:13" x14ac:dyDescent="0.25">
      <c r="A12" s="1">
        <v>45674</v>
      </c>
      <c r="B12">
        <f>VLOOKUP(A12, Call!A:P, 16, FALSE)</f>
        <v>104.25</v>
      </c>
      <c r="C12">
        <f>VLOOKUP(A12, Put!A:P, 16, FALSE)</f>
        <v>82.550000000000011</v>
      </c>
      <c r="D12">
        <f>VLOOKUP(A12, Call!A:W, 23, FALSE)</f>
        <v>149.94999999999999</v>
      </c>
      <c r="E12">
        <f>VLOOKUP(A12, Put!A:W, 23, FALSE)</f>
        <v>112.8</v>
      </c>
      <c r="F12">
        <f t="shared" si="0"/>
        <v>186.8</v>
      </c>
      <c r="G12">
        <f t="shared" si="1"/>
        <v>262.75</v>
      </c>
      <c r="H12">
        <f>VLOOKUP(A12, Call!A:I, 9, FALSE)</f>
        <v>1</v>
      </c>
      <c r="I12">
        <f>VLOOKUP(A12, Call!A:J, 10, FALSE)</f>
        <v>0</v>
      </c>
      <c r="J12">
        <f t="shared" si="2"/>
        <v>186.8</v>
      </c>
      <c r="K12">
        <f t="shared" si="3"/>
        <v>24.015714285714296</v>
      </c>
      <c r="L12">
        <f t="shared" si="4"/>
        <v>0.14753091295228574</v>
      </c>
      <c r="M12">
        <f t="shared" si="5"/>
        <v>0.5428571428571729</v>
      </c>
    </row>
    <row r="13" spans="1:13" x14ac:dyDescent="0.25">
      <c r="A13" s="1">
        <v>45678</v>
      </c>
      <c r="B13">
        <f>VLOOKUP(A13, Call!A:P, 16, FALSE)</f>
        <v>96.1</v>
      </c>
      <c r="C13">
        <f>VLOOKUP(A13, Put!A:P, 16, FALSE)</f>
        <v>71.150000000000006</v>
      </c>
      <c r="D13">
        <f>VLOOKUP(A13, Call!A:W, 23, FALSE)</f>
        <v>142.35</v>
      </c>
      <c r="E13">
        <f>VLOOKUP(A13, Put!A:W, 23, FALSE)</f>
        <v>100.95</v>
      </c>
      <c r="F13">
        <f t="shared" si="0"/>
        <v>167.25</v>
      </c>
      <c r="G13">
        <f t="shared" si="1"/>
        <v>243.3</v>
      </c>
      <c r="H13">
        <f>VLOOKUP(A13, Call!A:I, 9, FALSE)</f>
        <v>1</v>
      </c>
      <c r="I13">
        <f>VLOOKUP(A13, Call!A:J, 10, FALSE)</f>
        <v>0</v>
      </c>
      <c r="J13">
        <f t="shared" si="2"/>
        <v>167.25</v>
      </c>
      <c r="K13">
        <f t="shared" si="3"/>
        <v>-19.550000000000011</v>
      </c>
      <c r="L13">
        <f t="shared" si="4"/>
        <v>-0.10465738758029984</v>
      </c>
      <c r="M13">
        <f t="shared" si="5"/>
        <v>-19.007142857142838</v>
      </c>
    </row>
    <row r="14" spans="1:13" x14ac:dyDescent="0.25">
      <c r="A14" s="1">
        <v>45679</v>
      </c>
      <c r="B14">
        <f>VLOOKUP(A14, Call!A:P, 16, FALSE)</f>
        <v>89.7</v>
      </c>
      <c r="C14">
        <f>VLOOKUP(A14, Put!A:P, 16, FALSE)</f>
        <v>71.7</v>
      </c>
      <c r="D14">
        <f>VLOOKUP(A14, Call!A:W, 23, FALSE)</f>
        <v>137.69999999999999</v>
      </c>
      <c r="E14">
        <f>VLOOKUP(A14, Put!A:W, 23, FALSE)</f>
        <v>102.75</v>
      </c>
      <c r="F14">
        <f t="shared" si="0"/>
        <v>161.4</v>
      </c>
      <c r="G14">
        <f t="shared" si="1"/>
        <v>240.45</v>
      </c>
      <c r="H14">
        <f>VLOOKUP(A14, Call!A:I, 9, FALSE)</f>
        <v>1</v>
      </c>
      <c r="I14">
        <f>VLOOKUP(A14, Call!A:J, 10, FALSE)</f>
        <v>0</v>
      </c>
      <c r="J14">
        <f t="shared" si="2"/>
        <v>161.4</v>
      </c>
      <c r="K14">
        <f t="shared" si="3"/>
        <v>-5.8499999999999943</v>
      </c>
      <c r="L14">
        <f t="shared" si="4"/>
        <v>-3.4977578475336286E-2</v>
      </c>
      <c r="M14">
        <f t="shared" si="5"/>
        <v>-24.857142857142833</v>
      </c>
    </row>
    <row r="15" spans="1:13" x14ac:dyDescent="0.25">
      <c r="A15" s="1">
        <v>45680</v>
      </c>
      <c r="B15">
        <f>VLOOKUP(A15, Call!A:P, 16, FALSE)</f>
        <v>83.4</v>
      </c>
      <c r="C15">
        <f>VLOOKUP(A15, Put!A:P, 16, FALSE)</f>
        <v>72.650000000000006</v>
      </c>
      <c r="D15">
        <f>VLOOKUP(A15, Call!A:W, 23, FALSE)</f>
        <v>131.65</v>
      </c>
      <c r="E15">
        <f>VLOOKUP(A15, Put!A:W, 23, FALSE)</f>
        <v>103.85</v>
      </c>
      <c r="F15">
        <f t="shared" si="0"/>
        <v>156.05000000000001</v>
      </c>
      <c r="G15">
        <f t="shared" si="1"/>
        <v>235.5</v>
      </c>
      <c r="H15">
        <f>VLOOKUP(A15, Call!A:I, 9, FALSE)</f>
        <v>0.9642857142857143</v>
      </c>
      <c r="I15">
        <f>VLOOKUP(A15, Call!A:J, 10, FALSE)</f>
        <v>3.5714285714285712E-2</v>
      </c>
      <c r="J15">
        <f t="shared" si="2"/>
        <v>158.88750000000002</v>
      </c>
      <c r="K15">
        <f t="shared" si="3"/>
        <v>-2.5124999999999886</v>
      </c>
      <c r="L15">
        <f t="shared" si="4"/>
        <v>-1.5566914498141193E-2</v>
      </c>
      <c r="M15">
        <f t="shared" si="5"/>
        <v>-27.369642857142821</v>
      </c>
    </row>
    <row r="16" spans="1:13" x14ac:dyDescent="0.25">
      <c r="A16" s="1">
        <v>45681</v>
      </c>
      <c r="B16">
        <f>VLOOKUP(A16, Call!A:P, 16, FALSE)</f>
        <v>83.45</v>
      </c>
      <c r="C16">
        <f>VLOOKUP(A16, Put!A:P, 16, FALSE)</f>
        <v>69.650000000000006</v>
      </c>
      <c r="D16">
        <f>VLOOKUP(A16, Call!A:W, 23, FALSE)</f>
        <v>132.35</v>
      </c>
      <c r="E16">
        <f>VLOOKUP(A16, Put!A:W, 23, FALSE)</f>
        <v>100.75</v>
      </c>
      <c r="F16">
        <f t="shared" si="0"/>
        <v>153.10000000000002</v>
      </c>
      <c r="G16">
        <f t="shared" si="1"/>
        <v>233.1</v>
      </c>
      <c r="H16">
        <f>VLOOKUP(A16, Call!A:I, 9, FALSE)</f>
        <v>0.9285714285714286</v>
      </c>
      <c r="I16">
        <f>VLOOKUP(A16, Call!A:J, 10, FALSE)</f>
        <v>7.1428571428571425E-2</v>
      </c>
      <c r="J16">
        <f t="shared" si="2"/>
        <v>158.81428571428575</v>
      </c>
      <c r="K16">
        <f t="shared" si="3"/>
        <v>-7.3214285714271909E-2</v>
      </c>
      <c r="L16">
        <f t="shared" si="4"/>
        <v>-4.6079323870204959E-4</v>
      </c>
      <c r="M16">
        <f t="shared" si="5"/>
        <v>-27.442857142857093</v>
      </c>
    </row>
    <row r="17" spans="1:13" x14ac:dyDescent="0.25">
      <c r="A17" s="1">
        <v>45684</v>
      </c>
      <c r="B17">
        <f>VLOOKUP(A17, Call!A:P, 16, FALSE)</f>
        <v>100.65</v>
      </c>
      <c r="C17">
        <f>VLOOKUP(A17, Put!A:P, 16, FALSE)</f>
        <v>77</v>
      </c>
      <c r="D17">
        <f>VLOOKUP(A17, Call!A:W, 23, FALSE)</f>
        <v>149.4</v>
      </c>
      <c r="E17">
        <f>VLOOKUP(A17, Put!A:W, 23, FALSE)</f>
        <v>109.5</v>
      </c>
      <c r="F17">
        <f t="shared" si="0"/>
        <v>177.65</v>
      </c>
      <c r="G17">
        <f t="shared" si="1"/>
        <v>258.89999999999998</v>
      </c>
      <c r="H17">
        <f>VLOOKUP(A17, Call!A:I, 9, FALSE)</f>
        <v>0.8214285714285714</v>
      </c>
      <c r="I17">
        <f>VLOOKUP(A17, Call!A:J, 10, FALSE)</f>
        <v>0.17857142857142858</v>
      </c>
      <c r="J17">
        <f t="shared" si="2"/>
        <v>192.15892857142856</v>
      </c>
      <c r="K17">
        <f t="shared" si="3"/>
        <v>33.344642857142816</v>
      </c>
      <c r="L17">
        <f t="shared" si="4"/>
        <v>0.20995997121525561</v>
      </c>
      <c r="M17">
        <f t="shared" si="5"/>
        <v>5.9017857142857224</v>
      </c>
    </row>
    <row r="18" spans="1:13" x14ac:dyDescent="0.25">
      <c r="A18" s="1">
        <v>45685</v>
      </c>
      <c r="B18">
        <f>VLOOKUP(A18, Call!A:P, 16, FALSE)</f>
        <v>80.949999999999989</v>
      </c>
      <c r="C18">
        <f>VLOOKUP(A18, Put!A:P, 16, FALSE)</f>
        <v>76.75</v>
      </c>
      <c r="D18">
        <f>VLOOKUP(A18, Call!A:W, 23, FALSE)</f>
        <v>129.94999999999999</v>
      </c>
      <c r="E18">
        <f>VLOOKUP(A18, Put!A:W, 23, FALSE)</f>
        <v>108.95</v>
      </c>
      <c r="F18">
        <f t="shared" si="0"/>
        <v>157.69999999999999</v>
      </c>
      <c r="G18">
        <f t="shared" si="1"/>
        <v>238.89999999999998</v>
      </c>
      <c r="H18">
        <f>VLOOKUP(A18, Call!A:I, 9, FALSE)</f>
        <v>0.7857142857142857</v>
      </c>
      <c r="I18">
        <f>VLOOKUP(A18, Call!A:J, 10, FALSE)</f>
        <v>0.21428571428571427</v>
      </c>
      <c r="J18">
        <f t="shared" si="2"/>
        <v>175.09999999999997</v>
      </c>
      <c r="K18">
        <f t="shared" si="3"/>
        <v>-17.058928571428595</v>
      </c>
      <c r="L18">
        <f t="shared" si="4"/>
        <v>-8.8775102454255808E-2</v>
      </c>
      <c r="M18">
        <f t="shared" si="5"/>
        <v>-11.157142857142873</v>
      </c>
    </row>
    <row r="19" spans="1:13" x14ac:dyDescent="0.25">
      <c r="A19" s="1">
        <v>45686</v>
      </c>
      <c r="B19">
        <f>VLOOKUP(A19, Call!A:P, 16, FALSE)</f>
        <v>88.3</v>
      </c>
      <c r="C19">
        <f>VLOOKUP(A19, Put!A:P, 16, FALSE)</f>
        <v>69</v>
      </c>
      <c r="D19">
        <f>VLOOKUP(A19, Call!A:W, 23, FALSE)</f>
        <v>138.15</v>
      </c>
      <c r="E19">
        <f>VLOOKUP(A19, Put!A:W, 23, FALSE)</f>
        <v>101.3</v>
      </c>
      <c r="F19">
        <f t="shared" si="0"/>
        <v>157.30000000000001</v>
      </c>
      <c r="G19">
        <f t="shared" si="1"/>
        <v>239.45</v>
      </c>
      <c r="H19">
        <f>VLOOKUP(A19, Call!A:I, 9, FALSE)</f>
        <v>0.75</v>
      </c>
      <c r="I19">
        <f>VLOOKUP(A19, Call!A:J, 10, FALSE)</f>
        <v>0.25</v>
      </c>
      <c r="J19">
        <f t="shared" si="2"/>
        <v>177.83750000000001</v>
      </c>
      <c r="K19">
        <f t="shared" si="3"/>
        <v>2.7375000000000398</v>
      </c>
      <c r="L19">
        <f t="shared" si="4"/>
        <v>1.5633923472301772E-2</v>
      </c>
      <c r="M19">
        <f t="shared" si="5"/>
        <v>-8.4196428571428328</v>
      </c>
    </row>
    <row r="20" spans="1:13" x14ac:dyDescent="0.25">
      <c r="A20" s="1">
        <v>45687</v>
      </c>
      <c r="B20">
        <f>VLOOKUP(A20, Call!A:P, 16, FALSE)</f>
        <v>77.349999999999994</v>
      </c>
      <c r="C20">
        <f>VLOOKUP(A20, Put!A:P, 16, FALSE)</f>
        <v>70.75</v>
      </c>
      <c r="D20">
        <f>VLOOKUP(A20, Call!A:W, 23, FALSE)</f>
        <v>129.19999999999999</v>
      </c>
      <c r="E20">
        <f>VLOOKUP(A20, Put!A:W, 23, FALSE)</f>
        <v>104.25</v>
      </c>
      <c r="F20">
        <f t="shared" si="0"/>
        <v>148.1</v>
      </c>
      <c r="G20">
        <f t="shared" si="1"/>
        <v>233.45</v>
      </c>
      <c r="H20">
        <f>VLOOKUP(A20, Call!A:I, 9, FALSE)</f>
        <v>0.7142857142857143</v>
      </c>
      <c r="I20">
        <f>VLOOKUP(A20, Call!A:J, 10, FALSE)</f>
        <v>0.2857142857142857</v>
      </c>
      <c r="J20">
        <f t="shared" si="2"/>
        <v>172.48571428571427</v>
      </c>
      <c r="K20">
        <f t="shared" si="3"/>
        <v>-5.3517857142857395</v>
      </c>
      <c r="L20">
        <f t="shared" si="4"/>
        <v>-3.0093685045537298E-2</v>
      </c>
      <c r="M20">
        <f t="shared" si="5"/>
        <v>-13.771428571428572</v>
      </c>
    </row>
    <row r="21" spans="1:13" x14ac:dyDescent="0.25">
      <c r="A21" s="1">
        <v>45688</v>
      </c>
      <c r="B21">
        <f>VLOOKUP(A21, Call!A:P, 16, FALSE)</f>
        <v>80.2</v>
      </c>
      <c r="C21">
        <f>VLOOKUP(A21, Put!A:P, 16, FALSE)</f>
        <v>71.099999999999994</v>
      </c>
      <c r="D21">
        <f>VLOOKUP(A21, Call!A:W, 23, FALSE)</f>
        <v>131.6</v>
      </c>
      <c r="E21">
        <f>VLOOKUP(A21, Put!A:W, 23, FALSE)</f>
        <v>106.15</v>
      </c>
      <c r="F21">
        <f t="shared" si="0"/>
        <v>151.30000000000001</v>
      </c>
      <c r="G21">
        <f t="shared" si="1"/>
        <v>237.75</v>
      </c>
      <c r="H21">
        <f>VLOOKUP(A21, Call!A:I, 9, FALSE)</f>
        <v>0.6785714285714286</v>
      </c>
      <c r="I21">
        <f>VLOOKUP(A21, Call!A:J, 10, FALSE)</f>
        <v>0.32142857142857145</v>
      </c>
      <c r="J21">
        <f t="shared" si="2"/>
        <v>179.08750000000003</v>
      </c>
      <c r="K21">
        <f t="shared" si="3"/>
        <v>6.6017857142857679</v>
      </c>
      <c r="L21">
        <f t="shared" si="4"/>
        <v>3.8274391253934385E-2</v>
      </c>
      <c r="M21">
        <f t="shared" si="5"/>
        <v>-7.1696428571428044</v>
      </c>
    </row>
    <row r="22" spans="1:13" x14ac:dyDescent="0.25">
      <c r="A22" s="1">
        <v>45691</v>
      </c>
      <c r="B22">
        <f>VLOOKUP(A22, Call!A:P, 16, FALSE)</f>
        <v>104.15</v>
      </c>
      <c r="C22">
        <f>VLOOKUP(A22, Put!A:P, 16, FALSE)</f>
        <v>59.95</v>
      </c>
      <c r="D22">
        <f>VLOOKUP(A22, Call!A:W, 23, FALSE)</f>
        <v>156.5</v>
      </c>
      <c r="E22">
        <f>VLOOKUP(A22, Put!A:W, 23, FALSE)</f>
        <v>96.35</v>
      </c>
      <c r="F22">
        <f t="shared" si="0"/>
        <v>164.10000000000002</v>
      </c>
      <c r="G22">
        <f t="shared" si="1"/>
        <v>252.85</v>
      </c>
      <c r="H22">
        <f>VLOOKUP(A22, Call!A:I, 9, FALSE)</f>
        <v>0.5714285714285714</v>
      </c>
      <c r="I22">
        <f>VLOOKUP(A22, Call!A:J, 10, FALSE)</f>
        <v>0.42857142857142855</v>
      </c>
      <c r="J22">
        <f t="shared" si="2"/>
        <v>202.13571428571427</v>
      </c>
      <c r="K22">
        <f t="shared" si="3"/>
        <v>23.048214285714238</v>
      </c>
      <c r="L22">
        <f t="shared" si="4"/>
        <v>0.12869806259908834</v>
      </c>
      <c r="M22">
        <f t="shared" si="5"/>
        <v>15.878571428571433</v>
      </c>
    </row>
    <row r="23" spans="1:13" x14ac:dyDescent="0.25">
      <c r="A23" s="1">
        <v>45692</v>
      </c>
      <c r="B23">
        <f>VLOOKUP(A23, Call!A:P, 16, FALSE)</f>
        <v>64.650000000000006</v>
      </c>
      <c r="C23">
        <f>VLOOKUP(A23, Put!A:P, 16, FALSE)</f>
        <v>74.849999999999994</v>
      </c>
      <c r="D23">
        <f>VLOOKUP(A23, Call!A:W, 23, FALSE)</f>
        <v>117.75</v>
      </c>
      <c r="E23">
        <f>VLOOKUP(A23, Put!A:W, 23, FALSE)</f>
        <v>111.85</v>
      </c>
      <c r="F23">
        <f t="shared" si="0"/>
        <v>139.5</v>
      </c>
      <c r="G23">
        <f t="shared" si="1"/>
        <v>229.6</v>
      </c>
      <c r="H23">
        <f>VLOOKUP(A23, Call!A:I, 9, FALSE)</f>
        <v>0.5357142857142857</v>
      </c>
      <c r="I23">
        <f>VLOOKUP(A23, Call!A:J, 10, FALSE)</f>
        <v>0.4642857142857143</v>
      </c>
      <c r="J23">
        <f t="shared" si="2"/>
        <v>181.33214285714286</v>
      </c>
      <c r="K23">
        <f t="shared" si="3"/>
        <v>-20.803571428571416</v>
      </c>
      <c r="L23">
        <f t="shared" si="4"/>
        <v>-0.1029188310541008</v>
      </c>
      <c r="M23">
        <f t="shared" si="5"/>
        <v>-4.9249999999999829</v>
      </c>
    </row>
    <row r="24" spans="1:13" x14ac:dyDescent="0.25">
      <c r="A24" s="1">
        <v>45693</v>
      </c>
      <c r="B24">
        <f>VLOOKUP(A24, Call!A:P, 16, FALSE)</f>
        <v>68.900000000000006</v>
      </c>
      <c r="C24">
        <f>VLOOKUP(A24, Put!A:P, 16, FALSE)</f>
        <v>55.45</v>
      </c>
      <c r="D24">
        <f>VLOOKUP(A24, Call!A:W, 23, FALSE)</f>
        <v>124.4</v>
      </c>
      <c r="E24">
        <f>VLOOKUP(A24, Put!A:W, 23, FALSE)</f>
        <v>94.7</v>
      </c>
      <c r="F24">
        <f t="shared" si="0"/>
        <v>124.35000000000001</v>
      </c>
      <c r="G24">
        <f t="shared" si="1"/>
        <v>219.10000000000002</v>
      </c>
      <c r="H24">
        <f>VLOOKUP(A24, Call!A:I, 9, FALSE)</f>
        <v>0.5</v>
      </c>
      <c r="I24">
        <f>VLOOKUP(A24, Call!A:J, 10, FALSE)</f>
        <v>0.5</v>
      </c>
      <c r="J24">
        <f t="shared" si="2"/>
        <v>171.72500000000002</v>
      </c>
      <c r="K24">
        <f t="shared" si="3"/>
        <v>-9.6071428571428328</v>
      </c>
      <c r="L24">
        <f t="shared" si="4"/>
        <v>-5.2980915053276213E-2</v>
      </c>
      <c r="M24">
        <f t="shared" si="5"/>
        <v>-14.532142857142816</v>
      </c>
    </row>
    <row r="25" spans="1:13" x14ac:dyDescent="0.25">
      <c r="A25" s="1">
        <v>45694</v>
      </c>
      <c r="B25">
        <f>VLOOKUP(A25, Call!A:P, 16, FALSE)</f>
        <v>51.95</v>
      </c>
      <c r="C25">
        <f>VLOOKUP(A25, Put!A:P, 16, FALSE)</f>
        <v>59.6</v>
      </c>
      <c r="D25">
        <f>VLOOKUP(A25, Call!A:W, 23, FALSE)</f>
        <v>108.5</v>
      </c>
      <c r="E25">
        <f>VLOOKUP(A25, Put!A:W, 23, FALSE)</f>
        <v>99.5</v>
      </c>
      <c r="F25">
        <f t="shared" si="0"/>
        <v>111.55000000000001</v>
      </c>
      <c r="G25">
        <f t="shared" si="1"/>
        <v>208</v>
      </c>
      <c r="H25">
        <f>VLOOKUP(A25, Call!A:I, 9, FALSE)</f>
        <v>0.4642857142857143</v>
      </c>
      <c r="I25">
        <f>VLOOKUP(A25, Call!A:J, 10, FALSE)</f>
        <v>0.5357142857142857</v>
      </c>
      <c r="J25">
        <f t="shared" si="2"/>
        <v>163.21964285714287</v>
      </c>
      <c r="K25">
        <f t="shared" si="3"/>
        <v>-8.5053571428571502</v>
      </c>
      <c r="L25">
        <f t="shared" si="4"/>
        <v>-4.9528939542041919E-2</v>
      </c>
      <c r="M25">
        <f t="shared" si="5"/>
        <v>-23.037499999999966</v>
      </c>
    </row>
    <row r="26" spans="1:13" x14ac:dyDescent="0.25">
      <c r="A26" s="1">
        <v>45695</v>
      </c>
      <c r="B26">
        <f>VLOOKUP(A26, Call!A:P, 16, FALSE)</f>
        <v>62.349999999999994</v>
      </c>
      <c r="C26">
        <f>VLOOKUP(A26, Put!A:P, 16, FALSE)</f>
        <v>53.3</v>
      </c>
      <c r="D26">
        <f>VLOOKUP(A26, Call!A:W, 23, FALSE)</f>
        <v>121</v>
      </c>
      <c r="E26">
        <f>VLOOKUP(A26, Put!A:W, 23, FALSE)</f>
        <v>96.05</v>
      </c>
      <c r="F26">
        <f t="shared" si="0"/>
        <v>115.64999999999999</v>
      </c>
      <c r="G26">
        <f t="shared" si="1"/>
        <v>217.05</v>
      </c>
      <c r="H26">
        <f>VLOOKUP(A26, Call!A:I, 9, FALSE)</f>
        <v>0.42857142857142855</v>
      </c>
      <c r="I26">
        <f>VLOOKUP(A26, Call!A:J, 10, FALSE)</f>
        <v>0.5714285714285714</v>
      </c>
      <c r="J26">
        <f t="shared" si="2"/>
        <v>173.59285714285713</v>
      </c>
      <c r="K26">
        <f t="shared" si="3"/>
        <v>10.373214285714255</v>
      </c>
      <c r="L26">
        <f t="shared" si="4"/>
        <v>6.3553712679014718E-2</v>
      </c>
      <c r="M26">
        <f t="shared" si="5"/>
        <v>-12.664285714285711</v>
      </c>
    </row>
    <row r="27" spans="1:13" x14ac:dyDescent="0.25">
      <c r="A27" s="1">
        <v>45698</v>
      </c>
      <c r="B27">
        <f>VLOOKUP(A27, Call!A:P, 16, FALSE)</f>
        <v>50.55</v>
      </c>
      <c r="C27">
        <f>VLOOKUP(A27, Put!A:P, 16, FALSE)</f>
        <v>44</v>
      </c>
      <c r="D27">
        <f>VLOOKUP(A27, Call!A:W, 23, FALSE)</f>
        <v>111.4</v>
      </c>
      <c r="E27">
        <f>VLOOKUP(A27, Put!A:W, 23, FALSE)</f>
        <v>88.75</v>
      </c>
      <c r="F27">
        <f t="shared" si="0"/>
        <v>94.55</v>
      </c>
      <c r="G27">
        <f t="shared" si="1"/>
        <v>200.15</v>
      </c>
      <c r="H27">
        <f>VLOOKUP(A27, Call!A:I, 9, FALSE)</f>
        <v>0.32142857142857145</v>
      </c>
      <c r="I27">
        <f>VLOOKUP(A27, Call!A:J, 10, FALSE)</f>
        <v>0.6785714285714286</v>
      </c>
      <c r="J27">
        <f t="shared" si="2"/>
        <v>166.20714285714286</v>
      </c>
      <c r="K27">
        <f t="shared" si="3"/>
        <v>-7.3857142857142719</v>
      </c>
      <c r="L27">
        <f t="shared" si="4"/>
        <v>-4.2546187713450936E-2</v>
      </c>
      <c r="M27">
        <f t="shared" si="5"/>
        <v>-20.049999999999983</v>
      </c>
    </row>
    <row r="28" spans="1:13" x14ac:dyDescent="0.25">
      <c r="A28" s="1">
        <v>45699</v>
      </c>
      <c r="B28">
        <f>VLOOKUP(A28, Call!A:P, 16, FALSE)</f>
        <v>47.3</v>
      </c>
      <c r="C28">
        <f>VLOOKUP(A28, Put!A:P, 16, FALSE)</f>
        <v>43.400000000000006</v>
      </c>
      <c r="D28">
        <f>VLOOKUP(A28, Call!A:W, 23, FALSE)</f>
        <v>109.15</v>
      </c>
      <c r="E28">
        <f>VLOOKUP(A28, Put!A:W, 23, FALSE)</f>
        <v>88.75</v>
      </c>
      <c r="F28">
        <f t="shared" si="0"/>
        <v>90.7</v>
      </c>
      <c r="G28">
        <f t="shared" si="1"/>
        <v>197.9</v>
      </c>
      <c r="H28">
        <f>VLOOKUP(A28, Call!A:I, 9, FALSE)</f>
        <v>0.2857142857142857</v>
      </c>
      <c r="I28">
        <f>VLOOKUP(A28, Call!A:J, 10, FALSE)</f>
        <v>0.7142857142857143</v>
      </c>
      <c r="J28">
        <f t="shared" si="2"/>
        <v>167.27142857142857</v>
      </c>
      <c r="K28">
        <f t="shared" si="3"/>
        <v>1.0642857142857167</v>
      </c>
      <c r="L28">
        <f t="shared" si="4"/>
        <v>6.4033692896128041E-3</v>
      </c>
      <c r="M28">
        <f t="shared" si="5"/>
        <v>-18.985714285714266</v>
      </c>
    </row>
    <row r="29" spans="1:13" x14ac:dyDescent="0.25">
      <c r="A29" s="1">
        <v>45700</v>
      </c>
      <c r="B29">
        <f>VLOOKUP(A29, Call!A:P, 16, FALSE)</f>
        <v>49.7</v>
      </c>
      <c r="C29">
        <f>VLOOKUP(A29, Put!A:P, 16, FALSE)</f>
        <v>36.549999999999997</v>
      </c>
      <c r="D29">
        <f>VLOOKUP(A29, Call!A:W, 23, FALSE)</f>
        <v>114.25</v>
      </c>
      <c r="E29">
        <f>VLOOKUP(A29, Put!A:W, 23, FALSE)</f>
        <v>84.7</v>
      </c>
      <c r="F29">
        <f t="shared" si="0"/>
        <v>86.25</v>
      </c>
      <c r="G29">
        <f t="shared" si="1"/>
        <v>198.95</v>
      </c>
      <c r="H29">
        <f>VLOOKUP(A29, Call!A:I, 9, FALSE)</f>
        <v>0.25</v>
      </c>
      <c r="I29">
        <f>VLOOKUP(A29, Call!A:J, 10, FALSE)</f>
        <v>0.75</v>
      </c>
      <c r="J29">
        <f t="shared" si="2"/>
        <v>170.77499999999998</v>
      </c>
      <c r="K29">
        <f t="shared" si="3"/>
        <v>3.503571428571405</v>
      </c>
      <c r="L29">
        <f t="shared" si="4"/>
        <v>2.094542659492684E-2</v>
      </c>
      <c r="M29">
        <f t="shared" si="5"/>
        <v>-15.482142857142861</v>
      </c>
    </row>
    <row r="30" spans="1:13" x14ac:dyDescent="0.25">
      <c r="A30" s="1">
        <v>45701</v>
      </c>
      <c r="B30">
        <f>VLOOKUP(A30, Call!A:P, 16, FALSE)</f>
        <v>34.15</v>
      </c>
      <c r="C30">
        <f>VLOOKUP(A30, Put!A:P, 16, FALSE)</f>
        <v>33.25</v>
      </c>
      <c r="D30">
        <f>VLOOKUP(A30, Call!A:W, 23, FALSE)</f>
        <v>100.25</v>
      </c>
      <c r="E30">
        <f>VLOOKUP(A30, Put!A:W, 23, FALSE)</f>
        <v>83.1</v>
      </c>
      <c r="F30">
        <f t="shared" si="0"/>
        <v>67.400000000000006</v>
      </c>
      <c r="G30">
        <f t="shared" si="1"/>
        <v>183.35</v>
      </c>
      <c r="H30">
        <f>VLOOKUP(A30, Call!A:I, 9, FALSE)</f>
        <v>0.21428571428571427</v>
      </c>
      <c r="I30">
        <f>VLOOKUP(A30, Call!A:J, 10, FALSE)</f>
        <v>0.7857142857142857</v>
      </c>
      <c r="J30">
        <f t="shared" si="2"/>
        <v>158.50357142857143</v>
      </c>
      <c r="K30">
        <f t="shared" si="3"/>
        <v>-12.271428571428544</v>
      </c>
      <c r="L30">
        <f t="shared" si="4"/>
        <v>-7.1857289248593442E-2</v>
      </c>
      <c r="M30">
        <f t="shared" si="5"/>
        <v>-27.753571428571405</v>
      </c>
    </row>
    <row r="31" spans="1:13" x14ac:dyDescent="0.25">
      <c r="A31" s="1">
        <v>45702</v>
      </c>
      <c r="B31">
        <f>VLOOKUP(A31, Call!A:P, 16, FALSE)</f>
        <v>28.950000000000003</v>
      </c>
      <c r="C31">
        <f>VLOOKUP(A31, Put!A:P, 16, FALSE)</f>
        <v>26.25</v>
      </c>
      <c r="D31">
        <f>VLOOKUP(A31, Call!A:W, 23, FALSE)</f>
        <v>97.65</v>
      </c>
      <c r="E31">
        <f>VLOOKUP(A31, Put!A:W, 23, FALSE)</f>
        <v>78.95</v>
      </c>
      <c r="F31">
        <f t="shared" si="0"/>
        <v>55.2</v>
      </c>
      <c r="G31">
        <f t="shared" si="1"/>
        <v>176.60000000000002</v>
      </c>
      <c r="H31">
        <f>VLOOKUP(A31, Call!A:I, 9, FALSE)</f>
        <v>0.17857142857142858</v>
      </c>
      <c r="I31">
        <f>VLOOKUP(A31, Call!A:J, 10, FALSE)</f>
        <v>0.8214285714285714</v>
      </c>
      <c r="J31">
        <f t="shared" si="2"/>
        <v>154.92142857142858</v>
      </c>
      <c r="K31">
        <f t="shared" si="3"/>
        <v>-3.5821428571428555</v>
      </c>
      <c r="L31">
        <f t="shared" si="4"/>
        <v>-2.259976115905454E-2</v>
      </c>
      <c r="M31">
        <f t="shared" si="5"/>
        <v>-31.335714285714261</v>
      </c>
    </row>
    <row r="32" spans="1:13" x14ac:dyDescent="0.25">
      <c r="A32" s="1">
        <v>45706</v>
      </c>
      <c r="B32">
        <f>VLOOKUP(A32, Call!A:P, 16, FALSE)</f>
        <v>19.350000000000001</v>
      </c>
      <c r="C32">
        <f>VLOOKUP(A32, Put!A:P, 16, FALSE)</f>
        <v>21.1</v>
      </c>
      <c r="D32">
        <f>VLOOKUP(A32, Call!A:W, 23, FALSE)</f>
        <v>91.1</v>
      </c>
      <c r="E32">
        <f>VLOOKUP(A32, Put!A:W, 23, FALSE)</f>
        <v>76.45</v>
      </c>
      <c r="F32">
        <f t="shared" si="0"/>
        <v>40.450000000000003</v>
      </c>
      <c r="G32">
        <f t="shared" si="1"/>
        <v>167.55</v>
      </c>
      <c r="H32">
        <f>VLOOKUP(A32, Call!A:I, 9, FALSE)</f>
        <v>3.5714285714285712E-2</v>
      </c>
      <c r="I32">
        <f>VLOOKUP(A32, Call!A:J, 10, FALSE)</f>
        <v>0.9642857142857143</v>
      </c>
      <c r="J32">
        <f t="shared" si="2"/>
        <v>163.0107142857143</v>
      </c>
      <c r="K32">
        <f t="shared" si="3"/>
        <v>8.0892857142857224</v>
      </c>
      <c r="L32">
        <f t="shared" si="4"/>
        <v>5.2215408732537279E-2</v>
      </c>
      <c r="M32">
        <f t="shared" si="5"/>
        <v>-23.246428571428538</v>
      </c>
    </row>
    <row r="33" spans="1:13" x14ac:dyDescent="0.25">
      <c r="A33" s="1">
        <v>45707</v>
      </c>
      <c r="B33">
        <f>VLOOKUP(A33, Call!A:P, 16, FALSE)</f>
        <v>11.35</v>
      </c>
      <c r="C33">
        <f>VLOOKUP(A33, Put!A:P, 16, FALSE)</f>
        <v>17.600000000000001</v>
      </c>
      <c r="D33">
        <f>VLOOKUP(A33, Call!A:W, 23, FALSE)</f>
        <v>85.6</v>
      </c>
      <c r="E33">
        <f>VLOOKUP(A33, Put!A:W, 23, FALSE)</f>
        <v>75.900000000000006</v>
      </c>
      <c r="F33">
        <f t="shared" si="0"/>
        <v>28.950000000000003</v>
      </c>
      <c r="G33">
        <f t="shared" si="1"/>
        <v>161.5</v>
      </c>
      <c r="H33">
        <f>VLOOKUP(A33, Call!A:I, 9, FALSE)</f>
        <v>0</v>
      </c>
      <c r="I33">
        <f>VLOOKUP(A33, Call!A:J, 10, FALSE)</f>
        <v>1</v>
      </c>
      <c r="J33">
        <f t="shared" si="2"/>
        <v>161.5</v>
      </c>
      <c r="K33">
        <f t="shared" si="3"/>
        <v>-1.5107142857143003</v>
      </c>
      <c r="L33">
        <f t="shared" si="4"/>
        <v>-9.2675766273032905E-3</v>
      </c>
      <c r="M33">
        <f t="shared" si="5"/>
        <v>-24.757142857142838</v>
      </c>
    </row>
    <row r="34" spans="1:13" x14ac:dyDescent="0.25">
      <c r="A34" s="1">
        <v>45708</v>
      </c>
      <c r="B34">
        <f>VLOOKUP(A34, Call!A:P, 16, FALSE)</f>
        <v>7.55</v>
      </c>
      <c r="C34">
        <f>VLOOKUP(A34, Put!A:P, 16, FALSE)</f>
        <v>10.399999999999999</v>
      </c>
      <c r="D34">
        <f>VLOOKUP(A34, Call!A:W, 23, FALSE)</f>
        <v>87.199999999999989</v>
      </c>
      <c r="E34">
        <f>VLOOKUP(A34, Put!A:W, 23, FALSE)</f>
        <v>74.199999999999989</v>
      </c>
      <c r="F34">
        <f t="shared" si="0"/>
        <v>17.95</v>
      </c>
      <c r="G34">
        <f t="shared" si="1"/>
        <v>161.39999999999998</v>
      </c>
      <c r="H34">
        <f>VLOOKUP(A34, Call!A:I, 9, FALSE)</f>
        <v>0</v>
      </c>
      <c r="I34">
        <f>VLOOKUP(A34, Call!A:J, 10, FALSE)</f>
        <v>1</v>
      </c>
      <c r="J34">
        <f t="shared" si="2"/>
        <v>161.39999999999998</v>
      </c>
      <c r="K34">
        <f t="shared" si="3"/>
        <v>-0.10000000000002274</v>
      </c>
      <c r="L34">
        <f t="shared" si="4"/>
        <v>-6.1919504643976925E-4</v>
      </c>
      <c r="M34">
        <f t="shared" si="5"/>
        <v>-24.857142857142861</v>
      </c>
    </row>
    <row r="35" spans="1:13" x14ac:dyDescent="0.25">
      <c r="A35" s="1">
        <v>45709</v>
      </c>
      <c r="B35">
        <f>VLOOKUP(A35, Call!A:P, 16, FALSE)</f>
        <v>101.15</v>
      </c>
      <c r="C35">
        <f>VLOOKUP(A35, Put!A:P, 16, FALSE)</f>
        <v>86.3</v>
      </c>
      <c r="D35">
        <f>VLOOKUP(A35, Call!A:W, 23, FALSE)</f>
        <v>147.80000000000001</v>
      </c>
      <c r="E35">
        <f>VLOOKUP(A35, Put!A:W, 23, FALSE)</f>
        <v>113.9</v>
      </c>
      <c r="F35">
        <f t="shared" si="0"/>
        <v>187.45</v>
      </c>
      <c r="G35">
        <f t="shared" si="1"/>
        <v>261.70000000000005</v>
      </c>
      <c r="H35">
        <f>VLOOKUP(A35, Call!A:I, 9, FALSE)</f>
        <v>0.92592592592592593</v>
      </c>
      <c r="I35">
        <f>VLOOKUP(A35, Call!A:J, 10, FALSE)</f>
        <v>7.407407407407407E-2</v>
      </c>
      <c r="J35">
        <f t="shared" si="2"/>
        <v>192.95</v>
      </c>
      <c r="K35">
        <f t="shared" si="3"/>
        <v>31.550000000000011</v>
      </c>
      <c r="L35">
        <f t="shared" si="4"/>
        <v>0.19547707558859986</v>
      </c>
      <c r="M35">
        <f t="shared" si="5"/>
        <v>6.6928571428571502</v>
      </c>
    </row>
    <row r="36" spans="1:13" x14ac:dyDescent="0.25">
      <c r="A36" s="1">
        <v>45712</v>
      </c>
      <c r="B36">
        <f>VLOOKUP(A36, Call!A:P, 16, FALSE)</f>
        <v>106.95</v>
      </c>
      <c r="C36">
        <f>VLOOKUP(A36, Put!A:P, 16, FALSE)</f>
        <v>86.55</v>
      </c>
      <c r="D36">
        <f>VLOOKUP(A36, Call!A:W, 23, FALSE)</f>
        <v>153.55000000000001</v>
      </c>
      <c r="E36">
        <f>VLOOKUP(A36, Put!A:W, 23, FALSE)</f>
        <v>114.35</v>
      </c>
      <c r="F36">
        <f t="shared" si="0"/>
        <v>193.5</v>
      </c>
      <c r="G36">
        <f t="shared" si="1"/>
        <v>267.89999999999998</v>
      </c>
      <c r="H36">
        <f>VLOOKUP(A36, Call!A:I, 9, FALSE)</f>
        <v>0.81481481481481477</v>
      </c>
      <c r="I36">
        <f>VLOOKUP(A36, Call!A:J, 10, FALSE)</f>
        <v>0.18518518518518517</v>
      </c>
      <c r="J36">
        <f t="shared" si="2"/>
        <v>207.27777777777777</v>
      </c>
      <c r="K36">
        <f t="shared" si="3"/>
        <v>14.327777777777783</v>
      </c>
      <c r="L36">
        <f t="shared" si="4"/>
        <v>7.4256427975007949E-2</v>
      </c>
      <c r="M36">
        <f t="shared" si="5"/>
        <v>21.020634920634933</v>
      </c>
    </row>
    <row r="37" spans="1:13" x14ac:dyDescent="0.25">
      <c r="A37" s="1">
        <v>45713</v>
      </c>
      <c r="B37">
        <f>VLOOKUP(A37, Call!A:P, 16, FALSE)</f>
        <v>110.9</v>
      </c>
      <c r="C37">
        <f>VLOOKUP(A37, Put!A:P, 16, FALSE)</f>
        <v>86.550000000000011</v>
      </c>
      <c r="D37">
        <f>VLOOKUP(A37, Call!A:W, 23, FALSE)</f>
        <v>157.85000000000002</v>
      </c>
      <c r="E37">
        <f>VLOOKUP(A37, Put!A:W, 23, FALSE)</f>
        <v>114.75</v>
      </c>
      <c r="F37">
        <f t="shared" si="0"/>
        <v>197.45000000000002</v>
      </c>
      <c r="G37">
        <f t="shared" si="1"/>
        <v>272.60000000000002</v>
      </c>
      <c r="H37">
        <f>VLOOKUP(A37, Call!A:I, 9, FALSE)</f>
        <v>0.77777777777777779</v>
      </c>
      <c r="I37">
        <f>VLOOKUP(A37, Call!A:J, 10, FALSE)</f>
        <v>0.22222222222222221</v>
      </c>
      <c r="J37">
        <f t="shared" si="2"/>
        <v>214.15000000000003</v>
      </c>
      <c r="K37">
        <f t="shared" si="3"/>
        <v>6.8722222222222626</v>
      </c>
      <c r="L37">
        <f t="shared" si="4"/>
        <v>3.3154650227821159E-2</v>
      </c>
      <c r="M37">
        <f t="shared" si="5"/>
        <v>27.892857142857196</v>
      </c>
    </row>
    <row r="38" spans="1:13" x14ac:dyDescent="0.25">
      <c r="A38" s="1">
        <v>45714</v>
      </c>
      <c r="B38">
        <f>VLOOKUP(A38, Call!A:P, 16, FALSE)</f>
        <v>113.5</v>
      </c>
      <c r="C38">
        <f>VLOOKUP(A38, Put!A:P, 16, FALSE)</f>
        <v>78.849999999999994</v>
      </c>
      <c r="D38">
        <f>VLOOKUP(A38, Call!A:W, 23, FALSE)</f>
        <v>160.75</v>
      </c>
      <c r="E38">
        <f>VLOOKUP(A38, Put!A:W, 23, FALSE)</f>
        <v>107.05</v>
      </c>
      <c r="F38">
        <f t="shared" si="0"/>
        <v>192.35</v>
      </c>
      <c r="G38">
        <f t="shared" si="1"/>
        <v>267.8</v>
      </c>
      <c r="H38">
        <f>VLOOKUP(A38, Call!A:I, 9, FALSE)</f>
        <v>0.7407407407407407</v>
      </c>
      <c r="I38">
        <f>VLOOKUP(A38, Call!A:J, 10, FALSE)</f>
        <v>0.25925925925925924</v>
      </c>
      <c r="J38">
        <f t="shared" si="2"/>
        <v>211.9111111111111</v>
      </c>
      <c r="K38">
        <f t="shared" si="3"/>
        <v>-2.2388888888889369</v>
      </c>
      <c r="L38">
        <f t="shared" si="4"/>
        <v>-1.045476950216641E-2</v>
      </c>
      <c r="M38">
        <f t="shared" si="5"/>
        <v>25.653968253968259</v>
      </c>
    </row>
    <row r="39" spans="1:13" x14ac:dyDescent="0.25">
      <c r="A39" s="1">
        <v>45715</v>
      </c>
      <c r="B39">
        <f>VLOOKUP(A39, Call!A:P, 16, FALSE)</f>
        <v>115.85</v>
      </c>
      <c r="C39">
        <f>VLOOKUP(A39, Put!A:P, 16, FALSE)</f>
        <v>95</v>
      </c>
      <c r="D39">
        <f>VLOOKUP(A39, Call!A:W, 23, FALSE)</f>
        <v>165.45</v>
      </c>
      <c r="E39">
        <f>VLOOKUP(A39, Put!A:W, 23, FALSE)</f>
        <v>125.80000000000001</v>
      </c>
      <c r="F39">
        <f t="shared" si="0"/>
        <v>210.85</v>
      </c>
      <c r="G39">
        <f t="shared" si="1"/>
        <v>291.25</v>
      </c>
      <c r="H39">
        <f>VLOOKUP(A39, Call!A:I, 9, FALSE)</f>
        <v>0.70370370370370372</v>
      </c>
      <c r="I39">
        <f>VLOOKUP(A39, Call!A:J, 10, FALSE)</f>
        <v>0.29629629629629628</v>
      </c>
      <c r="J39">
        <f t="shared" si="2"/>
        <v>234.67222222222222</v>
      </c>
      <c r="K39">
        <f t="shared" si="3"/>
        <v>22.76111111111112</v>
      </c>
      <c r="L39">
        <f t="shared" si="4"/>
        <v>0.10740876677852354</v>
      </c>
      <c r="M39">
        <f t="shared" si="5"/>
        <v>48.415079365079379</v>
      </c>
    </row>
    <row r="40" spans="1:13" x14ac:dyDescent="0.25">
      <c r="A40" s="1">
        <v>45716</v>
      </c>
      <c r="B40">
        <f>VLOOKUP(A40, Call!A:P, 16, FALSE)</f>
        <v>94.75</v>
      </c>
      <c r="C40">
        <f>VLOOKUP(A40, Put!A:P, 16, FALSE)</f>
        <v>91.75</v>
      </c>
      <c r="D40">
        <f>VLOOKUP(A40, Call!A:W, 23, FALSE)</f>
        <v>145.19999999999999</v>
      </c>
      <c r="E40">
        <f>VLOOKUP(A40, Put!A:W, 23, FALSE)</f>
        <v>123.15</v>
      </c>
      <c r="F40">
        <f t="shared" si="0"/>
        <v>186.5</v>
      </c>
      <c r="G40">
        <f t="shared" si="1"/>
        <v>268.35000000000002</v>
      </c>
      <c r="H40">
        <f>VLOOKUP(A40, Call!A:I, 9, FALSE)</f>
        <v>0.66666666666666663</v>
      </c>
      <c r="I40">
        <f>VLOOKUP(A40, Call!A:J, 10, FALSE)</f>
        <v>0.33333333333333331</v>
      </c>
      <c r="J40">
        <f t="shared" si="2"/>
        <v>213.78333333333333</v>
      </c>
      <c r="K40">
        <f t="shared" si="3"/>
        <v>-20.888888888888886</v>
      </c>
      <c r="L40">
        <f t="shared" si="4"/>
        <v>-8.9013044198764227E-2</v>
      </c>
      <c r="M40">
        <f t="shared" si="5"/>
        <v>27.526190476190493</v>
      </c>
    </row>
    <row r="41" spans="1:13" x14ac:dyDescent="0.25">
      <c r="A41" s="1">
        <v>45719</v>
      </c>
      <c r="B41">
        <f>VLOOKUP(A41, Call!A:P, 16, FALSE)</f>
        <v>116.3</v>
      </c>
      <c r="C41">
        <f>VLOOKUP(A41, Put!A:P, 16, FALSE)</f>
        <v>91.5</v>
      </c>
      <c r="D41">
        <f>VLOOKUP(A41, Call!A:W, 23, FALSE)</f>
        <v>169.55</v>
      </c>
      <c r="E41">
        <f>VLOOKUP(A41, Put!A:W, 23, FALSE)</f>
        <v>126.1</v>
      </c>
      <c r="F41">
        <f t="shared" si="0"/>
        <v>207.8</v>
      </c>
      <c r="G41">
        <f t="shared" si="1"/>
        <v>295.64999999999998</v>
      </c>
      <c r="H41">
        <f>VLOOKUP(A41, Call!A:I, 9, FALSE)</f>
        <v>0.55555555555555558</v>
      </c>
      <c r="I41">
        <f>VLOOKUP(A41, Call!A:J, 10, FALSE)</f>
        <v>0.44444444444444442</v>
      </c>
      <c r="J41">
        <f t="shared" si="2"/>
        <v>246.84444444444443</v>
      </c>
      <c r="K41">
        <f t="shared" si="3"/>
        <v>33.061111111111103</v>
      </c>
      <c r="L41">
        <f t="shared" si="4"/>
        <v>0.15464774823939084</v>
      </c>
      <c r="M41">
        <f t="shared" si="5"/>
        <v>60.587301587301596</v>
      </c>
    </row>
    <row r="42" spans="1:13" x14ac:dyDescent="0.25">
      <c r="A42" s="1">
        <v>45720</v>
      </c>
      <c r="B42">
        <f>VLOOKUP(A42, Call!A:P, 16, FALSE)</f>
        <v>131.05000000000001</v>
      </c>
      <c r="C42">
        <f>VLOOKUP(A42, Put!A:P, 16, FALSE)</f>
        <v>85.8</v>
      </c>
      <c r="D42">
        <f>VLOOKUP(A42, Call!A:W, 23, FALSE)</f>
        <v>185.2</v>
      </c>
      <c r="E42">
        <f>VLOOKUP(A42, Put!A:W, 23, FALSE)</f>
        <v>121.75</v>
      </c>
      <c r="F42">
        <f t="shared" si="0"/>
        <v>216.85000000000002</v>
      </c>
      <c r="G42">
        <f t="shared" si="1"/>
        <v>306.95</v>
      </c>
      <c r="H42">
        <f>VLOOKUP(A42, Call!A:I, 9, FALSE)</f>
        <v>0.51851851851851849</v>
      </c>
      <c r="I42">
        <f>VLOOKUP(A42, Call!A:J, 10, FALSE)</f>
        <v>0.48148148148148145</v>
      </c>
      <c r="J42">
        <f t="shared" si="2"/>
        <v>260.23148148148147</v>
      </c>
      <c r="K42">
        <f t="shared" si="3"/>
        <v>13.387037037037032</v>
      </c>
      <c r="L42">
        <f t="shared" si="4"/>
        <v>5.42326851518425E-2</v>
      </c>
      <c r="M42">
        <f t="shared" si="5"/>
        <v>73.974338624338628</v>
      </c>
    </row>
    <row r="43" spans="1:13" x14ac:dyDescent="0.25">
      <c r="A43" s="1">
        <v>45721</v>
      </c>
      <c r="B43">
        <f>VLOOKUP(A43, Call!A:P, 16, FALSE)</f>
        <v>98.45</v>
      </c>
      <c r="C43">
        <f>VLOOKUP(A43, Put!A:P, 16, FALSE)</f>
        <v>98.3</v>
      </c>
      <c r="D43">
        <f>VLOOKUP(A43, Call!A:W, 23, FALSE)</f>
        <v>150.64999999999998</v>
      </c>
      <c r="E43">
        <f>VLOOKUP(A43, Put!A:W, 23, FALSE)</f>
        <v>131.9</v>
      </c>
      <c r="F43">
        <f t="shared" si="0"/>
        <v>196.75</v>
      </c>
      <c r="G43">
        <f t="shared" si="1"/>
        <v>282.54999999999995</v>
      </c>
      <c r="H43">
        <f>VLOOKUP(A43, Call!A:I, 9, FALSE)</f>
        <v>0.48148148148148145</v>
      </c>
      <c r="I43">
        <f>VLOOKUP(A43, Call!A:J, 10, FALSE)</f>
        <v>0.51851851851851849</v>
      </c>
      <c r="J43">
        <f t="shared" si="2"/>
        <v>241.23888888888888</v>
      </c>
      <c r="K43">
        <f t="shared" si="3"/>
        <v>-18.992592592592587</v>
      </c>
      <c r="L43">
        <f t="shared" si="4"/>
        <v>-7.2983454901263095E-2</v>
      </c>
      <c r="M43">
        <f t="shared" si="5"/>
        <v>54.981746031746042</v>
      </c>
    </row>
    <row r="44" spans="1:13" x14ac:dyDescent="0.25">
      <c r="A44" s="1">
        <v>45722</v>
      </c>
      <c r="B44">
        <f>VLOOKUP(A44, Call!A:P, 16, FALSE)</f>
        <v>120.15</v>
      </c>
      <c r="C44">
        <f>VLOOKUP(A44, Put!A:P, 16, FALSE)</f>
        <v>99</v>
      </c>
      <c r="D44">
        <f>VLOOKUP(A44, Call!A:W, 23, FALSE)</f>
        <v>177.3</v>
      </c>
      <c r="E44">
        <f>VLOOKUP(A44, Put!A:W, 23, FALSE)</f>
        <v>138.4</v>
      </c>
      <c r="F44">
        <f t="shared" si="0"/>
        <v>219.15</v>
      </c>
      <c r="G44">
        <f t="shared" si="1"/>
        <v>315.70000000000005</v>
      </c>
      <c r="H44">
        <f>VLOOKUP(A44, Call!A:I, 9, FALSE)</f>
        <v>0.44444444444444442</v>
      </c>
      <c r="I44">
        <f>VLOOKUP(A44, Call!A:J, 10, FALSE)</f>
        <v>0.55555555555555558</v>
      </c>
      <c r="J44">
        <f t="shared" si="2"/>
        <v>272.78888888888889</v>
      </c>
      <c r="K44">
        <f t="shared" si="3"/>
        <v>31.550000000000011</v>
      </c>
      <c r="L44">
        <f t="shared" si="4"/>
        <v>0.1307832254795846</v>
      </c>
      <c r="M44">
        <f t="shared" si="5"/>
        <v>86.531746031746053</v>
      </c>
    </row>
    <row r="45" spans="1:13" x14ac:dyDescent="0.25">
      <c r="A45" s="1">
        <v>45723</v>
      </c>
      <c r="B45">
        <f>VLOOKUP(A45, Call!A:P, 16, FALSE)</f>
        <v>96.75</v>
      </c>
      <c r="C45">
        <f>VLOOKUP(A45, Put!A:P, 16, FALSE)</f>
        <v>94.65</v>
      </c>
      <c r="D45">
        <f>VLOOKUP(A45, Call!A:W, 23, FALSE)</f>
        <v>155.69999999999999</v>
      </c>
      <c r="E45">
        <f>VLOOKUP(A45, Put!A:W, 23, FALSE)</f>
        <v>135.30000000000001</v>
      </c>
      <c r="F45">
        <f t="shared" si="0"/>
        <v>191.4</v>
      </c>
      <c r="G45">
        <f t="shared" si="1"/>
        <v>291</v>
      </c>
      <c r="H45">
        <f>VLOOKUP(A45, Call!A:I, 9, FALSE)</f>
        <v>0.40740740740740738</v>
      </c>
      <c r="I45">
        <f>VLOOKUP(A45, Call!A:J, 10, FALSE)</f>
        <v>0.59259259259259256</v>
      </c>
      <c r="J45">
        <f t="shared" si="2"/>
        <v>250.42222222222222</v>
      </c>
      <c r="K45">
        <f t="shared" si="3"/>
        <v>-22.366666666666674</v>
      </c>
      <c r="L45">
        <f t="shared" si="4"/>
        <v>-8.1992586860005726E-2</v>
      </c>
      <c r="M45">
        <f t="shared" si="5"/>
        <v>64.165079365079379</v>
      </c>
    </row>
    <row r="46" spans="1:13" x14ac:dyDescent="0.25">
      <c r="A46" s="1">
        <v>45726</v>
      </c>
      <c r="B46">
        <f>VLOOKUP(A46, Call!A:P, 16, FALSE)</f>
        <v>113.15</v>
      </c>
      <c r="C46">
        <f>VLOOKUP(A46, Put!A:P, 16, FALSE)</f>
        <v>99.4</v>
      </c>
      <c r="D46">
        <f>VLOOKUP(A46, Call!A:W, 23, FALSE)</f>
        <v>178.6</v>
      </c>
      <c r="E46">
        <f>VLOOKUP(A46, Put!A:W, 23, FALSE)</f>
        <v>147.1</v>
      </c>
      <c r="F46">
        <f t="shared" si="0"/>
        <v>212.55</v>
      </c>
      <c r="G46">
        <f t="shared" si="1"/>
        <v>325.7</v>
      </c>
      <c r="H46">
        <f>VLOOKUP(A46, Call!A:I, 9, FALSE)</f>
        <v>0.29629629629629628</v>
      </c>
      <c r="I46">
        <f>VLOOKUP(A46, Call!A:J, 10, FALSE)</f>
        <v>0.70370370370370372</v>
      </c>
      <c r="J46">
        <f t="shared" si="2"/>
        <v>292.17407407407404</v>
      </c>
      <c r="K46">
        <f t="shared" si="3"/>
        <v>41.751851851851825</v>
      </c>
      <c r="L46">
        <f t="shared" si="4"/>
        <v>0.16672582601236419</v>
      </c>
      <c r="M46">
        <f t="shared" si="5"/>
        <v>105.9169312169312</v>
      </c>
    </row>
    <row r="47" spans="1:13" x14ac:dyDescent="0.25">
      <c r="A47" s="1">
        <v>45727</v>
      </c>
      <c r="B47">
        <f>VLOOKUP(A47, Call!A:P, 16, FALSE)</f>
        <v>103.55</v>
      </c>
      <c r="C47">
        <f>VLOOKUP(A47, Put!A:P, 16, FALSE)</f>
        <v>96.699999999999989</v>
      </c>
      <c r="D47">
        <f>VLOOKUP(A47, Call!A:W, 23, FALSE)</f>
        <v>173.45</v>
      </c>
      <c r="E47">
        <f>VLOOKUP(A47, Put!A:W, 23, FALSE)</f>
        <v>149.10000000000002</v>
      </c>
      <c r="F47">
        <f t="shared" si="0"/>
        <v>200.25</v>
      </c>
      <c r="G47">
        <f t="shared" si="1"/>
        <v>322.55</v>
      </c>
      <c r="H47">
        <f>VLOOKUP(A47, Call!A:I, 9, FALSE)</f>
        <v>0.25925925925925924</v>
      </c>
      <c r="I47">
        <f>VLOOKUP(A47, Call!A:J, 10, FALSE)</f>
        <v>0.7407407407407407</v>
      </c>
      <c r="J47">
        <f t="shared" si="2"/>
        <v>290.84259259259261</v>
      </c>
      <c r="K47">
        <f t="shared" si="3"/>
        <v>-1.3314814814814326</v>
      </c>
      <c r="L47">
        <f t="shared" si="4"/>
        <v>-4.5571513684128798E-3</v>
      </c>
      <c r="M47">
        <f t="shared" si="5"/>
        <v>104.58544973544977</v>
      </c>
    </row>
    <row r="48" spans="1:13" x14ac:dyDescent="0.25">
      <c r="A48" s="1">
        <v>45728</v>
      </c>
      <c r="B48">
        <f>VLOOKUP(A48, Call!A:P, 16, FALSE)</f>
        <v>82.449999999999989</v>
      </c>
      <c r="C48">
        <f>VLOOKUP(A48, Put!A:P, 16, FALSE)</f>
        <v>84.75</v>
      </c>
      <c r="D48">
        <f>VLOOKUP(A48, Call!A:W, 23, FALSE)</f>
        <v>153.75</v>
      </c>
      <c r="E48">
        <f>VLOOKUP(A48, Put!A:W, 23, FALSE)</f>
        <v>138.6</v>
      </c>
      <c r="F48">
        <f t="shared" si="0"/>
        <v>167.2</v>
      </c>
      <c r="G48">
        <f t="shared" si="1"/>
        <v>292.35000000000002</v>
      </c>
      <c r="H48">
        <f>VLOOKUP(A48, Call!A:I, 9, FALSE)</f>
        <v>0.22222222222222221</v>
      </c>
      <c r="I48">
        <f>VLOOKUP(A48, Call!A:J, 10, FALSE)</f>
        <v>0.77777777777777779</v>
      </c>
      <c r="J48">
        <f t="shared" si="2"/>
        <v>264.53888888888889</v>
      </c>
      <c r="K48">
        <f t="shared" si="3"/>
        <v>-26.303703703703718</v>
      </c>
      <c r="L48">
        <f t="shared" si="4"/>
        <v>-9.0439654897965724E-2</v>
      </c>
      <c r="M48">
        <f t="shared" si="5"/>
        <v>78.281746031746053</v>
      </c>
    </row>
    <row r="49" spans="1:13" x14ac:dyDescent="0.25">
      <c r="A49" s="1">
        <v>45729</v>
      </c>
      <c r="B49">
        <f>VLOOKUP(A49, Call!A:P, 16, FALSE)</f>
        <v>88.4</v>
      </c>
      <c r="C49">
        <f>VLOOKUP(A49, Put!A:P, 16, FALSE)</f>
        <v>70.650000000000006</v>
      </c>
      <c r="D49">
        <f>VLOOKUP(A49, Call!A:W, 23, FALSE)</f>
        <v>166.6</v>
      </c>
      <c r="E49">
        <f>VLOOKUP(A49, Put!A:W, 23, FALSE)</f>
        <v>131.75</v>
      </c>
      <c r="F49">
        <f t="shared" si="0"/>
        <v>159.05000000000001</v>
      </c>
      <c r="G49">
        <f t="shared" si="1"/>
        <v>298.35000000000002</v>
      </c>
      <c r="H49">
        <f>VLOOKUP(A49, Call!A:I, 9, FALSE)</f>
        <v>0.18518518518518517</v>
      </c>
      <c r="I49">
        <f>VLOOKUP(A49, Call!A:J, 10, FALSE)</f>
        <v>0.81481481481481477</v>
      </c>
      <c r="J49">
        <f t="shared" si="2"/>
        <v>272.55370370370372</v>
      </c>
      <c r="K49">
        <f t="shared" si="3"/>
        <v>8.0148148148148266</v>
      </c>
      <c r="L49">
        <f t="shared" si="4"/>
        <v>3.0297302784019757E-2</v>
      </c>
      <c r="M49">
        <f t="shared" si="5"/>
        <v>86.29656084656088</v>
      </c>
    </row>
    <row r="50" spans="1:13" x14ac:dyDescent="0.25">
      <c r="A50" s="1">
        <v>45730</v>
      </c>
      <c r="B50">
        <f>VLOOKUP(A50, Call!A:P, 16, FALSE)</f>
        <v>55.85</v>
      </c>
      <c r="C50">
        <f>VLOOKUP(A50, Put!A:P, 16, FALSE)</f>
        <v>67</v>
      </c>
      <c r="D50">
        <f>VLOOKUP(A50, Call!A:W, 23, FALSE)</f>
        <v>132.25</v>
      </c>
      <c r="E50">
        <f>VLOOKUP(A50, Put!A:W, 23, FALSE)</f>
        <v>125.69999999999999</v>
      </c>
      <c r="F50">
        <f t="shared" si="0"/>
        <v>122.85</v>
      </c>
      <c r="G50">
        <f t="shared" si="1"/>
        <v>257.95</v>
      </c>
      <c r="H50">
        <f>VLOOKUP(A50, Call!A:I, 9, FALSE)</f>
        <v>0.14814814814814814</v>
      </c>
      <c r="I50">
        <f>VLOOKUP(A50, Call!A:J, 10, FALSE)</f>
        <v>0.85185185185185186</v>
      </c>
      <c r="J50">
        <f t="shared" si="2"/>
        <v>237.93518518518516</v>
      </c>
      <c r="K50">
        <f t="shared" si="3"/>
        <v>-34.618518518518556</v>
      </c>
      <c r="L50">
        <f t="shared" si="4"/>
        <v>-0.12701540301265818</v>
      </c>
      <c r="M50">
        <f t="shared" si="5"/>
        <v>51.678042328042324</v>
      </c>
    </row>
    <row r="51" spans="1:13" x14ac:dyDescent="0.25">
      <c r="A51" s="1">
        <v>45733</v>
      </c>
      <c r="B51">
        <f>VLOOKUP(A51, Call!A:P, 16, FALSE)</f>
        <v>51.9</v>
      </c>
      <c r="C51">
        <f>VLOOKUP(A51, Put!A:P, 16, FALSE)</f>
        <v>46.75</v>
      </c>
      <c r="D51">
        <f>VLOOKUP(A51, Call!A:W, 23, FALSE)</f>
        <v>130.80000000000001</v>
      </c>
      <c r="E51">
        <f>VLOOKUP(A51, Put!A:W, 23, FALSE)</f>
        <v>108.05</v>
      </c>
      <c r="F51">
        <f t="shared" si="0"/>
        <v>98.65</v>
      </c>
      <c r="G51">
        <f t="shared" si="1"/>
        <v>238.85000000000002</v>
      </c>
      <c r="H51">
        <f>VLOOKUP(A51, Call!A:I, 9, FALSE)</f>
        <v>3.7037037037037035E-2</v>
      </c>
      <c r="I51">
        <f>VLOOKUP(A51, Call!A:J, 10, FALSE)</f>
        <v>0.96296296296296291</v>
      </c>
      <c r="J51">
        <f t="shared" si="2"/>
        <v>233.65740740740742</v>
      </c>
      <c r="K51">
        <f t="shared" si="3"/>
        <v>-4.277777777777743</v>
      </c>
      <c r="L51">
        <f t="shared" si="4"/>
        <v>-1.7978752383546574E-2</v>
      </c>
      <c r="M51">
        <f t="shared" si="5"/>
        <v>47.400264550264581</v>
      </c>
    </row>
    <row r="52" spans="1:13" x14ac:dyDescent="0.25">
      <c r="A52" s="1">
        <v>45734</v>
      </c>
      <c r="B52">
        <f>VLOOKUP(A52, Call!A:P, 16, FALSE)</f>
        <v>48.650000000000006</v>
      </c>
      <c r="C52">
        <f>VLOOKUP(A52, Put!A:P, 16, FALSE)</f>
        <v>45.2</v>
      </c>
      <c r="D52">
        <f>VLOOKUP(A52, Call!A:W, 23, FALSE)</f>
        <v>134.05000000000001</v>
      </c>
      <c r="E52">
        <f>VLOOKUP(A52, Put!A:W, 23, FALSE)</f>
        <v>113.44999999999999</v>
      </c>
      <c r="F52">
        <f t="shared" si="0"/>
        <v>93.850000000000009</v>
      </c>
      <c r="G52">
        <f t="shared" si="1"/>
        <v>247.5</v>
      </c>
      <c r="H52">
        <f>VLOOKUP(A52, Call!A:I, 9, FALSE)</f>
        <v>0</v>
      </c>
      <c r="I52">
        <f>VLOOKUP(A52, Call!A:J, 10, FALSE)</f>
        <v>1</v>
      </c>
      <c r="J52">
        <f t="shared" si="2"/>
        <v>247.5</v>
      </c>
      <c r="K52">
        <f t="shared" si="3"/>
        <v>13.842592592592581</v>
      </c>
      <c r="L52">
        <f t="shared" si="4"/>
        <v>5.9243114721616752E-2</v>
      </c>
      <c r="M52">
        <f t="shared" si="5"/>
        <v>61.242857142857162</v>
      </c>
    </row>
    <row r="53" spans="1:13" x14ac:dyDescent="0.25">
      <c r="A53" s="1">
        <v>45735</v>
      </c>
      <c r="B53">
        <f>VLOOKUP(A53, Call!A:P, 16, FALSE)</f>
        <v>32.35</v>
      </c>
      <c r="C53">
        <f>VLOOKUP(A53, Put!A:P, 16, FALSE)</f>
        <v>28.95</v>
      </c>
      <c r="D53">
        <f>VLOOKUP(A53, Call!A:W, 23, FALSE)</f>
        <v>122.85</v>
      </c>
      <c r="E53">
        <f>VLOOKUP(A53, Put!A:W, 23, FALSE)</f>
        <v>102.15</v>
      </c>
      <c r="F53">
        <f t="shared" si="0"/>
        <v>61.3</v>
      </c>
      <c r="G53">
        <f t="shared" si="1"/>
        <v>225</v>
      </c>
      <c r="H53">
        <f>VLOOKUP(A53, Call!A:I, 9, FALSE)</f>
        <v>0</v>
      </c>
      <c r="I53">
        <f>VLOOKUP(A53, Call!A:J, 10, FALSE)</f>
        <v>1</v>
      </c>
      <c r="J53">
        <f t="shared" si="2"/>
        <v>225</v>
      </c>
      <c r="K53">
        <f t="shared" si="3"/>
        <v>-22.5</v>
      </c>
      <c r="L53">
        <f t="shared" si="4"/>
        <v>-9.0909090909090912E-2</v>
      </c>
      <c r="M53">
        <f t="shared" si="5"/>
        <v>38.742857142857162</v>
      </c>
    </row>
    <row r="54" spans="1:13" x14ac:dyDescent="0.25">
      <c r="A54" s="1">
        <v>45736</v>
      </c>
      <c r="B54">
        <f>VLOOKUP(A54, Call!A:P, 16, FALSE)</f>
        <v>16.850000000000001</v>
      </c>
      <c r="C54">
        <f>VLOOKUP(A54, Put!A:P, 16, FALSE)</f>
        <v>15.25</v>
      </c>
      <c r="D54">
        <f>VLOOKUP(A54, Call!A:W, 23, FALSE)</f>
        <v>118.5</v>
      </c>
      <c r="E54">
        <f>VLOOKUP(A54, Put!A:W, 23, FALSE)</f>
        <v>100.44999999999999</v>
      </c>
      <c r="F54">
        <f t="shared" si="0"/>
        <v>32.1</v>
      </c>
      <c r="G54">
        <f t="shared" si="1"/>
        <v>218.95</v>
      </c>
      <c r="H54">
        <f>VLOOKUP(A54, Call!A:I, 9, FALSE)</f>
        <v>0</v>
      </c>
      <c r="I54">
        <f>VLOOKUP(A54, Call!A:J, 10, FALSE)</f>
        <v>1</v>
      </c>
      <c r="J54">
        <f t="shared" si="2"/>
        <v>218.95</v>
      </c>
      <c r="K54">
        <f t="shared" si="3"/>
        <v>-6.0500000000000114</v>
      </c>
      <c r="L54">
        <f t="shared" si="4"/>
        <v>-2.6888888888888938E-2</v>
      </c>
      <c r="M54">
        <f t="shared" si="5"/>
        <v>32.69285714285715</v>
      </c>
    </row>
    <row r="55" spans="1:13" x14ac:dyDescent="0.25">
      <c r="A55" s="1">
        <v>45737</v>
      </c>
      <c r="B55">
        <f>VLOOKUP(A55, Call!A:P, 16, FALSE)</f>
        <v>112.6</v>
      </c>
      <c r="C55">
        <f>VLOOKUP(A55, Put!A:P, 16, FALSE)</f>
        <v>97.199999999999989</v>
      </c>
      <c r="D55">
        <f>VLOOKUP(A55, Call!A:W, 23, FALSE)</f>
        <v>162.30000000000001</v>
      </c>
      <c r="E55">
        <f>VLOOKUP(A55, Put!A:W, 23, FALSE)</f>
        <v>131.65</v>
      </c>
      <c r="F55">
        <f t="shared" si="0"/>
        <v>209.79999999999998</v>
      </c>
      <c r="G55">
        <f t="shared" si="1"/>
        <v>293.95000000000005</v>
      </c>
      <c r="H55">
        <f>VLOOKUP(A55, Call!A:I, 9, FALSE)</f>
        <v>0.89655172413793105</v>
      </c>
      <c r="I55">
        <f>VLOOKUP(A55, Call!A:J, 10, FALSE)</f>
        <v>0.10344827586206896</v>
      </c>
      <c r="J55">
        <f t="shared" si="2"/>
        <v>218.5051724137931</v>
      </c>
      <c r="K55">
        <f t="shared" si="3"/>
        <v>-0.44482758620688401</v>
      </c>
      <c r="L55">
        <f t="shared" si="4"/>
        <v>-2.0316400374829138E-3</v>
      </c>
      <c r="M55">
        <f t="shared" si="5"/>
        <v>32.248029556650266</v>
      </c>
    </row>
    <row r="56" spans="1:13" x14ac:dyDescent="0.25">
      <c r="A56" s="1">
        <v>45740</v>
      </c>
      <c r="B56">
        <f>VLOOKUP(A56, Call!A:P, 16, FALSE)</f>
        <v>95.15</v>
      </c>
      <c r="C56">
        <f>VLOOKUP(A56, Put!A:P, 16, FALSE)</f>
        <v>87.05</v>
      </c>
      <c r="D56">
        <f>VLOOKUP(A56, Call!A:W, 23, FALSE)</f>
        <v>144.44999999999999</v>
      </c>
      <c r="E56">
        <f>VLOOKUP(A56, Put!A:W, 23, FALSE)</f>
        <v>121</v>
      </c>
      <c r="F56">
        <f t="shared" si="0"/>
        <v>182.2</v>
      </c>
      <c r="G56">
        <f t="shared" si="1"/>
        <v>265.45</v>
      </c>
      <c r="H56">
        <f>VLOOKUP(A56, Call!A:I, 9, FALSE)</f>
        <v>0.7931034482758621</v>
      </c>
      <c r="I56">
        <f>VLOOKUP(A56, Call!A:J, 10, FALSE)</f>
        <v>0.20689655172413793</v>
      </c>
      <c r="J56">
        <f t="shared" si="2"/>
        <v>199.42413793103447</v>
      </c>
      <c r="K56">
        <f t="shared" si="3"/>
        <v>-19.081034482758639</v>
      </c>
      <c r="L56">
        <f t="shared" si="4"/>
        <v>-8.7325321739404979E-2</v>
      </c>
      <c r="M56">
        <f t="shared" si="5"/>
        <v>13.166995073891627</v>
      </c>
    </row>
    <row r="57" spans="1:13" x14ac:dyDescent="0.25">
      <c r="A57" s="1">
        <v>45741</v>
      </c>
      <c r="B57">
        <f>VLOOKUP(A57, Call!A:P, 16, FALSE)</f>
        <v>99.199999999999989</v>
      </c>
      <c r="C57">
        <f>VLOOKUP(A57, Put!A:P, 16, FALSE)</f>
        <v>77.45</v>
      </c>
      <c r="D57">
        <f>VLOOKUP(A57, Call!A:W, 23, FALSE)</f>
        <v>150.75</v>
      </c>
      <c r="E57">
        <f>VLOOKUP(A57, Put!A:W, 23, FALSE)</f>
        <v>113.35</v>
      </c>
      <c r="F57">
        <f t="shared" si="0"/>
        <v>176.64999999999998</v>
      </c>
      <c r="G57">
        <f t="shared" si="1"/>
        <v>264.10000000000002</v>
      </c>
      <c r="H57">
        <f>VLOOKUP(A57, Call!A:I, 9, FALSE)</f>
        <v>0.75862068965517238</v>
      </c>
      <c r="I57">
        <f>VLOOKUP(A57, Call!A:J, 10, FALSE)</f>
        <v>0.2413793103448276</v>
      </c>
      <c r="J57">
        <f t="shared" si="2"/>
        <v>197.75862068965515</v>
      </c>
      <c r="K57">
        <f t="shared" si="3"/>
        <v>-1.6655172413793196</v>
      </c>
      <c r="L57">
        <f t="shared" si="4"/>
        <v>-8.3516331506233929E-3</v>
      </c>
      <c r="M57">
        <f t="shared" si="5"/>
        <v>11.501477832512307</v>
      </c>
    </row>
    <row r="58" spans="1:13" x14ac:dyDescent="0.25">
      <c r="A58" s="1">
        <v>45742</v>
      </c>
      <c r="B58">
        <f>VLOOKUP(A58, Call!A:P, 16, FALSE)</f>
        <v>97.449999999999989</v>
      </c>
      <c r="C58">
        <f>VLOOKUP(A58, Put!A:P, 16, FALSE)</f>
        <v>86.85</v>
      </c>
      <c r="D58">
        <f>VLOOKUP(A58, Call!A:W, 23, FALSE)</f>
        <v>149.30000000000001</v>
      </c>
      <c r="E58">
        <f>VLOOKUP(A58, Put!A:W, 23, FALSE)</f>
        <v>123.5</v>
      </c>
      <c r="F58">
        <f t="shared" si="0"/>
        <v>184.29999999999998</v>
      </c>
      <c r="G58">
        <f t="shared" si="1"/>
        <v>272.8</v>
      </c>
      <c r="H58">
        <f>VLOOKUP(A58, Call!A:I, 9, FALSE)</f>
        <v>0.72413793103448276</v>
      </c>
      <c r="I58">
        <f>VLOOKUP(A58, Call!A:J, 10, FALSE)</f>
        <v>0.27586206896551724</v>
      </c>
      <c r="J58">
        <f t="shared" si="2"/>
        <v>208.71379310344827</v>
      </c>
      <c r="K58">
        <f t="shared" si="3"/>
        <v>10.955172413793122</v>
      </c>
      <c r="L58">
        <f t="shared" si="4"/>
        <v>5.5396687009590335E-2</v>
      </c>
      <c r="M58">
        <f t="shared" si="5"/>
        <v>22.456650246305429</v>
      </c>
    </row>
    <row r="59" spans="1:13" x14ac:dyDescent="0.25">
      <c r="A59" s="1">
        <v>45743</v>
      </c>
      <c r="B59">
        <f>VLOOKUP(A59, Call!A:P, 16, FALSE)</f>
        <v>98.15</v>
      </c>
      <c r="C59">
        <f>VLOOKUP(A59, Put!A:P, 16, FALSE)</f>
        <v>86</v>
      </c>
      <c r="D59">
        <f>VLOOKUP(A59, Call!A:W, 23, FALSE)</f>
        <v>150.80000000000001</v>
      </c>
      <c r="E59">
        <f>VLOOKUP(A59, Put!A:W, 23, FALSE)</f>
        <v>123.6</v>
      </c>
      <c r="F59">
        <f t="shared" si="0"/>
        <v>184.15</v>
      </c>
      <c r="G59">
        <f t="shared" si="1"/>
        <v>274.39999999999998</v>
      </c>
      <c r="H59">
        <f>VLOOKUP(A59, Call!A:I, 9, FALSE)</f>
        <v>0.68965517241379315</v>
      </c>
      <c r="I59">
        <f>VLOOKUP(A59, Call!A:J, 10, FALSE)</f>
        <v>0.31034482758620691</v>
      </c>
      <c r="J59">
        <f t="shared" si="2"/>
        <v>212.15862068965518</v>
      </c>
      <c r="K59">
        <f t="shared" si="3"/>
        <v>3.4448275862069124</v>
      </c>
      <c r="L59">
        <f t="shared" si="4"/>
        <v>1.6505030812695238E-2</v>
      </c>
      <c r="M59">
        <f t="shared" si="5"/>
        <v>25.901477832512342</v>
      </c>
    </row>
    <row r="60" spans="1:13" x14ac:dyDescent="0.25">
      <c r="A60" s="1">
        <v>45744</v>
      </c>
      <c r="B60">
        <f>VLOOKUP(A60, Call!A:P, 16, FALSE)</f>
        <v>97.95</v>
      </c>
      <c r="C60">
        <f>VLOOKUP(A60, Put!A:P, 16, FALSE)</f>
        <v>108.05</v>
      </c>
      <c r="D60">
        <f>VLOOKUP(A60, Call!A:W, 23, FALSE)</f>
        <v>153.9</v>
      </c>
      <c r="E60">
        <f>VLOOKUP(A60, Put!A:W, 23, FALSE)</f>
        <v>149.35000000000002</v>
      </c>
      <c r="F60">
        <f t="shared" si="0"/>
        <v>206</v>
      </c>
      <c r="G60">
        <f t="shared" si="1"/>
        <v>303.25</v>
      </c>
      <c r="H60">
        <f>VLOOKUP(A60, Call!A:I, 9, FALSE)</f>
        <v>0.65517241379310343</v>
      </c>
      <c r="I60">
        <f>VLOOKUP(A60, Call!A:J, 10, FALSE)</f>
        <v>0.34482758620689657</v>
      </c>
      <c r="J60">
        <f t="shared" si="2"/>
        <v>239.5344827586207</v>
      </c>
      <c r="K60">
        <f t="shared" si="3"/>
        <v>27.375862068965517</v>
      </c>
      <c r="L60">
        <f t="shared" si="4"/>
        <v>0.12903487956311152</v>
      </c>
      <c r="M60">
        <f t="shared" si="5"/>
        <v>53.277339901477859</v>
      </c>
    </row>
    <row r="61" spans="1:13" x14ac:dyDescent="0.25">
      <c r="A61" s="1">
        <v>45747</v>
      </c>
      <c r="B61">
        <f>VLOOKUP(A61, Call!A:P, 16, FALSE)</f>
        <v>98.050000000000011</v>
      </c>
      <c r="C61">
        <f>VLOOKUP(A61, Put!A:P, 16, FALSE)</f>
        <v>95.949999999999989</v>
      </c>
      <c r="D61">
        <f>VLOOKUP(A61, Call!A:W, 23, FALSE)</f>
        <v>154.44999999999999</v>
      </c>
      <c r="E61">
        <f>VLOOKUP(A61, Put!A:W, 23, FALSE)</f>
        <v>138</v>
      </c>
      <c r="F61">
        <f t="shared" si="0"/>
        <v>194</v>
      </c>
      <c r="G61">
        <f t="shared" si="1"/>
        <v>292.45</v>
      </c>
      <c r="H61">
        <f>VLOOKUP(A61, Call!A:I, 9, FALSE)</f>
        <v>0.55172413793103448</v>
      </c>
      <c r="I61">
        <f>VLOOKUP(A61, Call!A:J, 10, FALSE)</f>
        <v>0.44827586206896552</v>
      </c>
      <c r="J61">
        <f t="shared" si="2"/>
        <v>238.13275862068963</v>
      </c>
      <c r="K61">
        <f t="shared" si="3"/>
        <v>-1.401724137931069</v>
      </c>
      <c r="L61">
        <f t="shared" si="4"/>
        <v>-5.8518678471173972E-3</v>
      </c>
      <c r="M61">
        <f t="shared" si="5"/>
        <v>51.87561576354679</v>
      </c>
    </row>
    <row r="62" spans="1:13" x14ac:dyDescent="0.25">
      <c r="A62" s="1">
        <v>45748</v>
      </c>
      <c r="B62">
        <f>VLOOKUP(A62, Call!A:P, 16, FALSE)</f>
        <v>96.35</v>
      </c>
      <c r="C62">
        <f>VLOOKUP(A62, Put!A:P, 16, FALSE)</f>
        <v>91.75</v>
      </c>
      <c r="D62">
        <f>VLOOKUP(A62, Call!A:W, 23, FALSE)</f>
        <v>153.15</v>
      </c>
      <c r="E62">
        <f>VLOOKUP(A62, Put!A:W, 23, FALSE)</f>
        <v>134.05000000000001</v>
      </c>
      <c r="F62">
        <f t="shared" si="0"/>
        <v>188.1</v>
      </c>
      <c r="G62">
        <f t="shared" si="1"/>
        <v>287.20000000000005</v>
      </c>
      <c r="H62">
        <f>VLOOKUP(A62, Call!A:I, 9, FALSE)</f>
        <v>0.51724137931034486</v>
      </c>
      <c r="I62">
        <f>VLOOKUP(A62, Call!A:J, 10, FALSE)</f>
        <v>0.48275862068965519</v>
      </c>
      <c r="J62">
        <f t="shared" si="2"/>
        <v>235.94137931034487</v>
      </c>
      <c r="K62">
        <f t="shared" si="3"/>
        <v>-2.1913793103447574</v>
      </c>
      <c r="L62">
        <f t="shared" si="4"/>
        <v>-9.2023429411293278E-3</v>
      </c>
      <c r="M62">
        <f t="shared" si="5"/>
        <v>49.684236453202033</v>
      </c>
    </row>
    <row r="63" spans="1:13" x14ac:dyDescent="0.25">
      <c r="A63" s="1">
        <v>45749</v>
      </c>
      <c r="B63">
        <f>VLOOKUP(A63, Call!A:P, 16, FALSE)</f>
        <v>44.650000000000006</v>
      </c>
      <c r="C63">
        <f>VLOOKUP(A63, Put!A:P, 16, FALSE)</f>
        <v>161.60000000000002</v>
      </c>
      <c r="D63">
        <f>VLOOKUP(A63, Call!A:W, 23, FALSE)</f>
        <v>97</v>
      </c>
      <c r="E63">
        <f>VLOOKUP(A63, Put!A:W, 23, FALSE)</f>
        <v>198.65</v>
      </c>
      <c r="F63">
        <f t="shared" si="0"/>
        <v>206.25000000000003</v>
      </c>
      <c r="G63">
        <f t="shared" si="1"/>
        <v>295.64999999999998</v>
      </c>
      <c r="H63">
        <f>VLOOKUP(A63, Call!A:I, 9, FALSE)</f>
        <v>0.48275862068965519</v>
      </c>
      <c r="I63">
        <f>VLOOKUP(A63, Call!A:J, 10, FALSE)</f>
        <v>0.51724137931034486</v>
      </c>
      <c r="J63">
        <f t="shared" si="2"/>
        <v>252.49137931034485</v>
      </c>
      <c r="K63">
        <f t="shared" si="3"/>
        <v>16.549999999999983</v>
      </c>
      <c r="L63">
        <f t="shared" si="4"/>
        <v>7.0144542039957236E-2</v>
      </c>
      <c r="M63">
        <f t="shared" si="5"/>
        <v>66.234236453202016</v>
      </c>
    </row>
    <row r="64" spans="1:13" x14ac:dyDescent="0.25">
      <c r="A64" s="1">
        <v>45750</v>
      </c>
      <c r="B64">
        <f>VLOOKUP(A64, Call!A:P, 16, FALSE)</f>
        <v>116.44999999999999</v>
      </c>
      <c r="C64">
        <f>VLOOKUP(A64, Put!A:P, 16, FALSE)</f>
        <v>119.65</v>
      </c>
      <c r="D64">
        <f>VLOOKUP(A64, Call!A:W, 23, FALSE)</f>
        <v>186.15</v>
      </c>
      <c r="E64">
        <f>VLOOKUP(A64, Put!A:W, 23, FALSE)</f>
        <v>175.85</v>
      </c>
      <c r="F64">
        <f t="shared" si="0"/>
        <v>236.1</v>
      </c>
      <c r="G64">
        <f t="shared" si="1"/>
        <v>362</v>
      </c>
      <c r="H64">
        <f>VLOOKUP(A64, Call!A:I, 9, FALSE)</f>
        <v>0.44827586206896552</v>
      </c>
      <c r="I64">
        <f>VLOOKUP(A64, Call!A:J, 10, FALSE)</f>
        <v>0.55172413793103448</v>
      </c>
      <c r="J64">
        <f t="shared" si="2"/>
        <v>305.56206896551726</v>
      </c>
      <c r="K64">
        <f t="shared" si="3"/>
        <v>53.070689655172401</v>
      </c>
      <c r="L64">
        <f t="shared" si="4"/>
        <v>0.21018812523472968</v>
      </c>
      <c r="M64">
        <f t="shared" si="5"/>
        <v>119.30492610837442</v>
      </c>
    </row>
    <row r="65" spans="1:13" x14ac:dyDescent="0.25">
      <c r="A65" s="1">
        <v>45751</v>
      </c>
      <c r="B65">
        <f>VLOOKUP(A65, Call!A:P, 16, FALSE)</f>
        <v>172.55</v>
      </c>
      <c r="C65">
        <f>VLOOKUP(A65, Put!A:P, 16, FALSE)</f>
        <v>177.1</v>
      </c>
      <c r="D65">
        <f>VLOOKUP(A65, Call!A:W, 23, FALSE)</f>
        <v>242.9</v>
      </c>
      <c r="E65">
        <f>VLOOKUP(A65, Put!A:W, 23, FALSE)</f>
        <v>235.1</v>
      </c>
      <c r="F65">
        <f t="shared" si="0"/>
        <v>349.65</v>
      </c>
      <c r="G65">
        <f t="shared" si="1"/>
        <v>478</v>
      </c>
      <c r="H65">
        <f>VLOOKUP(A65, Call!A:I, 9, FALSE)</f>
        <v>0.41379310344827586</v>
      </c>
      <c r="I65">
        <f>VLOOKUP(A65, Call!A:J, 10, FALSE)</f>
        <v>0.58620689655172409</v>
      </c>
      <c r="J65">
        <f t="shared" si="2"/>
        <v>424.88965517241377</v>
      </c>
      <c r="K65">
        <f t="shared" si="3"/>
        <v>119.32758620689651</v>
      </c>
      <c r="L65">
        <f t="shared" si="4"/>
        <v>0.39051832123954711</v>
      </c>
      <c r="M65">
        <f t="shared" si="5"/>
        <v>238.63251231527093</v>
      </c>
    </row>
    <row r="66" spans="1:13" x14ac:dyDescent="0.25">
      <c r="A66" s="1">
        <v>45754</v>
      </c>
      <c r="B66">
        <f>VLOOKUP(A66, Call!A:P, 16, FALSE)</f>
        <v>195.39999999999998</v>
      </c>
      <c r="C66">
        <f>VLOOKUP(A66, Put!A:P, 16, FALSE)</f>
        <v>165.60000000000002</v>
      </c>
      <c r="D66">
        <f>VLOOKUP(A66, Call!A:W, 23, FALSE)</f>
        <v>264.39999999999998</v>
      </c>
      <c r="E66">
        <f>VLOOKUP(A66, Put!A:W, 23, FALSE)</f>
        <v>221.55</v>
      </c>
      <c r="F66">
        <f t="shared" si="0"/>
        <v>361</v>
      </c>
      <c r="G66">
        <f t="shared" si="1"/>
        <v>485.95</v>
      </c>
      <c r="H66">
        <f>VLOOKUP(A66, Call!A:I, 9, FALSE)</f>
        <v>0.31034482758620691</v>
      </c>
      <c r="I66">
        <f>VLOOKUP(A66, Call!A:J, 10, FALSE)</f>
        <v>0.68965517241379315</v>
      </c>
      <c r="J66">
        <f t="shared" si="2"/>
        <v>447.17241379310349</v>
      </c>
      <c r="K66">
        <f t="shared" si="3"/>
        <v>22.282758620689719</v>
      </c>
      <c r="L66">
        <f t="shared" si="4"/>
        <v>5.2443636481683029E-2</v>
      </c>
      <c r="M66">
        <f t="shared" si="5"/>
        <v>260.91527093596062</v>
      </c>
    </row>
    <row r="67" spans="1:13" x14ac:dyDescent="0.25">
      <c r="A67" s="1">
        <v>45755</v>
      </c>
      <c r="B67">
        <f>VLOOKUP(A67, Call!A:P, 16, FALSE)</f>
        <v>179.35</v>
      </c>
      <c r="C67">
        <f>VLOOKUP(A67, Put!A:P, 16, FALSE)</f>
        <v>179.8</v>
      </c>
      <c r="D67">
        <f>VLOOKUP(A67, Call!A:W, 23, FALSE)</f>
        <v>261.60000000000002</v>
      </c>
      <c r="E67">
        <f>VLOOKUP(A67, Put!A:W, 23, FALSE)</f>
        <v>251</v>
      </c>
      <c r="F67">
        <f t="shared" ref="F67:F130" si="6">B67+C67</f>
        <v>359.15</v>
      </c>
      <c r="G67">
        <f t="shared" ref="G67:G130" si="7">D67+E67</f>
        <v>512.6</v>
      </c>
      <c r="H67">
        <f>VLOOKUP(A67, Call!A:I, 9, FALSE)</f>
        <v>0.27586206896551724</v>
      </c>
      <c r="I67">
        <f>VLOOKUP(A67, Call!A:J, 10, FALSE)</f>
        <v>0.72413793103448276</v>
      </c>
      <c r="J67">
        <f t="shared" ref="J67:J130" si="8">F67*H67+G67*I67</f>
        <v>470.26896551724144</v>
      </c>
      <c r="K67">
        <f t="shared" si="3"/>
        <v>23.096551724137953</v>
      </c>
      <c r="L67">
        <f t="shared" si="4"/>
        <v>5.1650215916101215E-2</v>
      </c>
      <c r="M67">
        <f t="shared" si="5"/>
        <v>284.01182266009857</v>
      </c>
    </row>
    <row r="68" spans="1:13" x14ac:dyDescent="0.25">
      <c r="A68" s="1">
        <v>45756</v>
      </c>
      <c r="B68">
        <f>VLOOKUP(A68, Call!A:P, 16, FALSE)</f>
        <v>124.15</v>
      </c>
      <c r="C68">
        <f>VLOOKUP(A68, Put!A:P, 16, FALSE)</f>
        <v>95.85</v>
      </c>
      <c r="D68">
        <f>VLOOKUP(A68, Call!A:W, 23, FALSE)</f>
        <v>200.3</v>
      </c>
      <c r="E68">
        <f>VLOOKUP(A68, Put!A:W, 23, FALSE)</f>
        <v>157.85000000000002</v>
      </c>
      <c r="F68">
        <f t="shared" si="6"/>
        <v>220</v>
      </c>
      <c r="G68">
        <f t="shared" si="7"/>
        <v>358.15000000000003</v>
      </c>
      <c r="H68">
        <f>VLOOKUP(A68, Call!A:I, 9, FALSE)</f>
        <v>0.2413793103448276</v>
      </c>
      <c r="I68">
        <f>VLOOKUP(A68, Call!A:J, 10, FALSE)</f>
        <v>0.75862068965517238</v>
      </c>
      <c r="J68">
        <f t="shared" si="8"/>
        <v>324.80344827586208</v>
      </c>
      <c r="K68">
        <f t="shared" ref="K68:K131" si="9">J68-J67</f>
        <v>-145.46551724137936</v>
      </c>
      <c r="L68">
        <f t="shared" ref="L68:L131" si="10">(J68-J67)/J67</f>
        <v>-0.30932408452976295</v>
      </c>
      <c r="M68">
        <f t="shared" ref="M68:M131" si="11">M67 + K68</f>
        <v>138.54630541871921</v>
      </c>
    </row>
    <row r="69" spans="1:13" x14ac:dyDescent="0.25">
      <c r="A69" s="1">
        <v>45757</v>
      </c>
      <c r="B69">
        <f>VLOOKUP(A69, Call!A:P, 16, FALSE)</f>
        <v>135.94999999999999</v>
      </c>
      <c r="C69">
        <f>VLOOKUP(A69, Put!A:P, 16, FALSE)</f>
        <v>131.25</v>
      </c>
      <c r="D69">
        <f>VLOOKUP(A69, Call!A:W, 23, FALSE)</f>
        <v>230.7</v>
      </c>
      <c r="E69">
        <f>VLOOKUP(A69, Put!A:W, 23, FALSE)</f>
        <v>214.2</v>
      </c>
      <c r="F69">
        <f t="shared" si="6"/>
        <v>267.2</v>
      </c>
      <c r="G69">
        <f t="shared" si="7"/>
        <v>444.9</v>
      </c>
      <c r="H69">
        <f>VLOOKUP(A69, Call!A:I, 9, FALSE)</f>
        <v>0.20689655172413793</v>
      </c>
      <c r="I69">
        <f>VLOOKUP(A69, Call!A:J, 10, FALSE)</f>
        <v>0.7931034482758621</v>
      </c>
      <c r="J69">
        <f t="shared" si="8"/>
        <v>408.13448275862072</v>
      </c>
      <c r="K69">
        <f t="shared" si="9"/>
        <v>83.331034482758639</v>
      </c>
      <c r="L69">
        <f t="shared" si="10"/>
        <v>0.25655834297665436</v>
      </c>
      <c r="M69">
        <f t="shared" si="11"/>
        <v>221.87733990147785</v>
      </c>
    </row>
    <row r="70" spans="1:13" x14ac:dyDescent="0.25">
      <c r="A70" s="1">
        <v>45758</v>
      </c>
      <c r="B70">
        <f>VLOOKUP(A70, Call!A:P, 16, FALSE)</f>
        <v>105.95</v>
      </c>
      <c r="C70">
        <f>VLOOKUP(A70, Put!A:P, 16, FALSE)</f>
        <v>105.15</v>
      </c>
      <c r="D70">
        <f>VLOOKUP(A70, Call!A:W, 23, FALSE)</f>
        <v>212.7</v>
      </c>
      <c r="E70">
        <f>VLOOKUP(A70, Put!A:W, 23, FALSE)</f>
        <v>198.85000000000002</v>
      </c>
      <c r="F70">
        <f t="shared" si="6"/>
        <v>211.10000000000002</v>
      </c>
      <c r="G70">
        <f t="shared" si="7"/>
        <v>411.55</v>
      </c>
      <c r="H70">
        <f>VLOOKUP(A70, Call!A:I, 9, FALSE)</f>
        <v>0.17241379310344829</v>
      </c>
      <c r="I70">
        <f>VLOOKUP(A70, Call!A:J, 10, FALSE)</f>
        <v>0.82758620689655171</v>
      </c>
      <c r="J70">
        <f t="shared" si="8"/>
        <v>376.98965517241379</v>
      </c>
      <c r="K70">
        <f t="shared" si="9"/>
        <v>-31.144827586206929</v>
      </c>
      <c r="L70">
        <f t="shared" si="10"/>
        <v>-7.6310208771618621E-2</v>
      </c>
      <c r="M70">
        <f t="shared" si="11"/>
        <v>190.73251231527092</v>
      </c>
    </row>
    <row r="71" spans="1:13" x14ac:dyDescent="0.25">
      <c r="A71" s="1">
        <v>45761</v>
      </c>
      <c r="B71">
        <f>VLOOKUP(A71, Call!A:P, 16, FALSE)</f>
        <v>59.150000000000006</v>
      </c>
      <c r="C71">
        <f>VLOOKUP(A71, Put!A:P, 16, FALSE)</f>
        <v>63.05</v>
      </c>
      <c r="D71">
        <f>VLOOKUP(A71, Call!A:W, 23, FALSE)</f>
        <v>171.85000000000002</v>
      </c>
      <c r="E71">
        <f>VLOOKUP(A71, Put!A:W, 23, FALSE)</f>
        <v>161.80000000000001</v>
      </c>
      <c r="F71">
        <f t="shared" si="6"/>
        <v>122.2</v>
      </c>
      <c r="G71">
        <f t="shared" si="7"/>
        <v>333.65000000000003</v>
      </c>
      <c r="H71">
        <f>VLOOKUP(A71, Call!A:I, 9, FALSE)</f>
        <v>6.8965517241379309E-2</v>
      </c>
      <c r="I71">
        <f>VLOOKUP(A71, Call!A:J, 10, FALSE)</f>
        <v>0.93103448275862066</v>
      </c>
      <c r="J71">
        <f t="shared" si="8"/>
        <v>319.06724137931036</v>
      </c>
      <c r="K71">
        <f t="shared" si="9"/>
        <v>-57.922413793103431</v>
      </c>
      <c r="L71">
        <f t="shared" si="10"/>
        <v>-0.15364457087453232</v>
      </c>
      <c r="M71">
        <f t="shared" si="11"/>
        <v>132.81009852216749</v>
      </c>
    </row>
    <row r="72" spans="1:13" x14ac:dyDescent="0.25">
      <c r="A72" s="1">
        <v>45762</v>
      </c>
      <c r="B72">
        <f>VLOOKUP(A72, Call!A:P, 16, FALSE)</f>
        <v>38.799999999999997</v>
      </c>
      <c r="C72">
        <f>VLOOKUP(A72, Put!A:P, 16, FALSE)</f>
        <v>38.75</v>
      </c>
      <c r="D72">
        <f>VLOOKUP(A72, Call!A:W, 23, FALSE)</f>
        <v>164.14999999999998</v>
      </c>
      <c r="E72">
        <f>VLOOKUP(A72, Put!A:W, 23, FALSE)</f>
        <v>150.35000000000002</v>
      </c>
      <c r="F72">
        <f t="shared" si="6"/>
        <v>77.55</v>
      </c>
      <c r="G72">
        <f t="shared" si="7"/>
        <v>314.5</v>
      </c>
      <c r="H72">
        <f>VLOOKUP(A72, Call!A:I, 9, FALSE)</f>
        <v>3.4482758620689655E-2</v>
      </c>
      <c r="I72">
        <f>VLOOKUP(A72, Call!A:J, 10, FALSE)</f>
        <v>0.96551724137931039</v>
      </c>
      <c r="J72">
        <f t="shared" si="8"/>
        <v>306.3293103448276</v>
      </c>
      <c r="K72">
        <f t="shared" si="9"/>
        <v>-12.737931034482756</v>
      </c>
      <c r="L72">
        <f t="shared" si="10"/>
        <v>-3.9922403125489697E-2</v>
      </c>
      <c r="M72">
        <f t="shared" si="11"/>
        <v>120.07216748768474</v>
      </c>
    </row>
    <row r="73" spans="1:13" x14ac:dyDescent="0.25">
      <c r="A73" s="1">
        <v>45763</v>
      </c>
      <c r="B73">
        <f>VLOOKUP(A73, Call!A:P, 16, FALSE)</f>
        <v>29.9</v>
      </c>
      <c r="C73">
        <f>VLOOKUP(A73, Put!A:P, 16, FALSE)</f>
        <v>34.75</v>
      </c>
      <c r="D73">
        <f>VLOOKUP(A73, Call!A:W, 23, FALSE)</f>
        <v>174.75</v>
      </c>
      <c r="E73">
        <f>VLOOKUP(A73, Put!A:W, 23, FALSE)</f>
        <v>167.15</v>
      </c>
      <c r="F73">
        <f t="shared" si="6"/>
        <v>64.650000000000006</v>
      </c>
      <c r="G73">
        <f t="shared" si="7"/>
        <v>341.9</v>
      </c>
      <c r="H73">
        <f>VLOOKUP(A73, Call!A:I, 9, FALSE)</f>
        <v>0</v>
      </c>
      <c r="I73">
        <f>VLOOKUP(A73, Call!A:J, 10, FALSE)</f>
        <v>1</v>
      </c>
      <c r="J73">
        <f t="shared" si="8"/>
        <v>341.9</v>
      </c>
      <c r="K73">
        <f t="shared" si="9"/>
        <v>35.570689655172373</v>
      </c>
      <c r="L73">
        <f t="shared" si="10"/>
        <v>0.1161191190458768</v>
      </c>
      <c r="M73">
        <f t="shared" si="11"/>
        <v>155.64285714285711</v>
      </c>
    </row>
    <row r="74" spans="1:13" x14ac:dyDescent="0.25">
      <c r="A74" s="1">
        <v>45764</v>
      </c>
      <c r="B74">
        <f>VLOOKUP(A74, Call!A:P, 16, FALSE)</f>
        <v>166.7</v>
      </c>
      <c r="C74">
        <f>VLOOKUP(A74, Put!A:P, 16, FALSE)</f>
        <v>142</v>
      </c>
      <c r="D74">
        <f>VLOOKUP(A74, Call!A:W, 23, FALSE)</f>
        <v>238.64999999999998</v>
      </c>
      <c r="E74">
        <f>VLOOKUP(A74, Put!A:W, 23, FALSE)</f>
        <v>197.55</v>
      </c>
      <c r="F74">
        <f t="shared" si="6"/>
        <v>308.7</v>
      </c>
      <c r="G74">
        <f t="shared" si="7"/>
        <v>436.2</v>
      </c>
      <c r="H74">
        <f>VLOOKUP(A74, Call!A:I, 9, FALSE)</f>
        <v>0</v>
      </c>
      <c r="I74">
        <f>VLOOKUP(A74, Call!A:J, 10, FALSE)</f>
        <v>1</v>
      </c>
      <c r="J74">
        <f t="shared" si="8"/>
        <v>436.2</v>
      </c>
      <c r="K74">
        <f t="shared" si="9"/>
        <v>94.300000000000011</v>
      </c>
      <c r="L74">
        <f t="shared" si="10"/>
        <v>0.27581164083065229</v>
      </c>
      <c r="M74">
        <f t="shared" si="11"/>
        <v>249.94285714285712</v>
      </c>
    </row>
    <row r="75" spans="1:13" x14ac:dyDescent="0.25">
      <c r="A75" s="1">
        <v>45768</v>
      </c>
      <c r="B75">
        <f>VLOOKUP(A75, Call!A:P, 16, FALSE)</f>
        <v>168.55</v>
      </c>
      <c r="C75">
        <f>VLOOKUP(A75, Put!A:P, 16, FALSE)</f>
        <v>159.75</v>
      </c>
      <c r="D75">
        <f>VLOOKUP(A75, Call!A:W, 23, FALSE)</f>
        <v>239.9</v>
      </c>
      <c r="E75">
        <f>VLOOKUP(A75, Put!A:W, 23, FALSE)</f>
        <v>215.95</v>
      </c>
      <c r="F75">
        <f t="shared" si="6"/>
        <v>328.3</v>
      </c>
      <c r="G75">
        <f t="shared" si="7"/>
        <v>455.85</v>
      </c>
      <c r="H75">
        <f>VLOOKUP(A75, Call!A:I, 9, FALSE)</f>
        <v>0.8571428571428571</v>
      </c>
      <c r="I75">
        <f>VLOOKUP(A75, Call!A:J, 10, FALSE)</f>
        <v>0.14285714285714285</v>
      </c>
      <c r="J75">
        <f t="shared" si="8"/>
        <v>346.52142857142854</v>
      </c>
      <c r="K75">
        <f t="shared" si="9"/>
        <v>-89.678571428571445</v>
      </c>
      <c r="L75">
        <f t="shared" si="10"/>
        <v>-0.20559048929062687</v>
      </c>
      <c r="M75">
        <f t="shared" si="11"/>
        <v>160.26428571428568</v>
      </c>
    </row>
    <row r="76" spans="1:13" x14ac:dyDescent="0.25">
      <c r="A76" s="1">
        <v>45769</v>
      </c>
      <c r="B76">
        <f>VLOOKUP(A76, Call!A:P, 16, FALSE)</f>
        <v>152.35</v>
      </c>
      <c r="C76">
        <f>VLOOKUP(A76, Put!A:P, 16, FALSE)</f>
        <v>144.25</v>
      </c>
      <c r="D76">
        <f>VLOOKUP(A76, Call!A:W, 23, FALSE)</f>
        <v>226.45</v>
      </c>
      <c r="E76">
        <f>VLOOKUP(A76, Put!A:W, 23, FALSE)</f>
        <v>202.45</v>
      </c>
      <c r="F76">
        <f t="shared" si="6"/>
        <v>296.60000000000002</v>
      </c>
      <c r="G76">
        <f t="shared" si="7"/>
        <v>428.9</v>
      </c>
      <c r="H76">
        <f>VLOOKUP(A76, Call!A:I, 9, FALSE)</f>
        <v>0.82857142857142863</v>
      </c>
      <c r="I76">
        <f>VLOOKUP(A76, Call!A:J, 10, FALSE)</f>
        <v>0.17142857142857143</v>
      </c>
      <c r="J76">
        <f t="shared" si="8"/>
        <v>319.28000000000003</v>
      </c>
      <c r="K76">
        <f t="shared" si="9"/>
        <v>-27.241428571428514</v>
      </c>
      <c r="L76">
        <f t="shared" si="10"/>
        <v>-7.8613979758002855E-2</v>
      </c>
      <c r="M76">
        <f t="shared" si="11"/>
        <v>133.02285714285716</v>
      </c>
    </row>
    <row r="77" spans="1:13" x14ac:dyDescent="0.25">
      <c r="A77" s="1">
        <v>45770</v>
      </c>
      <c r="B77">
        <f>VLOOKUP(A77, Call!A:P, 16, FALSE)</f>
        <v>149.05000000000001</v>
      </c>
      <c r="C77">
        <f>VLOOKUP(A77, Put!A:P, 16, FALSE)</f>
        <v>126.3</v>
      </c>
      <c r="D77">
        <f>VLOOKUP(A77, Call!A:W, 23, FALSE)</f>
        <v>224.4</v>
      </c>
      <c r="E77">
        <f>VLOOKUP(A77, Put!A:W, 23, FALSE)</f>
        <v>186</v>
      </c>
      <c r="F77">
        <f t="shared" si="6"/>
        <v>275.35000000000002</v>
      </c>
      <c r="G77">
        <f t="shared" si="7"/>
        <v>410.4</v>
      </c>
      <c r="H77">
        <f>VLOOKUP(A77, Call!A:I, 9, FALSE)</f>
        <v>0.8</v>
      </c>
      <c r="I77">
        <f>VLOOKUP(A77, Call!A:J, 10, FALSE)</f>
        <v>0.2</v>
      </c>
      <c r="J77">
        <f t="shared" si="8"/>
        <v>302.36</v>
      </c>
      <c r="K77">
        <f t="shared" si="9"/>
        <v>-16.920000000000016</v>
      </c>
      <c r="L77">
        <f t="shared" si="10"/>
        <v>-5.2994237033325023E-2</v>
      </c>
      <c r="M77">
        <f t="shared" si="11"/>
        <v>116.10285714285715</v>
      </c>
    </row>
    <row r="78" spans="1:13" x14ac:dyDescent="0.25">
      <c r="A78" s="1">
        <v>45771</v>
      </c>
      <c r="B78">
        <f>VLOOKUP(A78, Call!A:P, 16, FALSE)</f>
        <v>134.94999999999999</v>
      </c>
      <c r="C78">
        <f>VLOOKUP(A78, Put!A:P, 16, FALSE)</f>
        <v>117.3</v>
      </c>
      <c r="D78">
        <f>VLOOKUP(A78, Call!A:W, 23, FALSE)</f>
        <v>209.9</v>
      </c>
      <c r="E78">
        <f>VLOOKUP(A78, Put!A:W, 23, FALSE)</f>
        <v>175.4</v>
      </c>
      <c r="F78">
        <f t="shared" si="6"/>
        <v>252.25</v>
      </c>
      <c r="G78">
        <f t="shared" si="7"/>
        <v>385.3</v>
      </c>
      <c r="H78">
        <f>VLOOKUP(A78, Call!A:I, 9, FALSE)</f>
        <v>0.77142857142857146</v>
      </c>
      <c r="I78">
        <f>VLOOKUP(A78, Call!A:J, 10, FALSE)</f>
        <v>0.22857142857142856</v>
      </c>
      <c r="J78">
        <f t="shared" si="8"/>
        <v>282.66142857142859</v>
      </c>
      <c r="K78">
        <f t="shared" si="9"/>
        <v>-19.698571428571427</v>
      </c>
      <c r="L78">
        <f t="shared" si="10"/>
        <v>-6.5149396178632843E-2</v>
      </c>
      <c r="M78">
        <f t="shared" si="11"/>
        <v>96.40428571428572</v>
      </c>
    </row>
    <row r="79" spans="1:13" x14ac:dyDescent="0.25">
      <c r="A79" s="1">
        <v>45772</v>
      </c>
      <c r="B79">
        <f>VLOOKUP(A79, Call!A:P, 16, FALSE)</f>
        <v>119.8</v>
      </c>
      <c r="C79">
        <f>VLOOKUP(A79, Put!A:P, 16, FALSE)</f>
        <v>110</v>
      </c>
      <c r="D79">
        <f>VLOOKUP(A79, Call!A:W, 23, FALSE)</f>
        <v>195.95</v>
      </c>
      <c r="E79">
        <f>VLOOKUP(A79, Put!A:W, 23, FALSE)</f>
        <v>168.85000000000002</v>
      </c>
      <c r="F79">
        <f t="shared" si="6"/>
        <v>229.8</v>
      </c>
      <c r="G79">
        <f t="shared" si="7"/>
        <v>364.8</v>
      </c>
      <c r="H79">
        <f>VLOOKUP(A79, Call!A:I, 9, FALSE)</f>
        <v>0.74285714285714288</v>
      </c>
      <c r="I79">
        <f>VLOOKUP(A79, Call!A:J, 10, FALSE)</f>
        <v>0.25714285714285712</v>
      </c>
      <c r="J79">
        <f t="shared" si="8"/>
        <v>264.51428571428573</v>
      </c>
      <c r="K79">
        <f t="shared" si="9"/>
        <v>-18.147142857142853</v>
      </c>
      <c r="L79">
        <f t="shared" si="10"/>
        <v>-6.4200987551993022E-2</v>
      </c>
      <c r="M79">
        <f t="shared" si="11"/>
        <v>78.257142857142867</v>
      </c>
    </row>
    <row r="80" spans="1:13" x14ac:dyDescent="0.25">
      <c r="A80" s="1">
        <v>45775</v>
      </c>
      <c r="B80">
        <f>VLOOKUP(A80, Call!A:P, 16, FALSE)</f>
        <v>108.30000000000001</v>
      </c>
      <c r="C80">
        <f>VLOOKUP(A80, Put!A:P, 16, FALSE)</f>
        <v>110.4</v>
      </c>
      <c r="D80">
        <f>VLOOKUP(A80, Call!A:W, 23, FALSE)</f>
        <v>186.6</v>
      </c>
      <c r="E80">
        <f>VLOOKUP(A80, Put!A:W, 23, FALSE)</f>
        <v>171.5</v>
      </c>
      <c r="F80">
        <f t="shared" si="6"/>
        <v>218.70000000000002</v>
      </c>
      <c r="G80">
        <f t="shared" si="7"/>
        <v>358.1</v>
      </c>
      <c r="H80">
        <f>VLOOKUP(A80, Call!A:I, 9, FALSE)</f>
        <v>0.65714285714285714</v>
      </c>
      <c r="I80">
        <f>VLOOKUP(A80, Call!A:J, 10, FALSE)</f>
        <v>0.34285714285714286</v>
      </c>
      <c r="J80">
        <f t="shared" si="8"/>
        <v>266.49428571428575</v>
      </c>
      <c r="K80">
        <f t="shared" si="9"/>
        <v>1.9800000000000182</v>
      </c>
      <c r="L80">
        <f t="shared" si="10"/>
        <v>7.4854180168503603E-3</v>
      </c>
      <c r="M80">
        <f t="shared" si="11"/>
        <v>80.237142857142885</v>
      </c>
    </row>
    <row r="81" spans="1:13" x14ac:dyDescent="0.25">
      <c r="A81" s="1">
        <v>45776</v>
      </c>
      <c r="B81">
        <f>VLOOKUP(A81, Call!A:P, 16, FALSE)</f>
        <v>104.5</v>
      </c>
      <c r="C81">
        <f>VLOOKUP(A81, Put!A:P, 16, FALSE)</f>
        <v>99.45</v>
      </c>
      <c r="D81">
        <f>VLOOKUP(A81, Call!A:W, 23, FALSE)</f>
        <v>185.45</v>
      </c>
      <c r="E81">
        <f>VLOOKUP(A81, Put!A:W, 23, FALSE)</f>
        <v>163.14999999999998</v>
      </c>
      <c r="F81">
        <f t="shared" si="6"/>
        <v>203.95</v>
      </c>
      <c r="G81">
        <f t="shared" si="7"/>
        <v>348.59999999999997</v>
      </c>
      <c r="H81">
        <f>VLOOKUP(A81, Call!A:I, 9, FALSE)</f>
        <v>0.62857142857142856</v>
      </c>
      <c r="I81">
        <f>VLOOKUP(A81, Call!A:J, 10, FALSE)</f>
        <v>0.37142857142857144</v>
      </c>
      <c r="J81">
        <f t="shared" si="8"/>
        <v>257.67714285714283</v>
      </c>
      <c r="K81">
        <f t="shared" si="9"/>
        <v>-8.817142857142926</v>
      </c>
      <c r="L81">
        <f t="shared" si="10"/>
        <v>-3.3085673238772463E-2</v>
      </c>
      <c r="M81">
        <f t="shared" si="11"/>
        <v>71.419999999999959</v>
      </c>
    </row>
    <row r="82" spans="1:13" x14ac:dyDescent="0.25">
      <c r="A82" s="1">
        <v>45777</v>
      </c>
      <c r="B82">
        <f>VLOOKUP(A82, Call!A:P, 16, FALSE)</f>
        <v>119.9</v>
      </c>
      <c r="C82">
        <f>VLOOKUP(A82, Put!A:P, 16, FALSE)</f>
        <v>88.1</v>
      </c>
      <c r="D82">
        <f>VLOOKUP(A82, Call!A:W, 23, FALSE)</f>
        <v>203.2</v>
      </c>
      <c r="E82">
        <f>VLOOKUP(A82, Put!A:W, 23, FALSE)</f>
        <v>154.15</v>
      </c>
      <c r="F82">
        <f t="shared" si="6"/>
        <v>208</v>
      </c>
      <c r="G82">
        <f t="shared" si="7"/>
        <v>357.35</v>
      </c>
      <c r="H82">
        <f>VLOOKUP(A82, Call!A:I, 9, FALSE)</f>
        <v>0.6</v>
      </c>
      <c r="I82">
        <f>VLOOKUP(A82, Call!A:J, 10, FALSE)</f>
        <v>0.4</v>
      </c>
      <c r="J82">
        <f t="shared" si="8"/>
        <v>267.74</v>
      </c>
      <c r="K82">
        <f t="shared" si="9"/>
        <v>10.062857142857183</v>
      </c>
      <c r="L82">
        <f t="shared" si="10"/>
        <v>3.9052191557541714E-2</v>
      </c>
      <c r="M82">
        <f t="shared" si="11"/>
        <v>81.482857142857142</v>
      </c>
    </row>
    <row r="83" spans="1:13" x14ac:dyDescent="0.25">
      <c r="A83" s="1">
        <v>45778</v>
      </c>
      <c r="B83">
        <f>VLOOKUP(A83, Call!A:P, 16, FALSE)</f>
        <v>90</v>
      </c>
      <c r="C83">
        <f>VLOOKUP(A83, Put!A:P, 16, FALSE)</f>
        <v>100.85</v>
      </c>
      <c r="D83">
        <f>VLOOKUP(A83, Call!A:W, 23, FALSE)</f>
        <v>174.2</v>
      </c>
      <c r="E83">
        <f>VLOOKUP(A83, Put!A:W, 23, FALSE)</f>
        <v>167.55</v>
      </c>
      <c r="F83">
        <f t="shared" si="6"/>
        <v>190.85</v>
      </c>
      <c r="G83">
        <f t="shared" si="7"/>
        <v>341.75</v>
      </c>
      <c r="H83">
        <f>VLOOKUP(A83, Call!A:I, 9, FALSE)</f>
        <v>0.5714285714285714</v>
      </c>
      <c r="I83">
        <f>VLOOKUP(A83, Call!A:J, 10, FALSE)</f>
        <v>0.42857142857142855</v>
      </c>
      <c r="J83">
        <f t="shared" si="8"/>
        <v>255.52142857142854</v>
      </c>
      <c r="K83">
        <f t="shared" si="9"/>
        <v>-12.218571428571465</v>
      </c>
      <c r="L83">
        <f t="shared" si="10"/>
        <v>-4.5635958125687104E-2</v>
      </c>
      <c r="M83">
        <f t="shared" si="11"/>
        <v>69.264285714285677</v>
      </c>
    </row>
    <row r="84" spans="1:13" x14ac:dyDescent="0.25">
      <c r="A84" s="1">
        <v>45779</v>
      </c>
      <c r="B84">
        <f>VLOOKUP(A84, Call!A:P, 16, FALSE)</f>
        <v>86.25</v>
      </c>
      <c r="C84">
        <f>VLOOKUP(A84, Put!A:P, 16, FALSE)</f>
        <v>79.2</v>
      </c>
      <c r="D84">
        <f>VLOOKUP(A84, Call!A:W, 23, FALSE)</f>
        <v>173.2</v>
      </c>
      <c r="E84">
        <f>VLOOKUP(A84, Put!A:W, 23, FALSE)</f>
        <v>147.89999999999998</v>
      </c>
      <c r="F84">
        <f t="shared" si="6"/>
        <v>165.45</v>
      </c>
      <c r="G84">
        <f t="shared" si="7"/>
        <v>321.09999999999997</v>
      </c>
      <c r="H84">
        <f>VLOOKUP(A84, Call!A:I, 9, FALSE)</f>
        <v>0.54285714285714282</v>
      </c>
      <c r="I84">
        <f>VLOOKUP(A84, Call!A:J, 10, FALSE)</f>
        <v>0.45714285714285713</v>
      </c>
      <c r="J84">
        <f t="shared" si="8"/>
        <v>236.60428571428568</v>
      </c>
      <c r="K84">
        <f t="shared" si="9"/>
        <v>-18.917142857142863</v>
      </c>
      <c r="L84">
        <f t="shared" si="10"/>
        <v>-7.4033488944175802E-2</v>
      </c>
      <c r="M84">
        <f t="shared" si="11"/>
        <v>50.347142857142813</v>
      </c>
    </row>
    <row r="85" spans="1:13" x14ac:dyDescent="0.25">
      <c r="A85" s="1">
        <v>45782</v>
      </c>
      <c r="B85">
        <f>VLOOKUP(A85, Call!A:P, 16, FALSE)</f>
        <v>78.699999999999989</v>
      </c>
      <c r="C85">
        <f>VLOOKUP(A85, Put!A:P, 16, FALSE)</f>
        <v>74.8</v>
      </c>
      <c r="D85">
        <f>VLOOKUP(A85, Call!A:W, 23, FALSE)</f>
        <v>169.2</v>
      </c>
      <c r="E85">
        <f>VLOOKUP(A85, Put!A:W, 23, FALSE)</f>
        <v>148.25</v>
      </c>
      <c r="F85">
        <f t="shared" si="6"/>
        <v>153.5</v>
      </c>
      <c r="G85">
        <f t="shared" si="7"/>
        <v>317.45</v>
      </c>
      <c r="H85">
        <f>VLOOKUP(A85, Call!A:I, 9, FALSE)</f>
        <v>0.45714285714285713</v>
      </c>
      <c r="I85">
        <f>VLOOKUP(A85, Call!A:J, 10, FALSE)</f>
        <v>0.54285714285714282</v>
      </c>
      <c r="J85">
        <f t="shared" si="8"/>
        <v>242.50142857142856</v>
      </c>
      <c r="K85">
        <f t="shared" si="9"/>
        <v>5.8971428571428817</v>
      </c>
      <c r="L85">
        <f t="shared" si="10"/>
        <v>2.4924074554862657E-2</v>
      </c>
      <c r="M85">
        <f t="shared" si="11"/>
        <v>56.244285714285695</v>
      </c>
    </row>
    <row r="86" spans="1:13" x14ac:dyDescent="0.25">
      <c r="A86" s="1">
        <v>45783</v>
      </c>
      <c r="B86">
        <f>VLOOKUP(A86, Call!A:P, 16, FALSE)</f>
        <v>75.900000000000006</v>
      </c>
      <c r="C86">
        <f>VLOOKUP(A86, Put!A:P, 16, FALSE)</f>
        <v>82.4</v>
      </c>
      <c r="D86">
        <f>VLOOKUP(A86, Call!A:W, 23, FALSE)</f>
        <v>169.5</v>
      </c>
      <c r="E86">
        <f>VLOOKUP(A86, Put!A:W, 23, FALSE)</f>
        <v>159.55000000000001</v>
      </c>
      <c r="F86">
        <f t="shared" si="6"/>
        <v>158.30000000000001</v>
      </c>
      <c r="G86">
        <f t="shared" si="7"/>
        <v>329.05</v>
      </c>
      <c r="H86">
        <f>VLOOKUP(A86, Call!A:I, 9, FALSE)</f>
        <v>0.42857142857142855</v>
      </c>
      <c r="I86">
        <f>VLOOKUP(A86, Call!A:J, 10, FALSE)</f>
        <v>0.5714285714285714</v>
      </c>
      <c r="J86">
        <f t="shared" si="8"/>
        <v>255.87142857142857</v>
      </c>
      <c r="K86">
        <f t="shared" si="9"/>
        <v>13.370000000000005</v>
      </c>
      <c r="L86">
        <f t="shared" si="10"/>
        <v>5.5133695825061432E-2</v>
      </c>
      <c r="M86">
        <f t="shared" si="11"/>
        <v>69.6142857142857</v>
      </c>
    </row>
    <row r="87" spans="1:13" x14ac:dyDescent="0.25">
      <c r="A87" s="1">
        <v>45784</v>
      </c>
      <c r="B87">
        <f>VLOOKUP(A87, Call!A:P, 16, FALSE)</f>
        <v>70.25</v>
      </c>
      <c r="C87">
        <f>VLOOKUP(A87, Put!A:P, 16, FALSE)</f>
        <v>71.150000000000006</v>
      </c>
      <c r="D87">
        <f>VLOOKUP(A87, Call!A:W, 23, FALSE)</f>
        <v>164.25</v>
      </c>
      <c r="E87">
        <f>VLOOKUP(A87, Put!A:W, 23, FALSE)</f>
        <v>148.19999999999999</v>
      </c>
      <c r="F87">
        <f t="shared" si="6"/>
        <v>141.4</v>
      </c>
      <c r="G87">
        <f t="shared" si="7"/>
        <v>312.45</v>
      </c>
      <c r="H87">
        <f>VLOOKUP(A87, Call!A:I, 9, FALSE)</f>
        <v>0.4</v>
      </c>
      <c r="I87">
        <f>VLOOKUP(A87, Call!A:J, 10, FALSE)</f>
        <v>0.6</v>
      </c>
      <c r="J87">
        <f t="shared" si="8"/>
        <v>244.03</v>
      </c>
      <c r="K87">
        <f t="shared" si="9"/>
        <v>-11.841428571428565</v>
      </c>
      <c r="L87">
        <f t="shared" si="10"/>
        <v>-4.6278823069621999E-2</v>
      </c>
      <c r="M87">
        <f t="shared" si="11"/>
        <v>57.772857142857134</v>
      </c>
    </row>
    <row r="88" spans="1:13" x14ac:dyDescent="0.25">
      <c r="A88" s="1">
        <v>45785</v>
      </c>
      <c r="B88">
        <f>VLOOKUP(A88, Call!A:P, 16, FALSE)</f>
        <v>65.3</v>
      </c>
      <c r="C88">
        <f>VLOOKUP(A88, Put!A:P, 16, FALSE)</f>
        <v>63.05</v>
      </c>
      <c r="D88">
        <f>VLOOKUP(A88, Call!A:W, 23, FALSE)</f>
        <v>158.85000000000002</v>
      </c>
      <c r="E88">
        <f>VLOOKUP(A88, Put!A:W, 23, FALSE)</f>
        <v>139.4</v>
      </c>
      <c r="F88">
        <f t="shared" si="6"/>
        <v>128.35</v>
      </c>
      <c r="G88">
        <f t="shared" si="7"/>
        <v>298.25</v>
      </c>
      <c r="H88">
        <f>VLOOKUP(A88, Call!A:I, 9, FALSE)</f>
        <v>0.37142857142857144</v>
      </c>
      <c r="I88">
        <f>VLOOKUP(A88, Call!A:J, 10, FALSE)</f>
        <v>0.62857142857142856</v>
      </c>
      <c r="J88">
        <f t="shared" si="8"/>
        <v>235.1442857142857</v>
      </c>
      <c r="K88">
        <f t="shared" si="9"/>
        <v>-8.8857142857143003</v>
      </c>
      <c r="L88">
        <f t="shared" si="10"/>
        <v>-3.6412384894128999E-2</v>
      </c>
      <c r="M88">
        <f t="shared" si="11"/>
        <v>48.887142857142834</v>
      </c>
    </row>
    <row r="89" spans="1:13" x14ac:dyDescent="0.25">
      <c r="A89" s="1">
        <v>45786</v>
      </c>
      <c r="B89">
        <f>VLOOKUP(A89, Call!A:P, 16, FALSE)</f>
        <v>63.75</v>
      </c>
      <c r="C89">
        <f>VLOOKUP(A89, Put!A:P, 16, FALSE)</f>
        <v>57</v>
      </c>
      <c r="D89">
        <f>VLOOKUP(A89, Call!A:W, 23, FALSE)</f>
        <v>157.4</v>
      </c>
      <c r="E89">
        <f>VLOOKUP(A89, Put!A:W, 23, FALSE)</f>
        <v>133.55000000000001</v>
      </c>
      <c r="F89">
        <f t="shared" si="6"/>
        <v>120.75</v>
      </c>
      <c r="G89">
        <f t="shared" si="7"/>
        <v>290.95000000000005</v>
      </c>
      <c r="H89">
        <f>VLOOKUP(A89, Call!A:I, 9, FALSE)</f>
        <v>0.34285714285714286</v>
      </c>
      <c r="I89">
        <f>VLOOKUP(A89, Call!A:J, 10, FALSE)</f>
        <v>0.65714285714285714</v>
      </c>
      <c r="J89">
        <f t="shared" si="8"/>
        <v>232.59571428571431</v>
      </c>
      <c r="K89">
        <f t="shared" si="9"/>
        <v>-2.5485714285713925</v>
      </c>
      <c r="L89">
        <f t="shared" si="10"/>
        <v>-1.0838330265308078E-2</v>
      </c>
      <c r="M89">
        <f t="shared" si="11"/>
        <v>46.338571428571441</v>
      </c>
    </row>
    <row r="90" spans="1:13" x14ac:dyDescent="0.25">
      <c r="A90" s="1">
        <v>45789</v>
      </c>
      <c r="B90">
        <f>VLOOKUP(A90, Call!A:P, 16, FALSE)</f>
        <v>42.8</v>
      </c>
      <c r="C90">
        <f>VLOOKUP(A90, Put!A:P, 16, FALSE)</f>
        <v>39.099999999999994</v>
      </c>
      <c r="D90">
        <f>VLOOKUP(A90, Call!A:W, 23, FALSE)</f>
        <v>129</v>
      </c>
      <c r="E90">
        <f>VLOOKUP(A90, Put!A:W, 23, FALSE)</f>
        <v>106</v>
      </c>
      <c r="F90">
        <f t="shared" si="6"/>
        <v>81.899999999999991</v>
      </c>
      <c r="G90">
        <f t="shared" si="7"/>
        <v>235</v>
      </c>
      <c r="H90">
        <f>VLOOKUP(A90, Call!A:I, 9, FALSE)</f>
        <v>0.25714285714285712</v>
      </c>
      <c r="I90">
        <f>VLOOKUP(A90, Call!A:J, 10, FALSE)</f>
        <v>0.74285714285714288</v>
      </c>
      <c r="J90">
        <f t="shared" si="8"/>
        <v>195.63142857142859</v>
      </c>
      <c r="K90">
        <f t="shared" si="9"/>
        <v>-36.964285714285722</v>
      </c>
      <c r="L90">
        <f t="shared" si="10"/>
        <v>-0.1589207515185761</v>
      </c>
      <c r="M90">
        <f t="shared" si="11"/>
        <v>9.374285714285719</v>
      </c>
    </row>
    <row r="91" spans="1:13" x14ac:dyDescent="0.25">
      <c r="A91" s="1">
        <v>45790</v>
      </c>
      <c r="B91">
        <f>VLOOKUP(A91, Call!A:P, 16, FALSE)</f>
        <v>30.85</v>
      </c>
      <c r="C91">
        <f>VLOOKUP(A91, Put!A:P, 16, FALSE)</f>
        <v>34</v>
      </c>
      <c r="D91">
        <f>VLOOKUP(A91, Call!A:W, 23, FALSE)</f>
        <v>120</v>
      </c>
      <c r="E91">
        <f>VLOOKUP(A91, Put!A:W, 23, FALSE)</f>
        <v>104.30000000000001</v>
      </c>
      <c r="F91">
        <f t="shared" si="6"/>
        <v>64.849999999999994</v>
      </c>
      <c r="G91">
        <f t="shared" si="7"/>
        <v>224.3</v>
      </c>
      <c r="H91">
        <f>VLOOKUP(A91, Call!A:I, 9, FALSE)</f>
        <v>0.22857142857142856</v>
      </c>
      <c r="I91">
        <f>VLOOKUP(A91, Call!A:J, 10, FALSE)</f>
        <v>0.77142857142857146</v>
      </c>
      <c r="J91">
        <f t="shared" si="8"/>
        <v>187.85428571428574</v>
      </c>
      <c r="K91">
        <f t="shared" si="9"/>
        <v>-7.7771428571428487</v>
      </c>
      <c r="L91">
        <f t="shared" si="10"/>
        <v>-3.975405646185972E-2</v>
      </c>
      <c r="M91">
        <f t="shared" si="11"/>
        <v>1.5971428571428703</v>
      </c>
    </row>
    <row r="92" spans="1:13" x14ac:dyDescent="0.25">
      <c r="A92" s="1">
        <v>45791</v>
      </c>
      <c r="B92">
        <f>VLOOKUP(A92, Call!A:P, 16, FALSE)</f>
        <v>21.200000000000003</v>
      </c>
      <c r="C92">
        <f>VLOOKUP(A92, Put!A:P, 16, FALSE)</f>
        <v>29.299999999999997</v>
      </c>
      <c r="D92">
        <f>VLOOKUP(A92, Call!A:W, 23, FALSE)</f>
        <v>119.1</v>
      </c>
      <c r="E92">
        <f>VLOOKUP(A92, Put!A:W, 23, FALSE)</f>
        <v>108.4</v>
      </c>
      <c r="F92">
        <f t="shared" si="6"/>
        <v>50.5</v>
      </c>
      <c r="G92">
        <f t="shared" si="7"/>
        <v>227.5</v>
      </c>
      <c r="H92">
        <f>VLOOKUP(A92, Call!A:I, 9, FALSE)</f>
        <v>0.2</v>
      </c>
      <c r="I92">
        <f>VLOOKUP(A92, Call!A:J, 10, FALSE)</f>
        <v>0.8</v>
      </c>
      <c r="J92">
        <f t="shared" si="8"/>
        <v>192.1</v>
      </c>
      <c r="K92">
        <f t="shared" si="9"/>
        <v>4.2457142857142571</v>
      </c>
      <c r="L92">
        <f t="shared" si="10"/>
        <v>2.2601104199303258E-2</v>
      </c>
      <c r="M92">
        <f t="shared" si="11"/>
        <v>5.8428571428571274</v>
      </c>
    </row>
    <row r="93" spans="1:13" x14ac:dyDescent="0.25">
      <c r="A93" s="1">
        <v>45792</v>
      </c>
      <c r="B93">
        <f>VLOOKUP(A93, Call!A:P, 16, FALSE)</f>
        <v>14.1</v>
      </c>
      <c r="C93">
        <f>VLOOKUP(A93, Put!A:P, 16, FALSE)</f>
        <v>13.7</v>
      </c>
      <c r="D93">
        <f>VLOOKUP(A93, Call!A:W, 23, FALSE)</f>
        <v>118.5</v>
      </c>
      <c r="E93">
        <f>VLOOKUP(A93, Put!A:W, 23, FALSE)</f>
        <v>99.8</v>
      </c>
      <c r="F93">
        <f t="shared" si="6"/>
        <v>27.799999999999997</v>
      </c>
      <c r="G93">
        <f t="shared" si="7"/>
        <v>218.3</v>
      </c>
      <c r="H93">
        <f>VLOOKUP(A93, Call!A:I, 9, FALSE)</f>
        <v>0.17142857142857143</v>
      </c>
      <c r="I93">
        <f>VLOOKUP(A93, Call!A:J, 10, FALSE)</f>
        <v>0.82857142857142863</v>
      </c>
      <c r="J93">
        <f t="shared" si="8"/>
        <v>185.64285714285717</v>
      </c>
      <c r="K93">
        <f t="shared" si="9"/>
        <v>-6.4571428571428271</v>
      </c>
      <c r="L93">
        <f t="shared" si="10"/>
        <v>-3.3613445378151106E-2</v>
      </c>
      <c r="M93">
        <f t="shared" si="11"/>
        <v>-0.61428571428569967</v>
      </c>
    </row>
    <row r="94" spans="1:13" x14ac:dyDescent="0.25">
      <c r="A94" s="1">
        <v>45793</v>
      </c>
      <c r="B94">
        <f>VLOOKUP(A94, Call!A:P, 16, FALSE)</f>
        <v>101.4</v>
      </c>
      <c r="C94">
        <f>VLOOKUP(A94, Put!A:P, 16, FALSE)</f>
        <v>112.85</v>
      </c>
      <c r="D94">
        <f>VLOOKUP(A94, Call!A:W, 23, FALSE)</f>
        <v>153.1</v>
      </c>
      <c r="E94">
        <f>VLOOKUP(A94, Put!A:W, 23, FALSE)</f>
        <v>147</v>
      </c>
      <c r="F94">
        <f t="shared" si="6"/>
        <v>214.25</v>
      </c>
      <c r="G94">
        <f t="shared" si="7"/>
        <v>300.10000000000002</v>
      </c>
      <c r="H94">
        <f>VLOOKUP(A94, Call!A:I, 9, FALSE)</f>
        <v>1</v>
      </c>
      <c r="I94">
        <f>VLOOKUP(A94, Call!A:J, 10, FALSE)</f>
        <v>0</v>
      </c>
      <c r="J94">
        <f t="shared" si="8"/>
        <v>214.25</v>
      </c>
      <c r="K94">
        <f t="shared" si="9"/>
        <v>28.607142857142833</v>
      </c>
      <c r="L94">
        <f t="shared" si="10"/>
        <v>0.15409772989611373</v>
      </c>
      <c r="M94">
        <f t="shared" si="11"/>
        <v>27.992857142857133</v>
      </c>
    </row>
    <row r="95" spans="1:13" x14ac:dyDescent="0.25">
      <c r="A95" s="1">
        <v>45796</v>
      </c>
      <c r="B95">
        <f>VLOOKUP(A95, Call!A:P, 16, FALSE)</f>
        <v>113.65</v>
      </c>
      <c r="C95">
        <f>VLOOKUP(A95, Put!A:P, 16, FALSE)</f>
        <v>98.300000000000011</v>
      </c>
      <c r="D95">
        <f>VLOOKUP(A95, Call!A:W, 23, FALSE)</f>
        <v>167.35000000000002</v>
      </c>
      <c r="E95">
        <f>VLOOKUP(A95, Put!A:W, 23, FALSE)</f>
        <v>134.25</v>
      </c>
      <c r="F95">
        <f t="shared" si="6"/>
        <v>211.95000000000002</v>
      </c>
      <c r="G95">
        <f t="shared" si="7"/>
        <v>301.60000000000002</v>
      </c>
      <c r="H95">
        <f>VLOOKUP(A95, Call!A:I, 9, FALSE)</f>
        <v>1</v>
      </c>
      <c r="I95">
        <f>VLOOKUP(A95, Call!A:J, 10, FALSE)</f>
        <v>0</v>
      </c>
      <c r="J95">
        <f t="shared" si="8"/>
        <v>211.95000000000002</v>
      </c>
      <c r="K95">
        <f t="shared" si="9"/>
        <v>-2.2999999999999829</v>
      </c>
      <c r="L95">
        <f t="shared" si="10"/>
        <v>-1.073512252041999E-2</v>
      </c>
      <c r="M95">
        <f t="shared" si="11"/>
        <v>25.69285714285715</v>
      </c>
    </row>
    <row r="96" spans="1:13" x14ac:dyDescent="0.25">
      <c r="A96" s="1">
        <v>45797</v>
      </c>
      <c r="B96">
        <f>VLOOKUP(A96, Call!A:P, 16, FALSE)</f>
        <v>111.2</v>
      </c>
      <c r="C96">
        <f>VLOOKUP(A96, Put!A:P, 16, FALSE)</f>
        <v>97.2</v>
      </c>
      <c r="D96">
        <f>VLOOKUP(A96, Call!A:W, 23, FALSE)</f>
        <v>165.7</v>
      </c>
      <c r="E96">
        <f>VLOOKUP(A96, Put!A:W, 23, FALSE)</f>
        <v>134.10000000000002</v>
      </c>
      <c r="F96">
        <f t="shared" si="6"/>
        <v>208.4</v>
      </c>
      <c r="G96">
        <f t="shared" si="7"/>
        <v>299.8</v>
      </c>
      <c r="H96">
        <f>VLOOKUP(A96, Call!A:I, 9, FALSE)</f>
        <v>1</v>
      </c>
      <c r="I96">
        <f>VLOOKUP(A96, Call!A:J, 10, FALSE)</f>
        <v>0</v>
      </c>
      <c r="J96">
        <f t="shared" si="8"/>
        <v>208.4</v>
      </c>
      <c r="K96">
        <f t="shared" si="9"/>
        <v>-3.5500000000000114</v>
      </c>
      <c r="L96">
        <f t="shared" si="10"/>
        <v>-1.6749233309742918E-2</v>
      </c>
      <c r="M96">
        <f t="shared" si="11"/>
        <v>22.142857142857139</v>
      </c>
    </row>
    <row r="97" spans="1:13" x14ac:dyDescent="0.25">
      <c r="A97" s="1">
        <v>45798</v>
      </c>
      <c r="B97">
        <f>VLOOKUP(A97, Call!A:P, 16, FALSE)</f>
        <v>121.8</v>
      </c>
      <c r="C97">
        <f>VLOOKUP(A97, Put!A:P, 16, FALSE)</f>
        <v>108.6</v>
      </c>
      <c r="D97">
        <f>VLOOKUP(A97, Call!A:W, 23, FALSE)</f>
        <v>177.8</v>
      </c>
      <c r="E97">
        <f>VLOOKUP(A97, Put!A:W, 23, FALSE)</f>
        <v>147.19999999999999</v>
      </c>
      <c r="F97">
        <f t="shared" si="6"/>
        <v>230.39999999999998</v>
      </c>
      <c r="G97">
        <f t="shared" si="7"/>
        <v>325</v>
      </c>
      <c r="H97">
        <f>VLOOKUP(A97, Call!A:I, 9, FALSE)</f>
        <v>1</v>
      </c>
      <c r="I97">
        <f>VLOOKUP(A97, Call!A:J, 10, FALSE)</f>
        <v>0</v>
      </c>
      <c r="J97">
        <f t="shared" si="8"/>
        <v>230.39999999999998</v>
      </c>
      <c r="K97">
        <f t="shared" si="9"/>
        <v>21.999999999999972</v>
      </c>
      <c r="L97">
        <f t="shared" si="10"/>
        <v>0.10556621880998067</v>
      </c>
      <c r="M97">
        <f t="shared" si="11"/>
        <v>44.14285714285711</v>
      </c>
    </row>
    <row r="98" spans="1:13" x14ac:dyDescent="0.25">
      <c r="A98" s="1">
        <v>45799</v>
      </c>
      <c r="B98">
        <f>VLOOKUP(A98, Call!A:P, 16, FALSE)</f>
        <v>125.5</v>
      </c>
      <c r="C98">
        <f>VLOOKUP(A98, Put!A:P, 16, FALSE)</f>
        <v>97.95</v>
      </c>
      <c r="D98">
        <f>VLOOKUP(A98, Call!A:W, 23, FALSE)</f>
        <v>182.5</v>
      </c>
      <c r="E98">
        <f>VLOOKUP(A98, Put!A:W, 23, FALSE)</f>
        <v>137.85</v>
      </c>
      <c r="F98">
        <f t="shared" si="6"/>
        <v>223.45</v>
      </c>
      <c r="G98">
        <f t="shared" si="7"/>
        <v>320.35000000000002</v>
      </c>
      <c r="H98">
        <f>VLOOKUP(A98, Call!A:I, 9, FALSE)</f>
        <v>0.9642857142857143</v>
      </c>
      <c r="I98">
        <f>VLOOKUP(A98, Call!A:J, 10, FALSE)</f>
        <v>3.5714285714285712E-2</v>
      </c>
      <c r="J98">
        <f t="shared" si="8"/>
        <v>226.91071428571428</v>
      </c>
      <c r="K98">
        <f t="shared" si="9"/>
        <v>-3.4892857142856997</v>
      </c>
      <c r="L98">
        <f t="shared" si="10"/>
        <v>-1.5144469246031684E-2</v>
      </c>
      <c r="M98">
        <f t="shared" si="11"/>
        <v>40.653571428571411</v>
      </c>
    </row>
    <row r="99" spans="1:13" x14ac:dyDescent="0.25">
      <c r="A99" s="1">
        <v>45800</v>
      </c>
      <c r="B99">
        <f>VLOOKUP(A99, Call!A:P, 16, FALSE)</f>
        <v>122.25</v>
      </c>
      <c r="C99">
        <f>VLOOKUP(A99, Put!A:P, 16, FALSE)</f>
        <v>112.44999999999999</v>
      </c>
      <c r="D99">
        <f>VLOOKUP(A99, Call!A:W, 23, FALSE)</f>
        <v>181.4</v>
      </c>
      <c r="E99">
        <f>VLOOKUP(A99, Put!A:W, 23, FALSE)</f>
        <v>154.5</v>
      </c>
      <c r="F99">
        <f t="shared" si="6"/>
        <v>234.7</v>
      </c>
      <c r="G99">
        <f t="shared" si="7"/>
        <v>335.9</v>
      </c>
      <c r="H99">
        <f>VLOOKUP(A99, Call!A:I, 9, FALSE)</f>
        <v>0.9285714285714286</v>
      </c>
      <c r="I99">
        <f>VLOOKUP(A99, Call!A:J, 10, FALSE)</f>
        <v>7.1428571428571425E-2</v>
      </c>
      <c r="J99">
        <f t="shared" si="8"/>
        <v>241.92857142857142</v>
      </c>
      <c r="K99">
        <f t="shared" si="9"/>
        <v>15.017857142857139</v>
      </c>
      <c r="L99">
        <f t="shared" si="10"/>
        <v>6.6183993074683228E-2</v>
      </c>
      <c r="M99">
        <f t="shared" si="11"/>
        <v>55.67142857142855</v>
      </c>
    </row>
    <row r="100" spans="1:13" x14ac:dyDescent="0.25">
      <c r="A100" s="1">
        <v>45804</v>
      </c>
      <c r="B100">
        <f>VLOOKUP(A100, Call!A:P, 16, FALSE)</f>
        <v>103.15</v>
      </c>
      <c r="C100">
        <f>VLOOKUP(A100, Put!A:P, 16, FALSE)</f>
        <v>82.85</v>
      </c>
      <c r="D100">
        <f>VLOOKUP(A100, Call!A:W, 23, FALSE)</f>
        <v>162.10000000000002</v>
      </c>
      <c r="E100">
        <f>VLOOKUP(A100, Put!A:W, 23, FALSE)</f>
        <v>124.2</v>
      </c>
      <c r="F100">
        <f t="shared" si="6"/>
        <v>186</v>
      </c>
      <c r="G100">
        <f t="shared" si="7"/>
        <v>286.3</v>
      </c>
      <c r="H100">
        <f>VLOOKUP(A100, Call!A:I, 9, FALSE)</f>
        <v>0.7857142857142857</v>
      </c>
      <c r="I100">
        <f>VLOOKUP(A100, Call!A:J, 10, FALSE)</f>
        <v>0.21428571428571427</v>
      </c>
      <c r="J100">
        <f t="shared" si="8"/>
        <v>207.49285714285713</v>
      </c>
      <c r="K100">
        <f t="shared" si="9"/>
        <v>-34.435714285714283</v>
      </c>
      <c r="L100">
        <f t="shared" si="10"/>
        <v>-0.14233835252435784</v>
      </c>
      <c r="M100">
        <f t="shared" si="11"/>
        <v>21.235714285714266</v>
      </c>
    </row>
    <row r="101" spans="1:13" x14ac:dyDescent="0.25">
      <c r="A101" s="1">
        <v>45805</v>
      </c>
      <c r="B101">
        <f>VLOOKUP(A101, Call!A:P, 16, FALSE)</f>
        <v>111.30000000000001</v>
      </c>
      <c r="C101">
        <f>VLOOKUP(A101, Put!A:P, 16, FALSE)</f>
        <v>75.849999999999994</v>
      </c>
      <c r="D101">
        <f>VLOOKUP(A101, Call!A:W, 23, FALSE)</f>
        <v>171.95</v>
      </c>
      <c r="E101">
        <f>VLOOKUP(A101, Put!A:W, 23, FALSE)</f>
        <v>118.69999999999999</v>
      </c>
      <c r="F101">
        <f t="shared" si="6"/>
        <v>187.15</v>
      </c>
      <c r="G101">
        <f t="shared" si="7"/>
        <v>290.64999999999998</v>
      </c>
      <c r="H101">
        <f>VLOOKUP(A101, Call!A:I, 9, FALSE)</f>
        <v>0.75</v>
      </c>
      <c r="I101">
        <f>VLOOKUP(A101, Call!A:J, 10, FALSE)</f>
        <v>0.25</v>
      </c>
      <c r="J101">
        <f t="shared" si="8"/>
        <v>213.02500000000001</v>
      </c>
      <c r="K101">
        <f t="shared" si="9"/>
        <v>5.5321428571428726</v>
      </c>
      <c r="L101">
        <f t="shared" si="10"/>
        <v>2.6661847223656655E-2</v>
      </c>
      <c r="M101">
        <f t="shared" si="11"/>
        <v>26.767857142857139</v>
      </c>
    </row>
    <row r="102" spans="1:13" x14ac:dyDescent="0.25">
      <c r="A102" s="1">
        <v>45806</v>
      </c>
      <c r="B102">
        <f>VLOOKUP(A102, Call!A:P, 16, FALSE)</f>
        <v>93.65</v>
      </c>
      <c r="C102">
        <f>VLOOKUP(A102, Put!A:P, 16, FALSE)</f>
        <v>86.55</v>
      </c>
      <c r="D102">
        <f>VLOOKUP(A102, Call!A:W, 23, FALSE)</f>
        <v>153.89999999999998</v>
      </c>
      <c r="E102">
        <f>VLOOKUP(A102, Put!A:W, 23, FALSE)</f>
        <v>128.94999999999999</v>
      </c>
      <c r="F102">
        <f t="shared" si="6"/>
        <v>180.2</v>
      </c>
      <c r="G102">
        <f t="shared" si="7"/>
        <v>282.84999999999997</v>
      </c>
      <c r="H102">
        <f>VLOOKUP(A102, Call!A:I, 9, FALSE)</f>
        <v>0.7142857142857143</v>
      </c>
      <c r="I102">
        <f>VLOOKUP(A102, Call!A:J, 10, FALSE)</f>
        <v>0.2857142857142857</v>
      </c>
      <c r="J102">
        <f t="shared" si="8"/>
        <v>209.52857142857141</v>
      </c>
      <c r="K102">
        <f t="shared" si="9"/>
        <v>-3.496428571428595</v>
      </c>
      <c r="L102">
        <f t="shared" si="10"/>
        <v>-1.6413231176756693E-2</v>
      </c>
      <c r="M102">
        <f t="shared" si="11"/>
        <v>23.271428571428544</v>
      </c>
    </row>
    <row r="103" spans="1:13" x14ac:dyDescent="0.25">
      <c r="A103" s="1">
        <v>45807</v>
      </c>
      <c r="B103">
        <f>VLOOKUP(A103, Call!A:P, 16, FALSE)</f>
        <v>87.8</v>
      </c>
      <c r="C103">
        <f>VLOOKUP(A103, Put!A:P, 16, FALSE)</f>
        <v>84.2</v>
      </c>
      <c r="D103">
        <f>VLOOKUP(A103, Call!A:W, 23, FALSE)</f>
        <v>147.94999999999999</v>
      </c>
      <c r="E103">
        <f>VLOOKUP(A103, Put!A:W, 23, FALSE)</f>
        <v>126.85</v>
      </c>
      <c r="F103">
        <f t="shared" si="6"/>
        <v>172</v>
      </c>
      <c r="G103">
        <f t="shared" si="7"/>
        <v>274.79999999999995</v>
      </c>
      <c r="H103">
        <f>VLOOKUP(A103, Call!A:I, 9, FALSE)</f>
        <v>0.6785714285714286</v>
      </c>
      <c r="I103">
        <f>VLOOKUP(A103, Call!A:J, 10, FALSE)</f>
        <v>0.32142857142857145</v>
      </c>
      <c r="J103">
        <f t="shared" si="8"/>
        <v>205.04285714285714</v>
      </c>
      <c r="K103">
        <f t="shared" si="9"/>
        <v>-4.4857142857142662</v>
      </c>
      <c r="L103">
        <f t="shared" si="10"/>
        <v>-2.1408604349901047E-2</v>
      </c>
      <c r="M103">
        <f t="shared" si="11"/>
        <v>18.785714285714278</v>
      </c>
    </row>
    <row r="104" spans="1:13" x14ac:dyDescent="0.25">
      <c r="A104" s="1">
        <v>45810</v>
      </c>
      <c r="B104">
        <f>VLOOKUP(A104, Call!A:P, 16, FALSE)</f>
        <v>87.35</v>
      </c>
      <c r="C104">
        <f>VLOOKUP(A104, Put!A:P, 16, FALSE)</f>
        <v>72.900000000000006</v>
      </c>
      <c r="D104">
        <f>VLOOKUP(A104, Call!A:W, 23, FALSE)</f>
        <v>149.4</v>
      </c>
      <c r="E104">
        <f>VLOOKUP(A104, Put!A:W, 23, FALSE)</f>
        <v>117.4</v>
      </c>
      <c r="F104">
        <f t="shared" si="6"/>
        <v>160.25</v>
      </c>
      <c r="G104">
        <f t="shared" si="7"/>
        <v>266.8</v>
      </c>
      <c r="H104">
        <f>VLOOKUP(A104, Call!A:I, 9, FALSE)</f>
        <v>0.5714285714285714</v>
      </c>
      <c r="I104">
        <f>VLOOKUP(A104, Call!A:J, 10, FALSE)</f>
        <v>0.42857142857142855</v>
      </c>
      <c r="J104">
        <f t="shared" si="8"/>
        <v>205.91428571428571</v>
      </c>
      <c r="K104">
        <f t="shared" si="9"/>
        <v>0.87142857142856656</v>
      </c>
      <c r="L104">
        <f t="shared" si="10"/>
        <v>4.2499825820385747E-3</v>
      </c>
      <c r="M104">
        <f t="shared" si="11"/>
        <v>19.657142857142844</v>
      </c>
    </row>
    <row r="105" spans="1:13" x14ac:dyDescent="0.25">
      <c r="A105" s="1">
        <v>45811</v>
      </c>
      <c r="B105">
        <f>VLOOKUP(A105, Call!A:P, 16, FALSE)</f>
        <v>78.800000000000011</v>
      </c>
      <c r="C105">
        <f>VLOOKUP(A105, Put!A:P, 16, FALSE)</f>
        <v>68.800000000000011</v>
      </c>
      <c r="D105">
        <f>VLOOKUP(A105, Call!A:W, 23, FALSE)</f>
        <v>141.35</v>
      </c>
      <c r="E105">
        <f>VLOOKUP(A105, Put!A:W, 23, FALSE)</f>
        <v>113.4</v>
      </c>
      <c r="F105">
        <f t="shared" si="6"/>
        <v>147.60000000000002</v>
      </c>
      <c r="G105">
        <f t="shared" si="7"/>
        <v>254.75</v>
      </c>
      <c r="H105">
        <f>VLOOKUP(A105, Call!A:I, 9, FALSE)</f>
        <v>0.5357142857142857</v>
      </c>
      <c r="I105">
        <f>VLOOKUP(A105, Call!A:J, 10, FALSE)</f>
        <v>0.4642857142857143</v>
      </c>
      <c r="J105">
        <f t="shared" si="8"/>
        <v>197.34821428571431</v>
      </c>
      <c r="K105">
        <f t="shared" si="9"/>
        <v>-8.566071428571405</v>
      </c>
      <c r="L105">
        <f t="shared" si="10"/>
        <v>-4.1600180380185814E-2</v>
      </c>
      <c r="M105">
        <f t="shared" si="11"/>
        <v>11.091071428571439</v>
      </c>
    </row>
    <row r="106" spans="1:13" x14ac:dyDescent="0.25">
      <c r="A106" s="1">
        <v>45812</v>
      </c>
      <c r="B106">
        <f>VLOOKUP(A106, Call!A:P, 16, FALSE)</f>
        <v>74.150000000000006</v>
      </c>
      <c r="C106">
        <f>VLOOKUP(A106, Put!A:P, 16, FALSE)</f>
        <v>67.45</v>
      </c>
      <c r="D106">
        <f>VLOOKUP(A106, Call!A:W, 23, FALSE)</f>
        <v>138.35</v>
      </c>
      <c r="E106">
        <f>VLOOKUP(A106, Put!A:W, 23, FALSE)</f>
        <v>113.95</v>
      </c>
      <c r="F106">
        <f t="shared" si="6"/>
        <v>141.60000000000002</v>
      </c>
      <c r="G106">
        <f t="shared" si="7"/>
        <v>252.3</v>
      </c>
      <c r="H106">
        <f>VLOOKUP(A106, Call!A:I, 9, FALSE)</f>
        <v>0.5</v>
      </c>
      <c r="I106">
        <f>VLOOKUP(A106, Call!A:J, 10, FALSE)</f>
        <v>0.5</v>
      </c>
      <c r="J106">
        <f t="shared" si="8"/>
        <v>196.95000000000002</v>
      </c>
      <c r="K106">
        <f t="shared" si="9"/>
        <v>-0.39821428571428896</v>
      </c>
      <c r="L106">
        <f t="shared" si="10"/>
        <v>-2.0178256345292655E-3</v>
      </c>
      <c r="M106">
        <f t="shared" si="11"/>
        <v>10.69285714285715</v>
      </c>
    </row>
    <row r="107" spans="1:13" x14ac:dyDescent="0.25">
      <c r="A107" s="1">
        <v>45813</v>
      </c>
      <c r="B107">
        <f>VLOOKUP(A107, Call!A:P, 16, FALSE)</f>
        <v>71.25</v>
      </c>
      <c r="C107">
        <f>VLOOKUP(A107, Put!A:P, 16, FALSE)</f>
        <v>71.650000000000006</v>
      </c>
      <c r="D107">
        <f>VLOOKUP(A107, Call!A:W, 23, FALSE)</f>
        <v>135.5</v>
      </c>
      <c r="E107">
        <f>VLOOKUP(A107, Put!A:W, 23, FALSE)</f>
        <v>118.35</v>
      </c>
      <c r="F107">
        <f t="shared" si="6"/>
        <v>142.9</v>
      </c>
      <c r="G107">
        <f t="shared" si="7"/>
        <v>253.85</v>
      </c>
      <c r="H107">
        <f>VLOOKUP(A107, Call!A:I, 9, FALSE)</f>
        <v>0.4642857142857143</v>
      </c>
      <c r="I107">
        <f>VLOOKUP(A107, Call!A:J, 10, FALSE)</f>
        <v>0.5357142857142857</v>
      </c>
      <c r="J107">
        <f t="shared" si="8"/>
        <v>202.33749999999998</v>
      </c>
      <c r="K107">
        <f t="shared" si="9"/>
        <v>5.3874999999999602</v>
      </c>
      <c r="L107">
        <f t="shared" si="10"/>
        <v>2.735465854277715E-2</v>
      </c>
      <c r="M107">
        <f t="shared" si="11"/>
        <v>16.08035714285711</v>
      </c>
    </row>
    <row r="108" spans="1:13" x14ac:dyDescent="0.25">
      <c r="A108" s="1">
        <v>45814</v>
      </c>
      <c r="B108">
        <f>VLOOKUP(A108, Call!A:P, 16, FALSE)</f>
        <v>65</v>
      </c>
      <c r="C108">
        <f>VLOOKUP(A108, Put!A:P, 16, FALSE)</f>
        <v>55.3</v>
      </c>
      <c r="D108">
        <f>VLOOKUP(A108, Call!A:W, 23, FALSE)</f>
        <v>131.10000000000002</v>
      </c>
      <c r="E108">
        <f>VLOOKUP(A108, Put!A:W, 23, FALSE)</f>
        <v>103.55000000000001</v>
      </c>
      <c r="F108">
        <f t="shared" si="6"/>
        <v>120.3</v>
      </c>
      <c r="G108">
        <f t="shared" si="7"/>
        <v>234.65000000000003</v>
      </c>
      <c r="H108">
        <f>VLOOKUP(A108, Call!A:I, 9, FALSE)</f>
        <v>0.42857142857142855</v>
      </c>
      <c r="I108">
        <f>VLOOKUP(A108, Call!A:J, 10, FALSE)</f>
        <v>0.5714285714285714</v>
      </c>
      <c r="J108">
        <f t="shared" si="8"/>
        <v>185.64285714285714</v>
      </c>
      <c r="K108">
        <f t="shared" si="9"/>
        <v>-16.694642857142838</v>
      </c>
      <c r="L108">
        <f t="shared" si="10"/>
        <v>-8.2508891614964303E-2</v>
      </c>
      <c r="M108">
        <f t="shared" si="11"/>
        <v>-0.61428571428572809</v>
      </c>
    </row>
    <row r="109" spans="1:13" x14ac:dyDescent="0.25">
      <c r="A109" s="1">
        <v>45817</v>
      </c>
      <c r="B109">
        <f>VLOOKUP(A109, Call!A:P, 16, FALSE)</f>
        <v>59.150000000000006</v>
      </c>
      <c r="C109">
        <f>VLOOKUP(A109, Put!A:P, 16, FALSE)</f>
        <v>52.150000000000006</v>
      </c>
      <c r="D109">
        <f>VLOOKUP(A109, Call!A:W, 23, FALSE)</f>
        <v>125.65</v>
      </c>
      <c r="E109">
        <f>VLOOKUP(A109, Put!A:W, 23, FALSE)</f>
        <v>101</v>
      </c>
      <c r="F109">
        <f t="shared" si="6"/>
        <v>111.30000000000001</v>
      </c>
      <c r="G109">
        <f t="shared" si="7"/>
        <v>226.65</v>
      </c>
      <c r="H109">
        <f>VLOOKUP(A109, Call!A:I, 9, FALSE)</f>
        <v>0.32142857142857145</v>
      </c>
      <c r="I109">
        <f>VLOOKUP(A109, Call!A:J, 10, FALSE)</f>
        <v>0.6785714285714286</v>
      </c>
      <c r="J109">
        <f t="shared" si="8"/>
        <v>189.5732142857143</v>
      </c>
      <c r="K109">
        <f t="shared" si="9"/>
        <v>3.9303571428571615</v>
      </c>
      <c r="L109">
        <f t="shared" si="10"/>
        <v>2.1171604463255198E-2</v>
      </c>
      <c r="M109">
        <f t="shared" si="11"/>
        <v>3.3160714285714334</v>
      </c>
    </row>
    <row r="110" spans="1:13" x14ac:dyDescent="0.25">
      <c r="A110" s="1">
        <v>45818</v>
      </c>
      <c r="B110">
        <f>VLOOKUP(A110, Call!A:P, 16, FALSE)</f>
        <v>52.1</v>
      </c>
      <c r="C110">
        <f>VLOOKUP(A110, Put!A:P, 16, FALSE)</f>
        <v>51.650000000000006</v>
      </c>
      <c r="D110">
        <f>VLOOKUP(A110, Call!A:W, 23, FALSE)</f>
        <v>118.75</v>
      </c>
      <c r="E110">
        <f>VLOOKUP(A110, Put!A:W, 23, FALSE)</f>
        <v>100.9</v>
      </c>
      <c r="F110">
        <f t="shared" si="6"/>
        <v>103.75</v>
      </c>
      <c r="G110">
        <f t="shared" si="7"/>
        <v>219.65</v>
      </c>
      <c r="H110">
        <f>VLOOKUP(A110, Call!A:I, 9, FALSE)</f>
        <v>0.2857142857142857</v>
      </c>
      <c r="I110">
        <f>VLOOKUP(A110, Call!A:J, 10, FALSE)</f>
        <v>0.7142857142857143</v>
      </c>
      <c r="J110">
        <f t="shared" si="8"/>
        <v>186.53571428571428</v>
      </c>
      <c r="K110">
        <f t="shared" si="9"/>
        <v>-3.0375000000000227</v>
      </c>
      <c r="L110">
        <f t="shared" si="10"/>
        <v>-1.6022833243846728E-2</v>
      </c>
      <c r="M110">
        <f t="shared" si="11"/>
        <v>0.27857142857141071</v>
      </c>
    </row>
    <row r="111" spans="1:13" x14ac:dyDescent="0.25">
      <c r="A111" s="1">
        <v>45819</v>
      </c>
      <c r="B111">
        <f>VLOOKUP(A111, Call!A:P, 16, FALSE)</f>
        <v>54.2</v>
      </c>
      <c r="C111">
        <f>VLOOKUP(A111, Put!A:P, 16, FALSE)</f>
        <v>46.2</v>
      </c>
      <c r="D111">
        <f>VLOOKUP(A111, Call!A:W, 23, FALSE)</f>
        <v>123.5</v>
      </c>
      <c r="E111">
        <f>VLOOKUP(A111, Put!A:W, 23, FALSE)</f>
        <v>97.9</v>
      </c>
      <c r="F111">
        <f t="shared" si="6"/>
        <v>100.4</v>
      </c>
      <c r="G111">
        <f t="shared" si="7"/>
        <v>221.4</v>
      </c>
      <c r="H111">
        <f>VLOOKUP(A111, Call!A:I, 9, FALSE)</f>
        <v>0.25</v>
      </c>
      <c r="I111">
        <f>VLOOKUP(A111, Call!A:J, 10, FALSE)</f>
        <v>0.75</v>
      </c>
      <c r="J111">
        <f t="shared" si="8"/>
        <v>191.15</v>
      </c>
      <c r="K111">
        <f t="shared" si="9"/>
        <v>4.6142857142857281</v>
      </c>
      <c r="L111">
        <f t="shared" si="10"/>
        <v>2.4736741336396782E-2</v>
      </c>
      <c r="M111">
        <f t="shared" si="11"/>
        <v>4.8928571428571388</v>
      </c>
    </row>
    <row r="112" spans="1:13" x14ac:dyDescent="0.25">
      <c r="A112" s="1">
        <v>45820</v>
      </c>
      <c r="B112">
        <f>VLOOKUP(A112, Call!A:P, 16, FALSE)</f>
        <v>45.1</v>
      </c>
      <c r="C112">
        <f>VLOOKUP(A112, Put!A:P, 16, FALSE)</f>
        <v>47.349999999999994</v>
      </c>
      <c r="D112">
        <f>VLOOKUP(A112, Call!A:W, 23, FALSE)</f>
        <v>117.85</v>
      </c>
      <c r="E112">
        <f>VLOOKUP(A112, Put!A:W, 23, FALSE)</f>
        <v>102.55000000000001</v>
      </c>
      <c r="F112">
        <f t="shared" si="6"/>
        <v>92.449999999999989</v>
      </c>
      <c r="G112">
        <f t="shared" si="7"/>
        <v>220.4</v>
      </c>
      <c r="H112">
        <f>VLOOKUP(A112, Call!A:I, 9, FALSE)</f>
        <v>0.21428571428571427</v>
      </c>
      <c r="I112">
        <f>VLOOKUP(A112, Call!A:J, 10, FALSE)</f>
        <v>0.7857142857142857</v>
      </c>
      <c r="J112">
        <f t="shared" si="8"/>
        <v>192.98214285714286</v>
      </c>
      <c r="K112">
        <f t="shared" si="9"/>
        <v>1.8321428571428555</v>
      </c>
      <c r="L112">
        <f t="shared" si="10"/>
        <v>9.5848436157094184E-3</v>
      </c>
      <c r="M112">
        <f t="shared" si="11"/>
        <v>6.7249999999999943</v>
      </c>
    </row>
    <row r="113" spans="1:13" x14ac:dyDescent="0.25">
      <c r="A113" s="1">
        <v>45821</v>
      </c>
      <c r="B113">
        <f>VLOOKUP(A113, Call!A:P, 16, FALSE)</f>
        <v>55.400000000000006</v>
      </c>
      <c r="C113">
        <f>VLOOKUP(A113, Put!A:P, 16, FALSE)</f>
        <v>52.05</v>
      </c>
      <c r="D113">
        <f>VLOOKUP(A113, Call!A:W, 23, FALSE)</f>
        <v>132.5</v>
      </c>
      <c r="E113">
        <f>VLOOKUP(A113, Put!A:W, 23, FALSE)</f>
        <v>111.7</v>
      </c>
      <c r="F113">
        <f t="shared" si="6"/>
        <v>107.45</v>
      </c>
      <c r="G113">
        <f t="shared" si="7"/>
        <v>244.2</v>
      </c>
      <c r="H113">
        <f>VLOOKUP(A113, Call!A:I, 9, FALSE)</f>
        <v>0.17857142857142858</v>
      </c>
      <c r="I113">
        <f>VLOOKUP(A113, Call!A:J, 10, FALSE)</f>
        <v>0.8214285714285714</v>
      </c>
      <c r="J113">
        <f t="shared" si="8"/>
        <v>219.78035714285713</v>
      </c>
      <c r="K113">
        <f t="shared" si="9"/>
        <v>26.798214285714266</v>
      </c>
      <c r="L113">
        <f t="shared" si="10"/>
        <v>0.13886369945405744</v>
      </c>
      <c r="M113">
        <f t="shared" si="11"/>
        <v>33.523214285714261</v>
      </c>
    </row>
    <row r="114" spans="1:13" x14ac:dyDescent="0.25">
      <c r="A114" s="1">
        <v>45824</v>
      </c>
      <c r="B114">
        <f>VLOOKUP(A114, Call!A:P, 16, FALSE)</f>
        <v>36.200000000000003</v>
      </c>
      <c r="C114">
        <f>VLOOKUP(A114, Put!A:P, 16, FALSE)</f>
        <v>34</v>
      </c>
      <c r="D114">
        <f>VLOOKUP(A114, Call!A:W, 23, FALSE)</f>
        <v>115.55</v>
      </c>
      <c r="E114">
        <f>VLOOKUP(A114, Put!A:W, 23, FALSE)</f>
        <v>96</v>
      </c>
      <c r="F114">
        <f t="shared" si="6"/>
        <v>70.2</v>
      </c>
      <c r="G114">
        <f t="shared" si="7"/>
        <v>211.55</v>
      </c>
      <c r="H114">
        <f>VLOOKUP(A114, Call!A:I, 9, FALSE)</f>
        <v>7.1428571428571425E-2</v>
      </c>
      <c r="I114">
        <f>VLOOKUP(A114, Call!A:J, 10, FALSE)</f>
        <v>0.9285714285714286</v>
      </c>
      <c r="J114">
        <f t="shared" si="8"/>
        <v>201.45357142857145</v>
      </c>
      <c r="K114">
        <f t="shared" si="9"/>
        <v>-18.326785714285677</v>
      </c>
      <c r="L114">
        <f t="shared" si="10"/>
        <v>-8.338682288323554E-2</v>
      </c>
      <c r="M114">
        <f t="shared" si="11"/>
        <v>15.196428571428584</v>
      </c>
    </row>
    <row r="115" spans="1:13" x14ac:dyDescent="0.25">
      <c r="A115" s="1">
        <v>45825</v>
      </c>
      <c r="B115">
        <f>VLOOKUP(A115, Call!A:P, 16, FALSE)</f>
        <v>42</v>
      </c>
      <c r="C115">
        <f>VLOOKUP(A115, Put!A:P, 16, FALSE)</f>
        <v>42.4</v>
      </c>
      <c r="D115">
        <f>VLOOKUP(A115, Call!A:W, 23, FALSE)</f>
        <v>125.65</v>
      </c>
      <c r="E115">
        <f>VLOOKUP(A115, Put!A:W, 23, FALSE)</f>
        <v>109.05</v>
      </c>
      <c r="F115">
        <f t="shared" si="6"/>
        <v>84.4</v>
      </c>
      <c r="G115">
        <f t="shared" si="7"/>
        <v>234.7</v>
      </c>
      <c r="H115">
        <f>VLOOKUP(A115, Call!A:I, 9, FALSE)</f>
        <v>3.5714285714285712E-2</v>
      </c>
      <c r="I115">
        <f>VLOOKUP(A115, Call!A:J, 10, FALSE)</f>
        <v>0.9642857142857143</v>
      </c>
      <c r="J115">
        <f t="shared" si="8"/>
        <v>229.33214285714283</v>
      </c>
      <c r="K115">
        <f t="shared" si="9"/>
        <v>27.878571428571377</v>
      </c>
      <c r="L115">
        <f t="shared" si="10"/>
        <v>0.13838707961777766</v>
      </c>
      <c r="M115">
        <f t="shared" si="11"/>
        <v>43.07499999999996</v>
      </c>
    </row>
    <row r="116" spans="1:13" x14ac:dyDescent="0.25">
      <c r="A116" s="1">
        <v>45826</v>
      </c>
      <c r="B116">
        <f>VLOOKUP(A116, Call!A:P, 16, FALSE)</f>
        <v>26.5</v>
      </c>
      <c r="C116">
        <f>VLOOKUP(A116, Put!A:P, 16, FALSE)</f>
        <v>23.1</v>
      </c>
      <c r="D116">
        <f>VLOOKUP(A116, Call!A:W, 23, FALSE)</f>
        <v>121.2</v>
      </c>
      <c r="E116">
        <f>VLOOKUP(A116, Put!A:W, 23, FALSE)</f>
        <v>100.85</v>
      </c>
      <c r="F116">
        <f t="shared" si="6"/>
        <v>49.6</v>
      </c>
      <c r="G116">
        <f t="shared" si="7"/>
        <v>222.05</v>
      </c>
      <c r="H116">
        <f>VLOOKUP(A116, Call!A:I, 9, FALSE)</f>
        <v>0</v>
      </c>
      <c r="I116">
        <f>VLOOKUP(A116, Call!A:J, 10, FALSE)</f>
        <v>1</v>
      </c>
      <c r="J116">
        <f t="shared" si="8"/>
        <v>222.05</v>
      </c>
      <c r="K116">
        <f t="shared" si="9"/>
        <v>-7.2821428571428157</v>
      </c>
      <c r="L116">
        <f t="shared" si="10"/>
        <v>-3.1753694734710861E-2</v>
      </c>
      <c r="M116">
        <f t="shared" si="11"/>
        <v>35.792857142857144</v>
      </c>
    </row>
    <row r="117" spans="1:13" x14ac:dyDescent="0.25">
      <c r="A117" s="1">
        <v>45828</v>
      </c>
      <c r="B117">
        <f>VLOOKUP(A117, Call!A:P, 16, FALSE)</f>
        <v>118.15</v>
      </c>
      <c r="C117">
        <f>VLOOKUP(A117, Put!A:P, 16, FALSE)</f>
        <v>97.6</v>
      </c>
      <c r="D117">
        <f>VLOOKUP(A117, Call!A:W, 23, FALSE)</f>
        <v>176.14999999999998</v>
      </c>
      <c r="E117">
        <f>VLOOKUP(A117, Put!A:W, 23, FALSE)</f>
        <v>139.94999999999999</v>
      </c>
      <c r="F117">
        <f t="shared" si="6"/>
        <v>215.75</v>
      </c>
      <c r="G117">
        <f t="shared" si="7"/>
        <v>316.09999999999997</v>
      </c>
      <c r="H117">
        <f>VLOOKUP(A117, Call!A:I, 9, FALSE)</f>
        <v>0.9285714285714286</v>
      </c>
      <c r="I117">
        <f>VLOOKUP(A117, Call!A:J, 10, FALSE)</f>
        <v>7.1428571428571425E-2</v>
      </c>
      <c r="J117">
        <f t="shared" si="8"/>
        <v>222.91785714285714</v>
      </c>
      <c r="K117">
        <f t="shared" si="9"/>
        <v>0.86785714285713311</v>
      </c>
      <c r="L117">
        <f t="shared" si="10"/>
        <v>3.9083861421172397E-3</v>
      </c>
      <c r="M117">
        <f t="shared" si="11"/>
        <v>36.660714285714278</v>
      </c>
    </row>
    <row r="118" spans="1:13" x14ac:dyDescent="0.25">
      <c r="A118" s="1">
        <v>45831</v>
      </c>
      <c r="B118">
        <f>VLOOKUP(A118, Call!A:P, 16, FALSE)</f>
        <v>104.05000000000001</v>
      </c>
      <c r="C118">
        <f>VLOOKUP(A118, Put!A:P, 16, FALSE)</f>
        <v>87.050000000000011</v>
      </c>
      <c r="D118">
        <f>VLOOKUP(A118, Call!A:W, 23, FALSE)</f>
        <v>163.30000000000001</v>
      </c>
      <c r="E118">
        <f>VLOOKUP(A118, Put!A:W, 23, FALSE)</f>
        <v>130.10000000000002</v>
      </c>
      <c r="F118">
        <f t="shared" si="6"/>
        <v>191.10000000000002</v>
      </c>
      <c r="G118">
        <f t="shared" si="7"/>
        <v>293.40000000000003</v>
      </c>
      <c r="H118">
        <f>VLOOKUP(A118, Call!A:I, 9, FALSE)</f>
        <v>0.8214285714285714</v>
      </c>
      <c r="I118">
        <f>VLOOKUP(A118, Call!A:J, 10, FALSE)</f>
        <v>0.17857142857142858</v>
      </c>
      <c r="J118">
        <f t="shared" si="8"/>
        <v>209.36785714285719</v>
      </c>
      <c r="K118">
        <f t="shared" si="9"/>
        <v>-13.549999999999955</v>
      </c>
      <c r="L118">
        <f t="shared" si="10"/>
        <v>-6.0784722110963155E-2</v>
      </c>
      <c r="M118">
        <f t="shared" si="11"/>
        <v>23.110714285714323</v>
      </c>
    </row>
    <row r="119" spans="1:13" x14ac:dyDescent="0.25">
      <c r="A119" s="1">
        <v>45832</v>
      </c>
      <c r="B119">
        <f>VLOOKUP(A119, Call!A:P, 16, FALSE)</f>
        <v>93.199999999999989</v>
      </c>
      <c r="C119">
        <f>VLOOKUP(A119, Put!A:P, 16, FALSE)</f>
        <v>76.699999999999989</v>
      </c>
      <c r="D119">
        <f>VLOOKUP(A119, Call!A:W, 23, FALSE)</f>
        <v>150.69999999999999</v>
      </c>
      <c r="E119">
        <f>VLOOKUP(A119, Put!A:W, 23, FALSE)</f>
        <v>117.3</v>
      </c>
      <c r="F119">
        <f t="shared" si="6"/>
        <v>169.89999999999998</v>
      </c>
      <c r="G119">
        <f t="shared" si="7"/>
        <v>268</v>
      </c>
      <c r="H119">
        <f>VLOOKUP(A119, Call!A:I, 9, FALSE)</f>
        <v>0.7857142857142857</v>
      </c>
      <c r="I119">
        <f>VLOOKUP(A119, Call!A:J, 10, FALSE)</f>
        <v>0.21428571428571427</v>
      </c>
      <c r="J119">
        <f t="shared" si="8"/>
        <v>190.92142857142855</v>
      </c>
      <c r="K119">
        <f t="shared" si="9"/>
        <v>-18.44642857142864</v>
      </c>
      <c r="L119">
        <f t="shared" si="10"/>
        <v>-8.8105351142043542E-2</v>
      </c>
      <c r="M119">
        <f t="shared" si="11"/>
        <v>4.6642857142856826</v>
      </c>
    </row>
    <row r="120" spans="1:13" x14ac:dyDescent="0.25">
      <c r="A120" s="1">
        <v>45833</v>
      </c>
      <c r="B120">
        <f>VLOOKUP(A120, Call!A:P, 16, FALSE)</f>
        <v>90.85</v>
      </c>
      <c r="C120">
        <f>VLOOKUP(A120, Put!A:P, 16, FALSE)</f>
        <v>71.949999999999989</v>
      </c>
      <c r="D120">
        <f>VLOOKUP(A120, Call!A:W, 23, FALSE)</f>
        <v>149.05000000000001</v>
      </c>
      <c r="E120">
        <f>VLOOKUP(A120, Put!A:W, 23, FALSE)</f>
        <v>113.35</v>
      </c>
      <c r="F120">
        <f t="shared" si="6"/>
        <v>162.79999999999998</v>
      </c>
      <c r="G120">
        <f t="shared" si="7"/>
        <v>262.39999999999998</v>
      </c>
      <c r="H120">
        <f>VLOOKUP(A120, Call!A:I, 9, FALSE)</f>
        <v>0.75</v>
      </c>
      <c r="I120">
        <f>VLOOKUP(A120, Call!A:J, 10, FALSE)</f>
        <v>0.25</v>
      </c>
      <c r="J120">
        <f t="shared" si="8"/>
        <v>187.7</v>
      </c>
      <c r="K120">
        <f t="shared" si="9"/>
        <v>-3.2214285714285609</v>
      </c>
      <c r="L120">
        <f t="shared" si="10"/>
        <v>-1.6873059224063697E-2</v>
      </c>
      <c r="M120">
        <f t="shared" si="11"/>
        <v>1.4428571428571217</v>
      </c>
    </row>
    <row r="121" spans="1:13" x14ac:dyDescent="0.25">
      <c r="A121" s="1">
        <v>45834</v>
      </c>
      <c r="B121">
        <f>VLOOKUP(A121, Call!A:P, 16, FALSE)</f>
        <v>86.9</v>
      </c>
      <c r="C121">
        <f>VLOOKUP(A121, Put!A:P, 16, FALSE)</f>
        <v>68.2</v>
      </c>
      <c r="D121">
        <f>VLOOKUP(A121, Call!A:W, 23, FALSE)</f>
        <v>146.5</v>
      </c>
      <c r="E121">
        <f>VLOOKUP(A121, Put!A:W, 23, FALSE)</f>
        <v>110.65</v>
      </c>
      <c r="F121">
        <f t="shared" si="6"/>
        <v>155.10000000000002</v>
      </c>
      <c r="G121">
        <f t="shared" si="7"/>
        <v>257.14999999999998</v>
      </c>
      <c r="H121">
        <f>VLOOKUP(A121, Call!A:I, 9, FALSE)</f>
        <v>0.7142857142857143</v>
      </c>
      <c r="I121">
        <f>VLOOKUP(A121, Call!A:J, 10, FALSE)</f>
        <v>0.2857142857142857</v>
      </c>
      <c r="J121">
        <f t="shared" si="8"/>
        <v>184.25714285714287</v>
      </c>
      <c r="K121">
        <f t="shared" si="9"/>
        <v>-3.4428571428571217</v>
      </c>
      <c r="L121">
        <f t="shared" si="10"/>
        <v>-1.8342339599665008E-2</v>
      </c>
      <c r="M121">
        <f t="shared" si="11"/>
        <v>-2</v>
      </c>
    </row>
    <row r="122" spans="1:13" x14ac:dyDescent="0.25">
      <c r="A122" s="1">
        <v>45835</v>
      </c>
      <c r="B122">
        <f>VLOOKUP(A122, Call!A:P, 16, FALSE)</f>
        <v>77.849999999999994</v>
      </c>
      <c r="C122">
        <f>VLOOKUP(A122, Put!A:P, 16, FALSE)</f>
        <v>68</v>
      </c>
      <c r="D122">
        <f>VLOOKUP(A122, Call!A:W, 23, FALSE)</f>
        <v>139.94999999999999</v>
      </c>
      <c r="E122">
        <f>VLOOKUP(A122, Put!A:W, 23, FALSE)</f>
        <v>114.4</v>
      </c>
      <c r="F122">
        <f t="shared" si="6"/>
        <v>145.85</v>
      </c>
      <c r="G122">
        <f t="shared" si="7"/>
        <v>254.35</v>
      </c>
      <c r="H122">
        <f>VLOOKUP(A122, Call!A:I, 9, FALSE)</f>
        <v>0.6785714285714286</v>
      </c>
      <c r="I122">
        <f>VLOOKUP(A122, Call!A:J, 10, FALSE)</f>
        <v>0.32142857142857145</v>
      </c>
      <c r="J122">
        <f t="shared" si="8"/>
        <v>180.72500000000002</v>
      </c>
      <c r="K122">
        <f t="shared" si="9"/>
        <v>-3.5321428571428442</v>
      </c>
      <c r="L122">
        <f t="shared" si="10"/>
        <v>-1.9169638703674916E-2</v>
      </c>
      <c r="M122">
        <f t="shared" si="11"/>
        <v>-5.5321428571428442</v>
      </c>
    </row>
    <row r="123" spans="1:13" x14ac:dyDescent="0.25">
      <c r="A123" s="1">
        <v>45838</v>
      </c>
      <c r="B123">
        <f>VLOOKUP(A123, Call!A:P, 16, FALSE)</f>
        <v>71.650000000000006</v>
      </c>
      <c r="C123">
        <f>VLOOKUP(A123, Put!A:P, 16, FALSE)</f>
        <v>68.599999999999994</v>
      </c>
      <c r="D123">
        <f>VLOOKUP(A123, Call!A:W, 23, FALSE)</f>
        <v>133.94999999999999</v>
      </c>
      <c r="E123">
        <f>VLOOKUP(A123, Put!A:W, 23, FALSE)</f>
        <v>113.75</v>
      </c>
      <c r="F123">
        <f t="shared" si="6"/>
        <v>140.25</v>
      </c>
      <c r="G123">
        <f t="shared" si="7"/>
        <v>247.7</v>
      </c>
      <c r="H123">
        <f>VLOOKUP(A123, Call!A:I, 9, FALSE)</f>
        <v>0.5714285714285714</v>
      </c>
      <c r="I123">
        <f>VLOOKUP(A123, Call!A:J, 10, FALSE)</f>
        <v>0.42857142857142855</v>
      </c>
      <c r="J123">
        <f t="shared" si="8"/>
        <v>186.29999999999998</v>
      </c>
      <c r="K123">
        <f t="shared" si="9"/>
        <v>5.5749999999999602</v>
      </c>
      <c r="L123">
        <f t="shared" si="10"/>
        <v>3.084797344030964E-2</v>
      </c>
      <c r="M123">
        <f t="shared" si="11"/>
        <v>4.285714285711606E-2</v>
      </c>
    </row>
    <row r="124" spans="1:13" x14ac:dyDescent="0.25">
      <c r="A124" s="1">
        <v>45839</v>
      </c>
      <c r="B124">
        <f>VLOOKUP(A124, Call!A:P, 16, FALSE)</f>
        <v>73.900000000000006</v>
      </c>
      <c r="C124">
        <f>VLOOKUP(A124, Put!A:P, 16, FALSE)</f>
        <v>63.3</v>
      </c>
      <c r="D124">
        <f>VLOOKUP(A124, Call!A:W, 23, FALSE)</f>
        <v>137.80000000000001</v>
      </c>
      <c r="E124">
        <f>VLOOKUP(A124, Put!A:W, 23, FALSE)</f>
        <v>109.80000000000001</v>
      </c>
      <c r="F124">
        <f t="shared" si="6"/>
        <v>137.19999999999999</v>
      </c>
      <c r="G124">
        <f t="shared" si="7"/>
        <v>247.60000000000002</v>
      </c>
      <c r="H124">
        <f>VLOOKUP(A124, Call!A:I, 9, FALSE)</f>
        <v>0.5357142857142857</v>
      </c>
      <c r="I124">
        <f>VLOOKUP(A124, Call!A:J, 10, FALSE)</f>
        <v>0.4642857142857143</v>
      </c>
      <c r="J124">
        <f t="shared" si="8"/>
        <v>188.45714285714286</v>
      </c>
      <c r="K124">
        <f t="shared" si="9"/>
        <v>2.1571428571428726</v>
      </c>
      <c r="L124">
        <f t="shared" si="10"/>
        <v>1.1578866651330504E-2</v>
      </c>
      <c r="M124">
        <f t="shared" si="11"/>
        <v>2.1999999999999886</v>
      </c>
    </row>
    <row r="125" spans="1:13" x14ac:dyDescent="0.25">
      <c r="A125" s="1">
        <v>45840</v>
      </c>
      <c r="B125">
        <f>VLOOKUP(A125, Call!A:P, 16, FALSE)</f>
        <v>72.400000000000006</v>
      </c>
      <c r="C125">
        <f>VLOOKUP(A125, Put!A:P, 16, FALSE)</f>
        <v>57.75</v>
      </c>
      <c r="D125">
        <f>VLOOKUP(A125, Call!A:W, 23, FALSE)</f>
        <v>137.94999999999999</v>
      </c>
      <c r="E125">
        <f>VLOOKUP(A125, Put!A:W, 23, FALSE)</f>
        <v>106</v>
      </c>
      <c r="F125">
        <f t="shared" si="6"/>
        <v>130.15</v>
      </c>
      <c r="G125">
        <f t="shared" si="7"/>
        <v>243.95</v>
      </c>
      <c r="H125">
        <f>VLOOKUP(A125, Call!A:I, 9, FALSE)</f>
        <v>0.5</v>
      </c>
      <c r="I125">
        <f>VLOOKUP(A125, Call!A:J, 10, FALSE)</f>
        <v>0.5</v>
      </c>
      <c r="J125">
        <f t="shared" si="8"/>
        <v>187.05</v>
      </c>
      <c r="K125">
        <f t="shared" si="9"/>
        <v>-1.4071428571428442</v>
      </c>
      <c r="L125">
        <f t="shared" si="10"/>
        <v>-7.4666464523953221E-3</v>
      </c>
      <c r="M125">
        <f t="shared" si="11"/>
        <v>0.79285714285714448</v>
      </c>
    </row>
    <row r="126" spans="1:13" x14ac:dyDescent="0.25">
      <c r="A126" s="1">
        <v>45841</v>
      </c>
      <c r="B126">
        <f>VLOOKUP(A126, Call!A:P, 16, FALSE)</f>
        <v>63.55</v>
      </c>
      <c r="C126">
        <f>VLOOKUP(A126, Put!A:P, 16, FALSE)</f>
        <v>58.7</v>
      </c>
      <c r="D126">
        <f>VLOOKUP(A126, Call!A:W, 23, FALSE)</f>
        <v>130.60000000000002</v>
      </c>
      <c r="E126">
        <f>VLOOKUP(A126, Put!A:W, 23, FALSE)</f>
        <v>108</v>
      </c>
      <c r="F126">
        <f t="shared" si="6"/>
        <v>122.25</v>
      </c>
      <c r="G126">
        <f t="shared" si="7"/>
        <v>238.60000000000002</v>
      </c>
      <c r="H126">
        <f>VLOOKUP(A126, Call!A:I, 9, FALSE)</f>
        <v>0.4642857142857143</v>
      </c>
      <c r="I126">
        <f>VLOOKUP(A126, Call!A:J, 10, FALSE)</f>
        <v>0.5357142857142857</v>
      </c>
      <c r="J126">
        <f t="shared" si="8"/>
        <v>184.58035714285717</v>
      </c>
      <c r="K126">
        <f t="shared" si="9"/>
        <v>-2.4696428571428442</v>
      </c>
      <c r="L126">
        <f t="shared" si="10"/>
        <v>-1.3203116049948378E-2</v>
      </c>
      <c r="M126">
        <f t="shared" si="11"/>
        <v>-1.6767857142856997</v>
      </c>
    </row>
    <row r="127" spans="1:13" x14ac:dyDescent="0.25">
      <c r="A127" s="1">
        <v>45845</v>
      </c>
      <c r="B127">
        <f>VLOOKUP(A127, Call!A:P, 16, FALSE)</f>
        <v>56.55</v>
      </c>
      <c r="C127">
        <f>VLOOKUP(A127, Put!A:P, 16, FALSE)</f>
        <v>61.15</v>
      </c>
      <c r="D127">
        <f>VLOOKUP(A127, Call!A:W, 23, FALSE)</f>
        <v>127</v>
      </c>
      <c r="E127">
        <f>VLOOKUP(A127, Put!A:W, 23, FALSE)</f>
        <v>114.25</v>
      </c>
      <c r="F127">
        <f t="shared" si="6"/>
        <v>117.69999999999999</v>
      </c>
      <c r="G127">
        <f t="shared" si="7"/>
        <v>241.25</v>
      </c>
      <c r="H127">
        <f>VLOOKUP(A127, Call!A:I, 9, FALSE)</f>
        <v>0.32142857142857145</v>
      </c>
      <c r="I127">
        <f>VLOOKUP(A127, Call!A:J, 10, FALSE)</f>
        <v>0.6785714285714286</v>
      </c>
      <c r="J127">
        <f t="shared" si="8"/>
        <v>201.53749999999999</v>
      </c>
      <c r="K127">
        <f t="shared" si="9"/>
        <v>16.957142857142827</v>
      </c>
      <c r="L127">
        <f t="shared" si="10"/>
        <v>9.1868620906496223E-2</v>
      </c>
      <c r="M127">
        <f t="shared" si="11"/>
        <v>15.280357142857127</v>
      </c>
    </row>
    <row r="128" spans="1:13" x14ac:dyDescent="0.25">
      <c r="A128" s="1">
        <v>45846</v>
      </c>
      <c r="B128">
        <f>VLOOKUP(A128, Call!A:P, 16, FALSE)</f>
        <v>54.05</v>
      </c>
      <c r="C128">
        <f>VLOOKUP(A128, Put!A:P, 16, FALSE)</f>
        <v>45.5</v>
      </c>
      <c r="D128">
        <f>VLOOKUP(A128, Call!A:W, 23, FALSE)</f>
        <v>127.2</v>
      </c>
      <c r="E128">
        <f>VLOOKUP(A128, Put!A:W, 23, FALSE)</f>
        <v>101.25</v>
      </c>
      <c r="F128">
        <f t="shared" si="6"/>
        <v>99.55</v>
      </c>
      <c r="G128">
        <f t="shared" si="7"/>
        <v>228.45</v>
      </c>
      <c r="H128">
        <f>VLOOKUP(A128, Call!A:I, 9, FALSE)</f>
        <v>0.2857142857142857</v>
      </c>
      <c r="I128">
        <f>VLOOKUP(A128, Call!A:J, 10, FALSE)</f>
        <v>0.7142857142857143</v>
      </c>
      <c r="J128">
        <f t="shared" si="8"/>
        <v>191.62142857142857</v>
      </c>
      <c r="K128">
        <f t="shared" si="9"/>
        <v>-9.9160714285714278</v>
      </c>
      <c r="L128">
        <f t="shared" si="10"/>
        <v>-4.9202115877052303E-2</v>
      </c>
      <c r="M128">
        <f t="shared" si="11"/>
        <v>5.3642857142856997</v>
      </c>
    </row>
    <row r="129" spans="1:13" x14ac:dyDescent="0.25">
      <c r="A129" s="1">
        <v>45847</v>
      </c>
      <c r="B129">
        <f>VLOOKUP(A129, Call!A:P, 16, FALSE)</f>
        <v>44.35</v>
      </c>
      <c r="C129">
        <f>VLOOKUP(A129, Put!A:P, 16, FALSE)</f>
        <v>41.25</v>
      </c>
      <c r="D129">
        <f>VLOOKUP(A129, Call!A:W, 23, FALSE)</f>
        <v>117.35</v>
      </c>
      <c r="E129">
        <f>VLOOKUP(A129, Put!A:W, 23, FALSE)</f>
        <v>96.65</v>
      </c>
      <c r="F129">
        <f t="shared" si="6"/>
        <v>85.6</v>
      </c>
      <c r="G129">
        <f t="shared" si="7"/>
        <v>214</v>
      </c>
      <c r="H129">
        <f>VLOOKUP(A129, Call!A:I, 9, FALSE)</f>
        <v>0.25</v>
      </c>
      <c r="I129">
        <f>VLOOKUP(A129, Call!A:J, 10, FALSE)</f>
        <v>0.75</v>
      </c>
      <c r="J129">
        <f t="shared" si="8"/>
        <v>181.9</v>
      </c>
      <c r="K129">
        <f t="shared" si="9"/>
        <v>-9.7214285714285609</v>
      </c>
      <c r="L129">
        <f t="shared" si="10"/>
        <v>-5.0732471018004197E-2</v>
      </c>
      <c r="M129">
        <f t="shared" si="11"/>
        <v>-4.3571428571428612</v>
      </c>
    </row>
    <row r="130" spans="1:13" x14ac:dyDescent="0.25">
      <c r="A130" s="1">
        <v>45848</v>
      </c>
      <c r="B130">
        <f>VLOOKUP(A130, Call!A:P, 16, FALSE)</f>
        <v>39.950000000000003</v>
      </c>
      <c r="C130">
        <f>VLOOKUP(A130, Put!A:P, 16, FALSE)</f>
        <v>37</v>
      </c>
      <c r="D130">
        <f>VLOOKUP(A130, Call!A:W, 23, FALSE)</f>
        <v>113.35</v>
      </c>
      <c r="E130">
        <f>VLOOKUP(A130, Put!A:W, 23, FALSE)</f>
        <v>92.85</v>
      </c>
      <c r="F130">
        <f t="shared" si="6"/>
        <v>76.95</v>
      </c>
      <c r="G130">
        <f t="shared" si="7"/>
        <v>206.2</v>
      </c>
      <c r="H130">
        <f>VLOOKUP(A130, Call!A:I, 9, FALSE)</f>
        <v>0.21428571428571427</v>
      </c>
      <c r="I130">
        <f>VLOOKUP(A130, Call!A:J, 10, FALSE)</f>
        <v>0.7857142857142857</v>
      </c>
      <c r="J130">
        <f t="shared" si="8"/>
        <v>178.50357142857143</v>
      </c>
      <c r="K130">
        <f t="shared" si="9"/>
        <v>-3.3964285714285722</v>
      </c>
      <c r="L130">
        <f t="shared" si="10"/>
        <v>-1.8671954763213702E-2</v>
      </c>
      <c r="M130">
        <f t="shared" si="11"/>
        <v>-7.7535714285714334</v>
      </c>
    </row>
    <row r="131" spans="1:13" x14ac:dyDescent="0.25">
      <c r="A131" s="1">
        <v>45849</v>
      </c>
      <c r="B131">
        <f>VLOOKUP(A131, Call!A:P, 16, FALSE)</f>
        <v>35.5</v>
      </c>
      <c r="C131">
        <f>VLOOKUP(A131, Put!A:P, 16, FALSE)</f>
        <v>39.200000000000003</v>
      </c>
      <c r="D131">
        <f>VLOOKUP(A131, Call!A:W, 23, FALSE)</f>
        <v>111.55</v>
      </c>
      <c r="E131">
        <f>VLOOKUP(A131, Put!A:W, 23, FALSE)</f>
        <v>97.75</v>
      </c>
      <c r="F131">
        <f t="shared" ref="F131:F194" si="12">B131+C131</f>
        <v>74.7</v>
      </c>
      <c r="G131">
        <f t="shared" ref="G131:G194" si="13">D131+E131</f>
        <v>209.3</v>
      </c>
      <c r="H131">
        <f>VLOOKUP(A131, Call!A:I, 9, FALSE)</f>
        <v>0.17857142857142858</v>
      </c>
      <c r="I131">
        <f>VLOOKUP(A131, Call!A:J, 10, FALSE)</f>
        <v>0.8214285714285714</v>
      </c>
      <c r="J131">
        <f t="shared" ref="J131:J194" si="14">F131*H131+G131*I131</f>
        <v>185.26428571428573</v>
      </c>
      <c r="K131">
        <f t="shared" si="9"/>
        <v>6.7607142857143003</v>
      </c>
      <c r="L131">
        <f t="shared" si="10"/>
        <v>3.7874392269062328E-2</v>
      </c>
      <c r="M131">
        <f t="shared" si="11"/>
        <v>-0.99285714285713311</v>
      </c>
    </row>
    <row r="132" spans="1:13" x14ac:dyDescent="0.25">
      <c r="A132" s="1">
        <v>45852</v>
      </c>
      <c r="B132">
        <f>VLOOKUP(A132, Call!A:P, 16, FALSE)</f>
        <v>32.85</v>
      </c>
      <c r="C132">
        <f>VLOOKUP(A132, Put!A:P, 16, FALSE)</f>
        <v>31.6</v>
      </c>
      <c r="D132">
        <f>VLOOKUP(A132, Call!A:W, 23, FALSE)</f>
        <v>113.05000000000001</v>
      </c>
      <c r="E132">
        <f>VLOOKUP(A132, Put!A:W, 23, FALSE)</f>
        <v>94.5</v>
      </c>
      <c r="F132">
        <f t="shared" si="12"/>
        <v>64.45</v>
      </c>
      <c r="G132">
        <f t="shared" si="13"/>
        <v>207.55</v>
      </c>
      <c r="H132">
        <f>VLOOKUP(A132, Call!A:I, 9, FALSE)</f>
        <v>7.1428571428571425E-2</v>
      </c>
      <c r="I132">
        <f>VLOOKUP(A132, Call!A:J, 10, FALSE)</f>
        <v>0.9285714285714286</v>
      </c>
      <c r="J132">
        <f t="shared" si="14"/>
        <v>197.32857142857145</v>
      </c>
      <c r="K132">
        <f t="shared" ref="K132:K195" si="15">J132-J131</f>
        <v>12.064285714285717</v>
      </c>
      <c r="L132">
        <f t="shared" ref="L132:L195" si="16">(J132-J131)/J131</f>
        <v>6.5119327601495941E-2</v>
      </c>
      <c r="M132">
        <f t="shared" ref="M132:M195" si="17">M131 + K132</f>
        <v>11.071428571428584</v>
      </c>
    </row>
    <row r="133" spans="1:13" x14ac:dyDescent="0.25">
      <c r="A133" s="1">
        <v>45853</v>
      </c>
      <c r="B133">
        <f>VLOOKUP(A133, Call!A:P, 16, FALSE)</f>
        <v>24.15</v>
      </c>
      <c r="C133">
        <f>VLOOKUP(A133, Put!A:P, 16, FALSE)</f>
        <v>33.25</v>
      </c>
      <c r="D133">
        <f>VLOOKUP(A133, Call!A:W, 23, FALSE)</f>
        <v>107.85</v>
      </c>
      <c r="E133">
        <f>VLOOKUP(A133, Put!A:W, 23, FALSE)</f>
        <v>99.4</v>
      </c>
      <c r="F133">
        <f t="shared" si="12"/>
        <v>57.4</v>
      </c>
      <c r="G133">
        <f t="shared" si="13"/>
        <v>207.25</v>
      </c>
      <c r="H133">
        <f>VLOOKUP(A133, Call!A:I, 9, FALSE)</f>
        <v>3.5714285714285712E-2</v>
      </c>
      <c r="I133">
        <f>VLOOKUP(A133, Call!A:J, 10, FALSE)</f>
        <v>0.9642857142857143</v>
      </c>
      <c r="J133">
        <f t="shared" si="14"/>
        <v>201.89821428571429</v>
      </c>
      <c r="K133">
        <f t="shared" si="15"/>
        <v>4.5696428571428385</v>
      </c>
      <c r="L133">
        <f t="shared" si="16"/>
        <v>2.3157532758995052E-2</v>
      </c>
      <c r="M133">
        <f t="shared" si="17"/>
        <v>15.641071428571422</v>
      </c>
    </row>
    <row r="134" spans="1:13" x14ac:dyDescent="0.25">
      <c r="A134" s="1">
        <v>45854</v>
      </c>
      <c r="B134">
        <f>VLOOKUP(A134, Call!A:P, 16, FALSE)</f>
        <v>18.100000000000001</v>
      </c>
      <c r="C134">
        <f>VLOOKUP(A134, Put!A:P, 16, FALSE)</f>
        <v>21.85</v>
      </c>
      <c r="D134">
        <f>VLOOKUP(A134, Call!A:W, 23, FALSE)</f>
        <v>106.9</v>
      </c>
      <c r="E134">
        <f>VLOOKUP(A134, Put!A:W, 23, FALSE)</f>
        <v>93.25</v>
      </c>
      <c r="F134">
        <f t="shared" si="12"/>
        <v>39.950000000000003</v>
      </c>
      <c r="G134">
        <f t="shared" si="13"/>
        <v>200.15</v>
      </c>
      <c r="H134">
        <f>VLOOKUP(A134, Call!A:I, 9, FALSE)</f>
        <v>0</v>
      </c>
      <c r="I134">
        <f>VLOOKUP(A134, Call!A:J, 10, FALSE)</f>
        <v>1</v>
      </c>
      <c r="J134">
        <f t="shared" si="14"/>
        <v>200.15</v>
      </c>
      <c r="K134">
        <f t="shared" si="15"/>
        <v>-1.7482142857142833</v>
      </c>
      <c r="L134">
        <f t="shared" si="16"/>
        <v>-8.6588892918107487E-3</v>
      </c>
      <c r="M134">
        <f t="shared" si="17"/>
        <v>13.892857142857139</v>
      </c>
    </row>
    <row r="135" spans="1:13" x14ac:dyDescent="0.25">
      <c r="A135" s="1">
        <v>45855</v>
      </c>
      <c r="B135">
        <f>VLOOKUP(A135, Call!A:P, 16, FALSE)</f>
        <v>15.5</v>
      </c>
      <c r="C135">
        <f>VLOOKUP(A135, Put!A:P, 16, FALSE)</f>
        <v>7.35</v>
      </c>
      <c r="D135">
        <f>VLOOKUP(A135, Call!A:W, 23, FALSE)</f>
        <v>107.94999999999999</v>
      </c>
      <c r="E135">
        <f>VLOOKUP(A135, Put!A:W, 23, FALSE)</f>
        <v>81.7</v>
      </c>
      <c r="F135">
        <f t="shared" si="12"/>
        <v>22.85</v>
      </c>
      <c r="G135">
        <f t="shared" si="13"/>
        <v>189.64999999999998</v>
      </c>
      <c r="H135">
        <f>VLOOKUP(A135, Call!A:I, 9, FALSE)</f>
        <v>0</v>
      </c>
      <c r="I135">
        <f>VLOOKUP(A135, Call!A:J, 10, FALSE)</f>
        <v>1</v>
      </c>
      <c r="J135">
        <f t="shared" si="14"/>
        <v>189.64999999999998</v>
      </c>
      <c r="K135">
        <f t="shared" si="15"/>
        <v>-10.500000000000028</v>
      </c>
      <c r="L135">
        <f t="shared" si="16"/>
        <v>-5.2460654509118299E-2</v>
      </c>
      <c r="M135">
        <f t="shared" si="17"/>
        <v>3.3928571428571104</v>
      </c>
    </row>
    <row r="136" spans="1:13" x14ac:dyDescent="0.25">
      <c r="A136" s="1">
        <v>45856</v>
      </c>
      <c r="B136">
        <f>VLOOKUP(A136, Call!A:P, 16, FALSE)</f>
        <v>101.30000000000001</v>
      </c>
      <c r="C136">
        <f>VLOOKUP(A136, Put!A:P, 16, FALSE)</f>
        <v>81.800000000000011</v>
      </c>
      <c r="D136">
        <f>VLOOKUP(A136, Call!A:W, 23, FALSE)</f>
        <v>169.15</v>
      </c>
      <c r="E136">
        <f>VLOOKUP(A136, Put!A:W, 23, FALSE)</f>
        <v>129.35</v>
      </c>
      <c r="F136">
        <f t="shared" si="12"/>
        <v>183.10000000000002</v>
      </c>
      <c r="G136">
        <f t="shared" si="13"/>
        <v>298.5</v>
      </c>
      <c r="H136">
        <f>VLOOKUP(A136, Call!A:I, 9, FALSE)</f>
        <v>0.94285714285714284</v>
      </c>
      <c r="I136">
        <f>VLOOKUP(A136, Call!A:J, 10, FALSE)</f>
        <v>5.7142857142857141E-2</v>
      </c>
      <c r="J136">
        <f t="shared" si="14"/>
        <v>189.69428571428571</v>
      </c>
      <c r="K136">
        <f t="shared" si="15"/>
        <v>4.4285714285734912E-2</v>
      </c>
      <c r="L136">
        <f t="shared" si="16"/>
        <v>2.3351286203920335E-4</v>
      </c>
      <c r="M136">
        <f t="shared" si="17"/>
        <v>3.4371428571428453</v>
      </c>
    </row>
    <row r="137" spans="1:13" x14ac:dyDescent="0.25">
      <c r="A137" s="1">
        <v>45859</v>
      </c>
      <c r="B137">
        <f>VLOOKUP(A137, Call!A:P, 16, FALSE)</f>
        <v>98.65</v>
      </c>
      <c r="C137">
        <f>VLOOKUP(A137, Put!A:P, 16, FALSE)</f>
        <v>76.05</v>
      </c>
      <c r="D137">
        <f>VLOOKUP(A137, Call!A:W, 23, FALSE)</f>
        <v>167.05</v>
      </c>
      <c r="E137">
        <f>VLOOKUP(A137, Put!A:W, 23, FALSE)</f>
        <v>123.94999999999999</v>
      </c>
      <c r="F137">
        <f t="shared" si="12"/>
        <v>174.7</v>
      </c>
      <c r="G137">
        <f t="shared" si="13"/>
        <v>291</v>
      </c>
      <c r="H137">
        <f>VLOOKUP(A137, Call!A:I, 9, FALSE)</f>
        <v>0.8571428571428571</v>
      </c>
      <c r="I137">
        <f>VLOOKUP(A137, Call!A:J, 10, FALSE)</f>
        <v>0.14285714285714285</v>
      </c>
      <c r="J137">
        <f t="shared" si="14"/>
        <v>191.31428571428569</v>
      </c>
      <c r="K137">
        <f t="shared" si="15"/>
        <v>1.6199999999999761</v>
      </c>
      <c r="L137">
        <f t="shared" si="16"/>
        <v>8.5400569337127658E-3</v>
      </c>
      <c r="M137">
        <f t="shared" si="17"/>
        <v>5.0571428571428214</v>
      </c>
    </row>
    <row r="138" spans="1:13" x14ac:dyDescent="0.25">
      <c r="A138" s="1">
        <v>45860</v>
      </c>
      <c r="B138">
        <f>VLOOKUP(A138, Call!A:P, 16, FALSE)</f>
        <v>92.75</v>
      </c>
      <c r="C138">
        <f>VLOOKUP(A138, Put!A:P, 16, FALSE)</f>
        <v>76.25</v>
      </c>
      <c r="D138">
        <f>VLOOKUP(A138, Call!A:W, 23, FALSE)</f>
        <v>160.85</v>
      </c>
      <c r="E138">
        <f>VLOOKUP(A138, Put!A:W, 23, FALSE)</f>
        <v>123.95</v>
      </c>
      <c r="F138">
        <f t="shared" si="12"/>
        <v>169</v>
      </c>
      <c r="G138">
        <f t="shared" si="13"/>
        <v>284.8</v>
      </c>
      <c r="H138">
        <f>VLOOKUP(A138, Call!A:I, 9, FALSE)</f>
        <v>0.82857142857142863</v>
      </c>
      <c r="I138">
        <f>VLOOKUP(A138, Call!A:J, 10, FALSE)</f>
        <v>0.17142857142857143</v>
      </c>
      <c r="J138">
        <f t="shared" si="14"/>
        <v>188.85142857142858</v>
      </c>
      <c r="K138">
        <f t="shared" si="15"/>
        <v>-2.4628571428571036</v>
      </c>
      <c r="L138">
        <f t="shared" si="16"/>
        <v>-1.2873357228195733E-2</v>
      </c>
      <c r="M138">
        <f t="shared" si="17"/>
        <v>2.5942857142857179</v>
      </c>
    </row>
    <row r="139" spans="1:13" x14ac:dyDescent="0.25">
      <c r="A139" s="1">
        <v>45861</v>
      </c>
      <c r="B139">
        <f>VLOOKUP(A139, Call!A:P, 16, FALSE)</f>
        <v>90</v>
      </c>
      <c r="C139">
        <f>VLOOKUP(A139, Put!A:P, 16, FALSE)</f>
        <v>65.800000000000011</v>
      </c>
      <c r="D139">
        <f>VLOOKUP(A139, Call!A:W, 23, FALSE)</f>
        <v>158.44999999999999</v>
      </c>
      <c r="E139">
        <f>VLOOKUP(A139, Put!A:W, 23, FALSE)</f>
        <v>113.25</v>
      </c>
      <c r="F139">
        <f t="shared" si="12"/>
        <v>155.80000000000001</v>
      </c>
      <c r="G139">
        <f t="shared" si="13"/>
        <v>271.7</v>
      </c>
      <c r="H139">
        <f>VLOOKUP(A139, Call!A:I, 9, FALSE)</f>
        <v>0.8</v>
      </c>
      <c r="I139">
        <f>VLOOKUP(A139, Call!A:J, 10, FALSE)</f>
        <v>0.2</v>
      </c>
      <c r="J139">
        <f t="shared" si="14"/>
        <v>178.98000000000002</v>
      </c>
      <c r="K139">
        <f t="shared" si="15"/>
        <v>-9.8714285714285666</v>
      </c>
      <c r="L139">
        <f t="shared" si="16"/>
        <v>-5.2270870525583192E-2</v>
      </c>
      <c r="M139">
        <f t="shared" si="17"/>
        <v>-7.2771428571428487</v>
      </c>
    </row>
    <row r="140" spans="1:13" x14ac:dyDescent="0.25">
      <c r="A140" s="1">
        <v>45862</v>
      </c>
      <c r="B140">
        <f>VLOOKUP(A140, Call!A:P, 16, FALSE)</f>
        <v>84.15</v>
      </c>
      <c r="C140">
        <f>VLOOKUP(A140, Put!A:P, 16, FALSE)</f>
        <v>64.45</v>
      </c>
      <c r="D140">
        <f>VLOOKUP(A140, Call!A:W, 23, FALSE)</f>
        <v>152.94999999999999</v>
      </c>
      <c r="E140">
        <f>VLOOKUP(A140, Put!A:W, 23, FALSE)</f>
        <v>112</v>
      </c>
      <c r="F140">
        <f t="shared" si="12"/>
        <v>148.60000000000002</v>
      </c>
      <c r="G140">
        <f t="shared" si="13"/>
        <v>264.95</v>
      </c>
      <c r="H140">
        <f>VLOOKUP(A140, Call!A:I, 9, FALSE)</f>
        <v>0.77142857142857146</v>
      </c>
      <c r="I140">
        <f>VLOOKUP(A140, Call!A:J, 10, FALSE)</f>
        <v>0.22857142857142856</v>
      </c>
      <c r="J140">
        <f t="shared" si="14"/>
        <v>175.19428571428574</v>
      </c>
      <c r="K140">
        <f t="shared" si="15"/>
        <v>-3.7857142857142776</v>
      </c>
      <c r="L140">
        <f t="shared" si="16"/>
        <v>-2.1151605127468304E-2</v>
      </c>
      <c r="M140">
        <f t="shared" si="17"/>
        <v>-11.062857142857126</v>
      </c>
    </row>
    <row r="141" spans="1:13" x14ac:dyDescent="0.25">
      <c r="A141" s="1">
        <v>45863</v>
      </c>
      <c r="B141">
        <f>VLOOKUP(A141, Call!A:P, 16, FALSE)</f>
        <v>77.650000000000006</v>
      </c>
      <c r="C141">
        <f>VLOOKUP(A141, Put!A:P, 16, FALSE)</f>
        <v>60.849999999999994</v>
      </c>
      <c r="D141">
        <f>VLOOKUP(A141, Call!A:W, 23, FALSE)</f>
        <v>147.55000000000001</v>
      </c>
      <c r="E141">
        <f>VLOOKUP(A141, Put!A:W, 23, FALSE)</f>
        <v>109.9</v>
      </c>
      <c r="F141">
        <f t="shared" si="12"/>
        <v>138.5</v>
      </c>
      <c r="G141">
        <f t="shared" si="13"/>
        <v>257.45000000000005</v>
      </c>
      <c r="H141">
        <f>VLOOKUP(A141, Call!A:I, 9, FALSE)</f>
        <v>0.74285714285714288</v>
      </c>
      <c r="I141">
        <f>VLOOKUP(A141, Call!A:J, 10, FALSE)</f>
        <v>0.25714285714285712</v>
      </c>
      <c r="J141">
        <f t="shared" si="14"/>
        <v>169.08714285714285</v>
      </c>
      <c r="K141">
        <f t="shared" si="15"/>
        <v>-6.1071428571428896</v>
      </c>
      <c r="L141">
        <f t="shared" si="16"/>
        <v>-3.4859258292834261E-2</v>
      </c>
      <c r="M141">
        <f t="shared" si="17"/>
        <v>-17.170000000000016</v>
      </c>
    </row>
    <row r="142" spans="1:13" x14ac:dyDescent="0.25">
      <c r="A142" s="1">
        <v>45866</v>
      </c>
      <c r="B142">
        <f>VLOOKUP(A142, Call!A:P, 16, FALSE)</f>
        <v>70.75</v>
      </c>
      <c r="C142">
        <f>VLOOKUP(A142, Put!A:P, 16, FALSE)</f>
        <v>57.8</v>
      </c>
      <c r="D142">
        <f>VLOOKUP(A142, Call!A:W, 23, FALSE)</f>
        <v>140.65</v>
      </c>
      <c r="E142">
        <f>VLOOKUP(A142, Put!A:W, 23, FALSE)</f>
        <v>106.55000000000001</v>
      </c>
      <c r="F142">
        <f t="shared" si="12"/>
        <v>128.55000000000001</v>
      </c>
      <c r="G142">
        <f t="shared" si="13"/>
        <v>247.20000000000002</v>
      </c>
      <c r="H142">
        <f>VLOOKUP(A142, Call!A:I, 9, FALSE)</f>
        <v>0.65714285714285714</v>
      </c>
      <c r="I142">
        <f>VLOOKUP(A142, Call!A:J, 10, FALSE)</f>
        <v>0.34285714285714286</v>
      </c>
      <c r="J142">
        <f t="shared" si="14"/>
        <v>169.23000000000002</v>
      </c>
      <c r="K142">
        <f t="shared" si="15"/>
        <v>0.14285714285716722</v>
      </c>
      <c r="L142">
        <f t="shared" si="16"/>
        <v>8.4487288887401301E-4</v>
      </c>
      <c r="M142">
        <f t="shared" si="17"/>
        <v>-17.027142857142849</v>
      </c>
    </row>
    <row r="143" spans="1:13" x14ac:dyDescent="0.25">
      <c r="A143" s="1">
        <v>45867</v>
      </c>
      <c r="B143">
        <f>VLOOKUP(A143, Call!A:P, 16, FALSE)</f>
        <v>71.900000000000006</v>
      </c>
      <c r="C143">
        <f>VLOOKUP(A143, Put!A:P, 16, FALSE)</f>
        <v>60.2</v>
      </c>
      <c r="D143">
        <f>VLOOKUP(A143, Call!A:W, 23, FALSE)</f>
        <v>143.5</v>
      </c>
      <c r="E143">
        <f>VLOOKUP(A143, Put!A:W, 23, FALSE)</f>
        <v>110.5</v>
      </c>
      <c r="F143">
        <f t="shared" si="12"/>
        <v>132.10000000000002</v>
      </c>
      <c r="G143">
        <f t="shared" si="13"/>
        <v>254</v>
      </c>
      <c r="H143">
        <f>VLOOKUP(A143, Call!A:I, 9, FALSE)</f>
        <v>0.62857142857142856</v>
      </c>
      <c r="I143">
        <f>VLOOKUP(A143, Call!A:J, 10, FALSE)</f>
        <v>0.37142857142857144</v>
      </c>
      <c r="J143">
        <f t="shared" si="14"/>
        <v>177.37714285714287</v>
      </c>
      <c r="K143">
        <f t="shared" si="15"/>
        <v>8.1471428571428532</v>
      </c>
      <c r="L143">
        <f t="shared" si="16"/>
        <v>4.8142426621419682E-2</v>
      </c>
      <c r="M143">
        <f t="shared" si="17"/>
        <v>-8.8799999999999955</v>
      </c>
    </row>
    <row r="144" spans="1:13" x14ac:dyDescent="0.25">
      <c r="A144" s="1">
        <v>45868</v>
      </c>
      <c r="B144">
        <f>VLOOKUP(A144, Call!A:P, 16, FALSE)</f>
        <v>85.3</v>
      </c>
      <c r="C144">
        <f>VLOOKUP(A144, Put!A:P, 16, FALSE)</f>
        <v>46.15</v>
      </c>
      <c r="D144">
        <f>VLOOKUP(A144, Call!A:W, 23, FALSE)</f>
        <v>157.75</v>
      </c>
      <c r="E144">
        <f>VLOOKUP(A144, Put!A:W, 23, FALSE)</f>
        <v>97.4</v>
      </c>
      <c r="F144">
        <f t="shared" si="12"/>
        <v>131.44999999999999</v>
      </c>
      <c r="G144">
        <f t="shared" si="13"/>
        <v>255.15</v>
      </c>
      <c r="H144">
        <f>VLOOKUP(A144, Call!A:I, 9, FALSE)</f>
        <v>0.6</v>
      </c>
      <c r="I144">
        <f>VLOOKUP(A144, Call!A:J, 10, FALSE)</f>
        <v>0.4</v>
      </c>
      <c r="J144">
        <f t="shared" si="14"/>
        <v>180.93</v>
      </c>
      <c r="K144">
        <f t="shared" si="15"/>
        <v>3.5528571428571354</v>
      </c>
      <c r="L144">
        <f t="shared" si="16"/>
        <v>2.0029960374987877E-2</v>
      </c>
      <c r="M144">
        <f t="shared" si="17"/>
        <v>-5.3271428571428601</v>
      </c>
    </row>
    <row r="145" spans="1:13" x14ac:dyDescent="0.25">
      <c r="A145" s="1">
        <v>45869</v>
      </c>
      <c r="B145">
        <f>VLOOKUP(A145, Call!A:P, 16, FALSE)</f>
        <v>68.8</v>
      </c>
      <c r="C145">
        <f>VLOOKUP(A145, Put!A:P, 16, FALSE)</f>
        <v>61.2</v>
      </c>
      <c r="D145">
        <f>VLOOKUP(A145, Call!A:W, 23, FALSE)</f>
        <v>141.25</v>
      </c>
      <c r="E145">
        <f>VLOOKUP(A145, Put!A:W, 23, FALSE)</f>
        <v>112.8</v>
      </c>
      <c r="F145">
        <f t="shared" si="12"/>
        <v>130</v>
      </c>
      <c r="G145">
        <f t="shared" si="13"/>
        <v>254.05</v>
      </c>
      <c r="H145">
        <f>VLOOKUP(A145, Call!A:I, 9, FALSE)</f>
        <v>0.5714285714285714</v>
      </c>
      <c r="I145">
        <f>VLOOKUP(A145, Call!A:J, 10, FALSE)</f>
        <v>0.42857142857142855</v>
      </c>
      <c r="J145">
        <f t="shared" si="14"/>
        <v>183.16428571428571</v>
      </c>
      <c r="K145">
        <f t="shared" si="15"/>
        <v>2.2342857142857042</v>
      </c>
      <c r="L145">
        <f t="shared" si="16"/>
        <v>1.234889578447855E-2</v>
      </c>
      <c r="M145">
        <f t="shared" si="17"/>
        <v>-3.0928571428571558</v>
      </c>
    </row>
    <row r="146" spans="1:13" x14ac:dyDescent="0.25">
      <c r="A146" s="1">
        <v>45870</v>
      </c>
      <c r="B146">
        <f>VLOOKUP(A146, Call!A:P, 16, FALSE)</f>
        <v>79.449999999999989</v>
      </c>
      <c r="C146">
        <f>VLOOKUP(A146, Put!A:P, 16, FALSE)</f>
        <v>75.849999999999994</v>
      </c>
      <c r="D146">
        <f>VLOOKUP(A146, Call!A:W, 23, FALSE)</f>
        <v>154.6</v>
      </c>
      <c r="E146">
        <f>VLOOKUP(A146, Put!A:W, 23, FALSE)</f>
        <v>131.30000000000001</v>
      </c>
      <c r="F146">
        <f t="shared" si="12"/>
        <v>155.29999999999998</v>
      </c>
      <c r="G146">
        <f t="shared" si="13"/>
        <v>285.89999999999998</v>
      </c>
      <c r="H146">
        <f>VLOOKUP(A146, Call!A:I, 9, FALSE)</f>
        <v>0.54285714285714282</v>
      </c>
      <c r="I146">
        <f>VLOOKUP(A146, Call!A:J, 10, FALSE)</f>
        <v>0.45714285714285713</v>
      </c>
      <c r="J146">
        <f t="shared" si="14"/>
        <v>215.00285714285712</v>
      </c>
      <c r="K146">
        <f t="shared" si="15"/>
        <v>31.838571428571413</v>
      </c>
      <c r="L146">
        <f t="shared" si="16"/>
        <v>0.17382521545840962</v>
      </c>
      <c r="M146">
        <f t="shared" si="17"/>
        <v>28.745714285714257</v>
      </c>
    </row>
    <row r="147" spans="1:13" x14ac:dyDescent="0.25">
      <c r="A147" s="1">
        <v>45873</v>
      </c>
      <c r="B147">
        <f>VLOOKUP(A147, Call!A:P, 16, FALSE)</f>
        <v>67.900000000000006</v>
      </c>
      <c r="C147">
        <f>VLOOKUP(A147, Put!A:P, 16, FALSE)</f>
        <v>48.45</v>
      </c>
      <c r="D147">
        <f>VLOOKUP(A147, Call!A:W, 23, FALSE)</f>
        <v>145.44999999999999</v>
      </c>
      <c r="E147">
        <f>VLOOKUP(A147, Put!A:W, 23, FALSE)</f>
        <v>106</v>
      </c>
      <c r="F147">
        <f t="shared" si="12"/>
        <v>116.35000000000001</v>
      </c>
      <c r="G147">
        <f t="shared" si="13"/>
        <v>251.45</v>
      </c>
      <c r="H147">
        <f>VLOOKUP(A147, Call!A:I, 9, FALSE)</f>
        <v>0.45714285714285713</v>
      </c>
      <c r="I147">
        <f>VLOOKUP(A147, Call!A:J, 10, FALSE)</f>
        <v>0.54285714285714282</v>
      </c>
      <c r="J147">
        <f t="shared" si="14"/>
        <v>189.69</v>
      </c>
      <c r="K147">
        <f t="shared" si="15"/>
        <v>-25.312857142857126</v>
      </c>
      <c r="L147">
        <f t="shared" si="16"/>
        <v>-0.11773265471555189</v>
      </c>
      <c r="M147">
        <f t="shared" si="17"/>
        <v>3.4328571428571308</v>
      </c>
    </row>
    <row r="148" spans="1:13" x14ac:dyDescent="0.25">
      <c r="A148" s="1">
        <v>45874</v>
      </c>
      <c r="B148">
        <f>VLOOKUP(A148, Call!A:P, 16, FALSE)</f>
        <v>60.1</v>
      </c>
      <c r="C148">
        <f>VLOOKUP(A148, Put!A:P, 16, FALSE)</f>
        <v>56</v>
      </c>
      <c r="D148">
        <f>VLOOKUP(A148, Call!A:W, 23, FALSE)</f>
        <v>139.6</v>
      </c>
      <c r="E148">
        <f>VLOOKUP(A148, Put!A:W, 23, FALSE)</f>
        <v>115.65</v>
      </c>
      <c r="F148">
        <f t="shared" si="12"/>
        <v>116.1</v>
      </c>
      <c r="G148">
        <f t="shared" si="13"/>
        <v>255.25</v>
      </c>
      <c r="H148">
        <f>VLOOKUP(A148, Call!A:I, 9, FALSE)</f>
        <v>0.42857142857142855</v>
      </c>
      <c r="I148">
        <f>VLOOKUP(A148, Call!A:J, 10, FALSE)</f>
        <v>0.5714285714285714</v>
      </c>
      <c r="J148">
        <f t="shared" si="14"/>
        <v>195.6142857142857</v>
      </c>
      <c r="K148">
        <f t="shared" si="15"/>
        <v>5.9242857142857019</v>
      </c>
      <c r="L148">
        <f t="shared" si="16"/>
        <v>3.1231407635013454E-2</v>
      </c>
      <c r="M148">
        <f t="shared" si="17"/>
        <v>9.3571428571428328</v>
      </c>
    </row>
    <row r="149" spans="1:13" x14ac:dyDescent="0.25">
      <c r="A149" s="1">
        <v>45875</v>
      </c>
      <c r="B149">
        <f>VLOOKUP(A149, Call!A:P, 16, FALSE)</f>
        <v>51.95</v>
      </c>
      <c r="C149">
        <f>VLOOKUP(A149, Put!A:P, 16, FALSE)</f>
        <v>46.45</v>
      </c>
      <c r="D149">
        <f>VLOOKUP(A149, Call!A:W, 23, FALSE)</f>
        <v>132.35</v>
      </c>
      <c r="E149">
        <f>VLOOKUP(A149, Put!A:W, 23, FALSE)</f>
        <v>107.05</v>
      </c>
      <c r="F149">
        <f t="shared" si="12"/>
        <v>98.4</v>
      </c>
      <c r="G149">
        <f t="shared" si="13"/>
        <v>239.39999999999998</v>
      </c>
      <c r="H149">
        <f>VLOOKUP(A149, Call!A:I, 9, FALSE)</f>
        <v>0.4</v>
      </c>
      <c r="I149">
        <f>VLOOKUP(A149, Call!A:J, 10, FALSE)</f>
        <v>0.6</v>
      </c>
      <c r="J149">
        <f t="shared" si="14"/>
        <v>183</v>
      </c>
      <c r="K149">
        <f t="shared" si="15"/>
        <v>-12.6142857142857</v>
      </c>
      <c r="L149">
        <f t="shared" si="16"/>
        <v>-6.4485503541955674E-2</v>
      </c>
      <c r="M149">
        <f t="shared" si="17"/>
        <v>-3.2571428571428669</v>
      </c>
    </row>
    <row r="150" spans="1:13" x14ac:dyDescent="0.25">
      <c r="A150" s="1">
        <v>45876</v>
      </c>
      <c r="B150">
        <f>VLOOKUP(A150, Call!A:P, 16, FALSE)</f>
        <v>53.6</v>
      </c>
      <c r="C150">
        <f>VLOOKUP(A150, Put!A:P, 16, FALSE)</f>
        <v>40.5</v>
      </c>
      <c r="D150">
        <f>VLOOKUP(A150, Call!A:W, 23, FALSE)</f>
        <v>135.15</v>
      </c>
      <c r="E150">
        <f>VLOOKUP(A150, Put!A:W, 23, FALSE)</f>
        <v>101.85</v>
      </c>
      <c r="F150">
        <f t="shared" si="12"/>
        <v>94.1</v>
      </c>
      <c r="G150">
        <f t="shared" si="13"/>
        <v>237</v>
      </c>
      <c r="H150">
        <f>VLOOKUP(A150, Call!A:I, 9, FALSE)</f>
        <v>0.37142857142857144</v>
      </c>
      <c r="I150">
        <f>VLOOKUP(A150, Call!A:J, 10, FALSE)</f>
        <v>0.62857142857142856</v>
      </c>
      <c r="J150">
        <f t="shared" si="14"/>
        <v>183.92285714285714</v>
      </c>
      <c r="K150">
        <f t="shared" si="15"/>
        <v>0.92285714285713993</v>
      </c>
      <c r="L150">
        <f t="shared" si="16"/>
        <v>5.042935206869617E-3</v>
      </c>
      <c r="M150">
        <f t="shared" si="17"/>
        <v>-2.334285714285727</v>
      </c>
    </row>
    <row r="151" spans="1:13" x14ac:dyDescent="0.25">
      <c r="A151" s="1">
        <v>45877</v>
      </c>
      <c r="B151">
        <f>VLOOKUP(A151, Call!A:P, 16, FALSE)</f>
        <v>45.3</v>
      </c>
      <c r="C151">
        <f>VLOOKUP(A151, Put!A:P, 16, FALSE)</f>
        <v>31</v>
      </c>
      <c r="D151">
        <f>VLOOKUP(A151, Call!A:W, 23, FALSE)</f>
        <v>126.75</v>
      </c>
      <c r="E151">
        <f>VLOOKUP(A151, Put!A:W, 23, FALSE)</f>
        <v>91.9</v>
      </c>
      <c r="F151">
        <f t="shared" si="12"/>
        <v>76.3</v>
      </c>
      <c r="G151">
        <f t="shared" si="13"/>
        <v>218.65</v>
      </c>
      <c r="H151">
        <f>VLOOKUP(A151, Call!A:I, 9, FALSE)</f>
        <v>0.34285714285714286</v>
      </c>
      <c r="I151">
        <f>VLOOKUP(A151, Call!A:J, 10, FALSE)</f>
        <v>0.65714285714285714</v>
      </c>
      <c r="J151">
        <f t="shared" si="14"/>
        <v>169.84428571428572</v>
      </c>
      <c r="K151">
        <f t="shared" si="15"/>
        <v>-14.078571428571422</v>
      </c>
      <c r="L151">
        <f t="shared" si="16"/>
        <v>-7.6546067450639216E-2</v>
      </c>
      <c r="M151">
        <f t="shared" si="17"/>
        <v>-16.412857142857149</v>
      </c>
    </row>
    <row r="152" spans="1:13" x14ac:dyDescent="0.25">
      <c r="A152" s="1">
        <v>45880</v>
      </c>
      <c r="B152">
        <f>VLOOKUP(A152, Call!A:P, 16, FALSE)</f>
        <v>36.849999999999994</v>
      </c>
      <c r="C152">
        <f>VLOOKUP(A152, Put!A:P, 16, FALSE)</f>
        <v>36.150000000000006</v>
      </c>
      <c r="D152">
        <f>VLOOKUP(A152, Call!A:W, 23, FALSE)</f>
        <v>119.94999999999999</v>
      </c>
      <c r="E152">
        <f>VLOOKUP(A152, Put!A:W, 23, FALSE)</f>
        <v>98.7</v>
      </c>
      <c r="F152">
        <f t="shared" si="12"/>
        <v>73</v>
      </c>
      <c r="G152">
        <f t="shared" si="13"/>
        <v>218.64999999999998</v>
      </c>
      <c r="H152">
        <f>VLOOKUP(A152, Call!A:I, 9, FALSE)</f>
        <v>0.25714285714285712</v>
      </c>
      <c r="I152">
        <f>VLOOKUP(A152, Call!A:J, 10, FALSE)</f>
        <v>0.74285714285714288</v>
      </c>
      <c r="J152">
        <f t="shared" si="14"/>
        <v>181.19714285714284</v>
      </c>
      <c r="K152">
        <f t="shared" si="15"/>
        <v>11.352857142857118</v>
      </c>
      <c r="L152">
        <f t="shared" si="16"/>
        <v>6.6842738306515909E-2</v>
      </c>
      <c r="M152">
        <f t="shared" si="17"/>
        <v>-5.0600000000000307</v>
      </c>
    </row>
    <row r="153" spans="1:13" x14ac:dyDescent="0.25">
      <c r="A153" s="1">
        <v>45881</v>
      </c>
      <c r="B153">
        <f>VLOOKUP(A153, Call!A:P, 16, FALSE)</f>
        <v>23.299999999999997</v>
      </c>
      <c r="C153">
        <f>VLOOKUP(A153, Put!A:P, 16, FALSE)</f>
        <v>20.799999999999997</v>
      </c>
      <c r="D153">
        <f>VLOOKUP(A153, Call!A:W, 23, FALSE)</f>
        <v>111.30000000000001</v>
      </c>
      <c r="E153">
        <f>VLOOKUP(A153, Put!A:W, 23, FALSE)</f>
        <v>87.699999999999989</v>
      </c>
      <c r="F153">
        <f t="shared" si="12"/>
        <v>44.099999999999994</v>
      </c>
      <c r="G153">
        <f t="shared" si="13"/>
        <v>199</v>
      </c>
      <c r="H153">
        <f>VLOOKUP(A153, Call!A:I, 9, FALSE)</f>
        <v>0.22857142857142856</v>
      </c>
      <c r="I153">
        <f>VLOOKUP(A153, Call!A:J, 10, FALSE)</f>
        <v>0.77142857142857146</v>
      </c>
      <c r="J153">
        <f t="shared" si="14"/>
        <v>163.59428571428572</v>
      </c>
      <c r="K153">
        <f t="shared" si="15"/>
        <v>-17.602857142857118</v>
      </c>
      <c r="L153">
        <f t="shared" si="16"/>
        <v>-9.7147542534571529E-2</v>
      </c>
      <c r="M153">
        <f t="shared" si="17"/>
        <v>-22.662857142857149</v>
      </c>
    </row>
    <row r="154" spans="1:13" x14ac:dyDescent="0.25">
      <c r="A154" s="1">
        <v>45882</v>
      </c>
      <c r="B154">
        <f>VLOOKUP(A154, Call!A:P, 16, FALSE)</f>
        <v>16.600000000000001</v>
      </c>
      <c r="C154">
        <f>VLOOKUP(A154, Put!A:P, 16, FALSE)</f>
        <v>18.399999999999999</v>
      </c>
      <c r="D154">
        <f>VLOOKUP(A154, Call!A:W, 23, FALSE)</f>
        <v>105.75</v>
      </c>
      <c r="E154">
        <f>VLOOKUP(A154, Put!A:W, 23, FALSE)</f>
        <v>86.8</v>
      </c>
      <c r="F154">
        <f t="shared" si="12"/>
        <v>35</v>
      </c>
      <c r="G154">
        <f t="shared" si="13"/>
        <v>192.55</v>
      </c>
      <c r="H154">
        <f>VLOOKUP(A154, Call!A:I, 9, FALSE)</f>
        <v>0.2</v>
      </c>
      <c r="I154">
        <f>VLOOKUP(A154, Call!A:J, 10, FALSE)</f>
        <v>0.8</v>
      </c>
      <c r="J154">
        <f t="shared" si="14"/>
        <v>161.04000000000002</v>
      </c>
      <c r="K154">
        <f t="shared" si="15"/>
        <v>-2.5542857142856974</v>
      </c>
      <c r="L154">
        <f t="shared" si="16"/>
        <v>-1.5613538719480144E-2</v>
      </c>
      <c r="M154">
        <f t="shared" si="17"/>
        <v>-25.217142857142846</v>
      </c>
    </row>
    <row r="155" spans="1:13" x14ac:dyDescent="0.25">
      <c r="A155" s="1">
        <v>45883</v>
      </c>
      <c r="B155">
        <f>VLOOKUP(A155, Call!A:P, 16, FALSE)</f>
        <v>10.5</v>
      </c>
      <c r="C155">
        <f>VLOOKUP(A155, Put!A:P, 16, FALSE)</f>
        <v>11.05</v>
      </c>
      <c r="D155">
        <f>VLOOKUP(A155, Call!A:W, 23, FALSE)</f>
        <v>104.7</v>
      </c>
      <c r="E155">
        <f>VLOOKUP(A155, Put!A:W, 23, FALSE)</f>
        <v>84.7</v>
      </c>
      <c r="F155">
        <f t="shared" si="12"/>
        <v>21.55</v>
      </c>
      <c r="G155">
        <f t="shared" si="13"/>
        <v>189.4</v>
      </c>
      <c r="H155">
        <f>VLOOKUP(A155, Call!A:I, 9, FALSE)</f>
        <v>0.17142857142857143</v>
      </c>
      <c r="I155">
        <f>VLOOKUP(A155, Call!A:J, 10, FALSE)</f>
        <v>0.82857142857142863</v>
      </c>
      <c r="J155">
        <f t="shared" si="14"/>
        <v>160.62571428571431</v>
      </c>
      <c r="K155">
        <f t="shared" si="15"/>
        <v>-0.41428571428571104</v>
      </c>
      <c r="L155">
        <f t="shared" si="16"/>
        <v>-2.5725640479738634E-3</v>
      </c>
      <c r="M155">
        <f t="shared" si="17"/>
        <v>-25.631428571428557</v>
      </c>
    </row>
    <row r="156" spans="1:13" x14ac:dyDescent="0.25">
      <c r="A156" s="1">
        <v>45884</v>
      </c>
      <c r="B156">
        <f>VLOOKUP(A156, Call!A:P, 16, FALSE)</f>
        <v>103.69999999999999</v>
      </c>
      <c r="C156">
        <f>VLOOKUP(A156, Put!A:P, 16, FALSE)</f>
        <v>86.65</v>
      </c>
      <c r="D156">
        <f>VLOOKUP(A156, Call!A:W, 23, FALSE)</f>
        <v>157.39999999999998</v>
      </c>
      <c r="E156">
        <f>VLOOKUP(A156, Put!A:W, 23, FALSE)</f>
        <v>121.9</v>
      </c>
      <c r="F156">
        <f t="shared" si="12"/>
        <v>190.35</v>
      </c>
      <c r="G156">
        <f t="shared" si="13"/>
        <v>279.29999999999995</v>
      </c>
      <c r="H156">
        <f>VLOOKUP(A156, Call!A:I, 9, FALSE)</f>
        <v>1</v>
      </c>
      <c r="I156">
        <f>VLOOKUP(A156, Call!A:J, 10, FALSE)</f>
        <v>0</v>
      </c>
      <c r="J156">
        <f t="shared" si="14"/>
        <v>190.35</v>
      </c>
      <c r="K156">
        <f t="shared" si="15"/>
        <v>29.724285714285685</v>
      </c>
      <c r="L156">
        <f t="shared" si="16"/>
        <v>0.18505309592842256</v>
      </c>
      <c r="M156">
        <f t="shared" si="17"/>
        <v>4.0928571428571274</v>
      </c>
    </row>
    <row r="157" spans="1:13" x14ac:dyDescent="0.25">
      <c r="A157" s="1">
        <v>45887</v>
      </c>
      <c r="B157">
        <f>VLOOKUP(A157, Call!A:P, 16, FALSE)</f>
        <v>98.75</v>
      </c>
      <c r="C157">
        <f>VLOOKUP(A157, Put!A:P, 16, FALSE)</f>
        <v>81.55</v>
      </c>
      <c r="D157">
        <f>VLOOKUP(A157, Call!A:W, 23, FALSE)</f>
        <v>152.44999999999999</v>
      </c>
      <c r="E157">
        <f>VLOOKUP(A157, Put!A:W, 23, FALSE)</f>
        <v>117.05000000000001</v>
      </c>
      <c r="F157">
        <f t="shared" si="12"/>
        <v>180.3</v>
      </c>
      <c r="G157">
        <f t="shared" si="13"/>
        <v>269.5</v>
      </c>
      <c r="H157">
        <f>VLOOKUP(A157, Call!A:I, 9, FALSE)</f>
        <v>1</v>
      </c>
      <c r="I157">
        <f>VLOOKUP(A157, Call!A:J, 10, FALSE)</f>
        <v>0</v>
      </c>
      <c r="J157">
        <f t="shared" si="14"/>
        <v>180.3</v>
      </c>
      <c r="K157">
        <f t="shared" si="15"/>
        <v>-10.049999999999983</v>
      </c>
      <c r="L157">
        <f t="shared" si="16"/>
        <v>-5.2797478329393133E-2</v>
      </c>
      <c r="M157">
        <f t="shared" si="17"/>
        <v>-5.9571428571428555</v>
      </c>
    </row>
    <row r="158" spans="1:13" x14ac:dyDescent="0.25">
      <c r="A158" s="1">
        <v>45888</v>
      </c>
      <c r="B158">
        <f>VLOOKUP(A158, Call!A:P, 16, FALSE)</f>
        <v>105.25</v>
      </c>
      <c r="C158">
        <f>VLOOKUP(A158, Put!A:P, 16, FALSE)</f>
        <v>80.5</v>
      </c>
      <c r="D158">
        <f>VLOOKUP(A158, Call!A:W, 23, FALSE)</f>
        <v>159.39999999999998</v>
      </c>
      <c r="E158">
        <f>VLOOKUP(A158, Put!A:W, 23, FALSE)</f>
        <v>116.45</v>
      </c>
      <c r="F158">
        <f t="shared" si="12"/>
        <v>185.75</v>
      </c>
      <c r="G158">
        <f t="shared" si="13"/>
        <v>275.84999999999997</v>
      </c>
      <c r="H158">
        <f>VLOOKUP(A158, Call!A:I, 9, FALSE)</f>
        <v>1</v>
      </c>
      <c r="I158">
        <f>VLOOKUP(A158, Call!A:J, 10, FALSE)</f>
        <v>0</v>
      </c>
      <c r="J158">
        <f t="shared" si="14"/>
        <v>185.75</v>
      </c>
      <c r="K158">
        <f t="shared" si="15"/>
        <v>5.4499999999999886</v>
      </c>
      <c r="L158">
        <f t="shared" si="16"/>
        <v>3.022739877981136E-2</v>
      </c>
      <c r="M158">
        <f t="shared" si="17"/>
        <v>-0.50714285714286689</v>
      </c>
    </row>
    <row r="159" spans="1:13" x14ac:dyDescent="0.25">
      <c r="A159" s="1">
        <v>45889</v>
      </c>
      <c r="B159">
        <f>VLOOKUP(A159, Call!A:P, 16, FALSE)</f>
        <v>102.75</v>
      </c>
      <c r="C159">
        <f>VLOOKUP(A159, Put!A:P, 16, FALSE)</f>
        <v>83.65</v>
      </c>
      <c r="D159">
        <f>VLOOKUP(A159, Call!A:W, 23, FALSE)</f>
        <v>156.75</v>
      </c>
      <c r="E159">
        <f>VLOOKUP(A159, Put!A:W, 23, FALSE)</f>
        <v>119.25</v>
      </c>
      <c r="F159">
        <f t="shared" si="12"/>
        <v>186.4</v>
      </c>
      <c r="G159">
        <f t="shared" si="13"/>
        <v>276</v>
      </c>
      <c r="H159">
        <f>VLOOKUP(A159, Call!A:I, 9, FALSE)</f>
        <v>1</v>
      </c>
      <c r="I159">
        <f>VLOOKUP(A159, Call!A:J, 10, FALSE)</f>
        <v>0</v>
      </c>
      <c r="J159">
        <f t="shared" si="14"/>
        <v>186.4</v>
      </c>
      <c r="K159">
        <f t="shared" si="15"/>
        <v>0.65000000000000568</v>
      </c>
      <c r="L159">
        <f t="shared" si="16"/>
        <v>3.4993270524899364E-3</v>
      </c>
      <c r="M159">
        <f t="shared" si="17"/>
        <v>0.1428571428571388</v>
      </c>
    </row>
    <row r="160" spans="1:13" x14ac:dyDescent="0.25">
      <c r="A160" s="1">
        <v>45890</v>
      </c>
      <c r="B160">
        <f>VLOOKUP(A160, Call!A:P, 16, FALSE)</f>
        <v>108.44999999999999</v>
      </c>
      <c r="C160">
        <f>VLOOKUP(A160, Put!A:P, 16, FALSE)</f>
        <v>87.8</v>
      </c>
      <c r="D160">
        <f>VLOOKUP(A160, Call!A:W, 23, FALSE)</f>
        <v>162.05000000000001</v>
      </c>
      <c r="E160">
        <f>VLOOKUP(A160, Put!A:W, 23, FALSE)</f>
        <v>122.69999999999999</v>
      </c>
      <c r="F160">
        <f t="shared" si="12"/>
        <v>196.25</v>
      </c>
      <c r="G160">
        <f t="shared" si="13"/>
        <v>284.75</v>
      </c>
      <c r="H160">
        <f>VLOOKUP(A160, Call!A:I, 9, FALSE)</f>
        <v>0.9642857142857143</v>
      </c>
      <c r="I160">
        <f>VLOOKUP(A160, Call!A:J, 10, FALSE)</f>
        <v>3.5714285714285712E-2</v>
      </c>
      <c r="J160">
        <f t="shared" si="14"/>
        <v>199.41071428571431</v>
      </c>
      <c r="K160">
        <f t="shared" si="15"/>
        <v>13.0107142857143</v>
      </c>
      <c r="L160">
        <f t="shared" si="16"/>
        <v>6.9799969343960835E-2</v>
      </c>
      <c r="M160">
        <f t="shared" si="17"/>
        <v>13.153571428571439</v>
      </c>
    </row>
    <row r="161" spans="1:13" x14ac:dyDescent="0.25">
      <c r="A161" s="1">
        <v>45891</v>
      </c>
      <c r="B161">
        <f>VLOOKUP(A161, Call!A:P, 16, FALSE)</f>
        <v>91.15</v>
      </c>
      <c r="C161">
        <f>VLOOKUP(A161, Put!A:P, 16, FALSE)</f>
        <v>71.25</v>
      </c>
      <c r="D161">
        <f>VLOOKUP(A161, Call!A:W, 23, FALSE)</f>
        <v>144.75</v>
      </c>
      <c r="E161">
        <f>VLOOKUP(A161, Put!A:W, 23, FALSE)</f>
        <v>106.19999999999999</v>
      </c>
      <c r="F161">
        <f t="shared" si="12"/>
        <v>162.4</v>
      </c>
      <c r="G161">
        <f t="shared" si="13"/>
        <v>250.95</v>
      </c>
      <c r="H161">
        <f>VLOOKUP(A161, Call!A:I, 9, FALSE)</f>
        <v>0.9285714285714286</v>
      </c>
      <c r="I161">
        <f>VLOOKUP(A161, Call!A:J, 10, FALSE)</f>
        <v>7.1428571428571425E-2</v>
      </c>
      <c r="J161">
        <f t="shared" si="14"/>
        <v>168.72500000000002</v>
      </c>
      <c r="K161">
        <f t="shared" si="15"/>
        <v>-30.685714285714283</v>
      </c>
      <c r="L161">
        <f t="shared" si="16"/>
        <v>-0.15388197367242767</v>
      </c>
      <c r="M161">
        <f t="shared" si="17"/>
        <v>-17.532142857142844</v>
      </c>
    </row>
    <row r="162" spans="1:13" x14ac:dyDescent="0.25">
      <c r="A162" s="1">
        <v>45894</v>
      </c>
      <c r="B162">
        <f>VLOOKUP(A162, Call!A:P, 16, FALSE)</f>
        <v>88.4</v>
      </c>
      <c r="C162">
        <f>VLOOKUP(A162, Put!A:P, 16, FALSE)</f>
        <v>69.05</v>
      </c>
      <c r="D162">
        <f>VLOOKUP(A162, Call!A:W, 23, FALSE)</f>
        <v>143.65</v>
      </c>
      <c r="E162">
        <f>VLOOKUP(A162, Put!A:W, 23, FALSE)</f>
        <v>105.80000000000001</v>
      </c>
      <c r="F162">
        <f t="shared" si="12"/>
        <v>157.44999999999999</v>
      </c>
      <c r="G162">
        <f t="shared" si="13"/>
        <v>249.45000000000002</v>
      </c>
      <c r="H162">
        <f>VLOOKUP(A162, Call!A:I, 9, FALSE)</f>
        <v>0.8214285714285714</v>
      </c>
      <c r="I162">
        <f>VLOOKUP(A162, Call!A:J, 10, FALSE)</f>
        <v>0.17857142857142858</v>
      </c>
      <c r="J162">
        <f t="shared" si="14"/>
        <v>173.87857142857141</v>
      </c>
      <c r="K162">
        <f t="shared" si="15"/>
        <v>5.1535714285713823</v>
      </c>
      <c r="L162">
        <f t="shared" si="16"/>
        <v>3.0544207607475962E-2</v>
      </c>
      <c r="M162">
        <f t="shared" si="17"/>
        <v>-12.378571428571462</v>
      </c>
    </row>
    <row r="163" spans="1:13" x14ac:dyDescent="0.25">
      <c r="A163" s="1">
        <v>45895</v>
      </c>
      <c r="B163">
        <f>VLOOKUP(A163, Call!A:P, 16, FALSE)</f>
        <v>86.65</v>
      </c>
      <c r="C163">
        <f>VLOOKUP(A163, Put!A:P, 16, FALSE)</f>
        <v>64.55</v>
      </c>
      <c r="D163">
        <f>VLOOKUP(A163, Call!A:W, 23, FALSE)</f>
        <v>142.1</v>
      </c>
      <c r="E163">
        <f>VLOOKUP(A163, Put!A:W, 23, FALSE)</f>
        <v>101.35</v>
      </c>
      <c r="F163">
        <f t="shared" si="12"/>
        <v>151.19999999999999</v>
      </c>
      <c r="G163">
        <f t="shared" si="13"/>
        <v>243.45</v>
      </c>
      <c r="H163">
        <f>VLOOKUP(A163, Call!A:I, 9, FALSE)</f>
        <v>0.7857142857142857</v>
      </c>
      <c r="I163">
        <f>VLOOKUP(A163, Call!A:J, 10, FALSE)</f>
        <v>0.21428571428571427</v>
      </c>
      <c r="J163">
        <f t="shared" si="14"/>
        <v>170.96785714285713</v>
      </c>
      <c r="K163">
        <f t="shared" si="15"/>
        <v>-2.9107142857142776</v>
      </c>
      <c r="L163">
        <f t="shared" si="16"/>
        <v>-1.6739925235180499E-2</v>
      </c>
      <c r="M163">
        <f t="shared" si="17"/>
        <v>-15.289285714285739</v>
      </c>
    </row>
    <row r="164" spans="1:13" x14ac:dyDescent="0.25">
      <c r="A164" s="1">
        <v>45896</v>
      </c>
      <c r="B164">
        <f>VLOOKUP(A164, Call!A:P, 16, FALSE)</f>
        <v>76</v>
      </c>
      <c r="C164">
        <f>VLOOKUP(A164, Put!A:P, 16, FALSE)</f>
        <v>70.55</v>
      </c>
      <c r="D164">
        <f>VLOOKUP(A164, Call!A:W, 23, FALSE)</f>
        <v>130.9</v>
      </c>
      <c r="E164">
        <f>VLOOKUP(A164, Put!A:W, 23, FALSE)</f>
        <v>107.05</v>
      </c>
      <c r="F164">
        <f t="shared" si="12"/>
        <v>146.55000000000001</v>
      </c>
      <c r="G164">
        <f t="shared" si="13"/>
        <v>237.95</v>
      </c>
      <c r="H164">
        <f>VLOOKUP(A164, Call!A:I, 9, FALSE)</f>
        <v>0.75</v>
      </c>
      <c r="I164">
        <f>VLOOKUP(A164, Call!A:J, 10, FALSE)</f>
        <v>0.25</v>
      </c>
      <c r="J164">
        <f t="shared" si="14"/>
        <v>169.4</v>
      </c>
      <c r="K164">
        <f t="shared" si="15"/>
        <v>-1.5678571428571217</v>
      </c>
      <c r="L164">
        <f t="shared" si="16"/>
        <v>-9.1704789956339773E-3</v>
      </c>
      <c r="M164">
        <f t="shared" si="17"/>
        <v>-16.857142857142861</v>
      </c>
    </row>
    <row r="165" spans="1:13" x14ac:dyDescent="0.25">
      <c r="A165" s="1">
        <v>45897</v>
      </c>
      <c r="B165">
        <f>VLOOKUP(A165, Call!A:P, 16, FALSE)</f>
        <v>78.25</v>
      </c>
      <c r="C165">
        <f>VLOOKUP(A165, Put!A:P, 16, FALSE)</f>
        <v>61.85</v>
      </c>
      <c r="D165">
        <f>VLOOKUP(A165, Call!A:W, 23, FALSE)</f>
        <v>135.25</v>
      </c>
      <c r="E165">
        <f>VLOOKUP(A165, Put!A:W, 23, FALSE)</f>
        <v>100.05</v>
      </c>
      <c r="F165">
        <f t="shared" si="12"/>
        <v>140.1</v>
      </c>
      <c r="G165">
        <f t="shared" si="13"/>
        <v>235.3</v>
      </c>
      <c r="H165">
        <f>VLOOKUP(A165, Call!A:I, 9, FALSE)</f>
        <v>0.7142857142857143</v>
      </c>
      <c r="I165">
        <f>VLOOKUP(A165, Call!A:J, 10, FALSE)</f>
        <v>0.2857142857142857</v>
      </c>
      <c r="J165">
        <f t="shared" si="14"/>
        <v>167.3</v>
      </c>
      <c r="K165">
        <f t="shared" si="15"/>
        <v>-2.0999999999999943</v>
      </c>
      <c r="L165">
        <f t="shared" si="16"/>
        <v>-1.2396694214875999E-2</v>
      </c>
      <c r="M165">
        <f t="shared" si="17"/>
        <v>-18.957142857142856</v>
      </c>
    </row>
    <row r="166" spans="1:13" x14ac:dyDescent="0.25">
      <c r="A166" s="1">
        <v>45898</v>
      </c>
      <c r="B166">
        <f>VLOOKUP(A166, Call!A:P, 16, FALSE)</f>
        <v>80.400000000000006</v>
      </c>
      <c r="C166">
        <f>VLOOKUP(A166, Put!A:P, 16, FALSE)</f>
        <v>66.5</v>
      </c>
      <c r="D166">
        <f>VLOOKUP(A166, Call!A:W, 23, FALSE)</f>
        <v>137.19999999999999</v>
      </c>
      <c r="E166">
        <f>VLOOKUP(A166, Put!A:W, 23, FALSE)</f>
        <v>104.9</v>
      </c>
      <c r="F166">
        <f t="shared" si="12"/>
        <v>146.9</v>
      </c>
      <c r="G166">
        <f t="shared" si="13"/>
        <v>242.1</v>
      </c>
      <c r="H166">
        <f>VLOOKUP(A166, Call!A:I, 9, FALSE)</f>
        <v>0.6785714285714286</v>
      </c>
      <c r="I166">
        <f>VLOOKUP(A166, Call!A:J, 10, FALSE)</f>
        <v>0.32142857142857145</v>
      </c>
      <c r="J166">
        <f t="shared" si="14"/>
        <v>177.5</v>
      </c>
      <c r="K166">
        <f t="shared" si="15"/>
        <v>10.199999999999989</v>
      </c>
      <c r="L166">
        <f t="shared" si="16"/>
        <v>6.0968320382546251E-2</v>
      </c>
      <c r="M166">
        <f t="shared" si="17"/>
        <v>-8.7571428571428669</v>
      </c>
    </row>
    <row r="167" spans="1:13" x14ac:dyDescent="0.25">
      <c r="A167" s="1">
        <v>45902</v>
      </c>
      <c r="B167">
        <f>VLOOKUP(A167, Call!A:P, 16, FALSE)</f>
        <v>92.95</v>
      </c>
      <c r="C167">
        <f>VLOOKUP(A167, Put!A:P, 16, FALSE)</f>
        <v>60.7</v>
      </c>
      <c r="D167">
        <f>VLOOKUP(A167, Call!A:W, 23, FALSE)</f>
        <v>151.15</v>
      </c>
      <c r="E167">
        <f>VLOOKUP(A167, Put!A:W, 23, FALSE)</f>
        <v>100.4</v>
      </c>
      <c r="F167">
        <f t="shared" si="12"/>
        <v>153.65</v>
      </c>
      <c r="G167">
        <f t="shared" si="13"/>
        <v>251.55</v>
      </c>
      <c r="H167">
        <f>VLOOKUP(A167, Call!A:I, 9, FALSE)</f>
        <v>0.5357142857142857</v>
      </c>
      <c r="I167">
        <f>VLOOKUP(A167, Call!A:J, 10, FALSE)</f>
        <v>0.4642857142857143</v>
      </c>
      <c r="J167">
        <f t="shared" si="14"/>
        <v>199.10357142857146</v>
      </c>
      <c r="K167">
        <f t="shared" si="15"/>
        <v>21.603571428571456</v>
      </c>
      <c r="L167">
        <f t="shared" si="16"/>
        <v>0.12171026156941665</v>
      </c>
      <c r="M167">
        <f t="shared" si="17"/>
        <v>12.846428571428589</v>
      </c>
    </row>
    <row r="168" spans="1:13" x14ac:dyDescent="0.25">
      <c r="A168" s="1">
        <v>45903</v>
      </c>
      <c r="B168">
        <f>VLOOKUP(A168, Call!A:P, 16, FALSE)</f>
        <v>73.150000000000006</v>
      </c>
      <c r="C168">
        <f>VLOOKUP(A168, Put!A:P, 16, FALSE)</f>
        <v>62.9</v>
      </c>
      <c r="D168">
        <f>VLOOKUP(A168, Call!A:W, 23, FALSE)</f>
        <v>132.25</v>
      </c>
      <c r="E168">
        <f>VLOOKUP(A168, Put!A:W, 23, FALSE)</f>
        <v>103.5</v>
      </c>
      <c r="F168">
        <f t="shared" si="12"/>
        <v>136.05000000000001</v>
      </c>
      <c r="G168">
        <f t="shared" si="13"/>
        <v>235.75</v>
      </c>
      <c r="H168">
        <f>VLOOKUP(A168, Call!A:I, 9, FALSE)</f>
        <v>0.5</v>
      </c>
      <c r="I168">
        <f>VLOOKUP(A168, Call!A:J, 10, FALSE)</f>
        <v>0.5</v>
      </c>
      <c r="J168">
        <f t="shared" si="14"/>
        <v>185.9</v>
      </c>
      <c r="K168">
        <f t="shared" si="15"/>
        <v>-13.20357142857145</v>
      </c>
      <c r="L168">
        <f t="shared" si="16"/>
        <v>-6.6315090853647701E-2</v>
      </c>
      <c r="M168">
        <f t="shared" si="17"/>
        <v>-0.3571428571428612</v>
      </c>
    </row>
    <row r="169" spans="1:13" x14ac:dyDescent="0.25">
      <c r="A169" s="1">
        <v>45904</v>
      </c>
      <c r="B169">
        <f>VLOOKUP(A169, Call!A:P, 16, FALSE)</f>
        <v>66.550000000000011</v>
      </c>
      <c r="C169">
        <f>VLOOKUP(A169, Put!A:P, 16, FALSE)</f>
        <v>54.2</v>
      </c>
      <c r="D169">
        <f>VLOOKUP(A169, Call!A:W, 23, FALSE)</f>
        <v>127.10000000000001</v>
      </c>
      <c r="E169">
        <f>VLOOKUP(A169, Put!A:W, 23, FALSE)</f>
        <v>95.9</v>
      </c>
      <c r="F169">
        <f t="shared" si="12"/>
        <v>120.75000000000001</v>
      </c>
      <c r="G169">
        <f t="shared" si="13"/>
        <v>223</v>
      </c>
      <c r="H169">
        <f>VLOOKUP(A169, Call!A:I, 9, FALSE)</f>
        <v>0.4642857142857143</v>
      </c>
      <c r="I169">
        <f>VLOOKUP(A169, Call!A:J, 10, FALSE)</f>
        <v>0.5357142857142857</v>
      </c>
      <c r="J169">
        <f t="shared" si="14"/>
        <v>175.52678571428572</v>
      </c>
      <c r="K169">
        <f t="shared" si="15"/>
        <v>-10.373214285714283</v>
      </c>
      <c r="L169">
        <f t="shared" si="16"/>
        <v>-5.5799969261507709E-2</v>
      </c>
      <c r="M169">
        <f t="shared" si="17"/>
        <v>-10.730357142857144</v>
      </c>
    </row>
    <row r="170" spans="1:13" x14ac:dyDescent="0.25">
      <c r="A170" s="1">
        <v>45905</v>
      </c>
      <c r="B170">
        <f>VLOOKUP(A170, Call!A:P, 16, FALSE)</f>
        <v>60.099999999999994</v>
      </c>
      <c r="C170">
        <f>VLOOKUP(A170, Put!A:P, 16, FALSE)</f>
        <v>51.55</v>
      </c>
      <c r="D170">
        <f>VLOOKUP(A170, Call!A:W, 23, FALSE)</f>
        <v>122.5</v>
      </c>
      <c r="E170">
        <f>VLOOKUP(A170, Put!A:W, 23, FALSE)</f>
        <v>95.6</v>
      </c>
      <c r="F170">
        <f t="shared" si="12"/>
        <v>111.64999999999999</v>
      </c>
      <c r="G170">
        <f t="shared" si="13"/>
        <v>218.1</v>
      </c>
      <c r="H170">
        <f>VLOOKUP(A170, Call!A:I, 9, FALSE)</f>
        <v>0.42857142857142855</v>
      </c>
      <c r="I170">
        <f>VLOOKUP(A170, Call!A:J, 10, FALSE)</f>
        <v>0.5714285714285714</v>
      </c>
      <c r="J170">
        <f t="shared" si="14"/>
        <v>172.4785714285714</v>
      </c>
      <c r="K170">
        <f t="shared" si="15"/>
        <v>-3.0482142857143231</v>
      </c>
      <c r="L170">
        <f t="shared" si="16"/>
        <v>-1.736609186632098E-2</v>
      </c>
      <c r="M170">
        <f t="shared" si="17"/>
        <v>-13.778571428571468</v>
      </c>
    </row>
    <row r="171" spans="1:13" x14ac:dyDescent="0.25">
      <c r="A171" s="1">
        <v>45908</v>
      </c>
      <c r="B171">
        <f>VLOOKUP(A171, Call!A:P, 16, FALSE)</f>
        <v>57.05</v>
      </c>
      <c r="C171">
        <f>VLOOKUP(A171, Put!A:P, 16, FALSE)</f>
        <v>45.1</v>
      </c>
      <c r="D171">
        <f>VLOOKUP(A171, Call!A:W, 23, FALSE)</f>
        <v>119.8</v>
      </c>
      <c r="E171">
        <f>VLOOKUP(A171, Put!A:W, 23, FALSE)</f>
        <v>89.7</v>
      </c>
      <c r="F171">
        <f t="shared" si="12"/>
        <v>102.15</v>
      </c>
      <c r="G171">
        <f t="shared" si="13"/>
        <v>209.5</v>
      </c>
      <c r="H171">
        <f>VLOOKUP(A171, Call!A:I, 9, FALSE)</f>
        <v>0.32142857142857145</v>
      </c>
      <c r="I171">
        <f>VLOOKUP(A171, Call!A:J, 10, FALSE)</f>
        <v>0.6785714285714286</v>
      </c>
      <c r="J171">
        <f t="shared" si="14"/>
        <v>174.99464285714288</v>
      </c>
      <c r="K171">
        <f t="shared" si="15"/>
        <v>2.5160714285714789</v>
      </c>
      <c r="L171">
        <f t="shared" si="16"/>
        <v>1.4587733465855266E-2</v>
      </c>
      <c r="M171">
        <f t="shared" si="17"/>
        <v>-11.262499999999989</v>
      </c>
    </row>
    <row r="172" spans="1:13" x14ac:dyDescent="0.25">
      <c r="A172" s="1">
        <v>45909</v>
      </c>
      <c r="B172">
        <f>VLOOKUP(A172, Call!A:P, 16, FALSE)</f>
        <v>56.55</v>
      </c>
      <c r="C172">
        <f>VLOOKUP(A172, Put!A:P, 16, FALSE)</f>
        <v>41.3</v>
      </c>
      <c r="D172">
        <f>VLOOKUP(A172, Call!A:W, 23, FALSE)</f>
        <v>120.05</v>
      </c>
      <c r="E172">
        <f>VLOOKUP(A172, Put!A:W, 23, FALSE)</f>
        <v>86.55</v>
      </c>
      <c r="F172">
        <f t="shared" si="12"/>
        <v>97.85</v>
      </c>
      <c r="G172">
        <f t="shared" si="13"/>
        <v>206.6</v>
      </c>
      <c r="H172">
        <f>VLOOKUP(A172, Call!A:I, 9, FALSE)</f>
        <v>0.2857142857142857</v>
      </c>
      <c r="I172">
        <f>VLOOKUP(A172, Call!A:J, 10, FALSE)</f>
        <v>0.7142857142857143</v>
      </c>
      <c r="J172">
        <f t="shared" si="14"/>
        <v>175.52857142857144</v>
      </c>
      <c r="K172">
        <f t="shared" si="15"/>
        <v>0.53392857142856087</v>
      </c>
      <c r="L172">
        <f t="shared" si="16"/>
        <v>3.0511138096063557E-3</v>
      </c>
      <c r="M172">
        <f t="shared" si="17"/>
        <v>-10.728571428571428</v>
      </c>
    </row>
    <row r="173" spans="1:13" x14ac:dyDescent="0.25">
      <c r="A173" s="1">
        <v>45910</v>
      </c>
      <c r="B173">
        <f>VLOOKUP(A173, Call!A:P, 16, FALSE)</f>
        <v>50.95</v>
      </c>
      <c r="C173">
        <f>VLOOKUP(A173, Put!A:P, 16, FALSE)</f>
        <v>44</v>
      </c>
      <c r="D173">
        <f>VLOOKUP(A173, Call!A:W, 23, FALSE)</f>
        <v>114.5</v>
      </c>
      <c r="E173">
        <f>VLOOKUP(A173, Put!A:W, 23, FALSE)</f>
        <v>89.199999999999989</v>
      </c>
      <c r="F173">
        <f t="shared" si="12"/>
        <v>94.95</v>
      </c>
      <c r="G173">
        <f t="shared" si="13"/>
        <v>203.7</v>
      </c>
      <c r="H173">
        <f>VLOOKUP(A173, Call!A:I, 9, FALSE)</f>
        <v>0.25</v>
      </c>
      <c r="I173">
        <f>VLOOKUP(A173, Call!A:J, 10, FALSE)</f>
        <v>0.75</v>
      </c>
      <c r="J173">
        <f t="shared" si="14"/>
        <v>176.51249999999999</v>
      </c>
      <c r="K173">
        <f t="shared" si="15"/>
        <v>0.9839285714285495</v>
      </c>
      <c r="L173">
        <f t="shared" si="16"/>
        <v>5.6055180271830764E-3</v>
      </c>
      <c r="M173">
        <f t="shared" si="17"/>
        <v>-9.7446428571428783</v>
      </c>
    </row>
    <row r="174" spans="1:13" x14ac:dyDescent="0.25">
      <c r="A174" s="1">
        <v>45911</v>
      </c>
      <c r="B174">
        <f>VLOOKUP(A174, Call!A:P, 16, FALSE)</f>
        <v>43.2</v>
      </c>
      <c r="C174">
        <f>VLOOKUP(A174, Put!A:P, 16, FALSE)</f>
        <v>36.650000000000006</v>
      </c>
      <c r="D174">
        <f>VLOOKUP(A174, Call!A:W, 23, FALSE)</f>
        <v>110.30000000000001</v>
      </c>
      <c r="E174">
        <f>VLOOKUP(A174, Put!A:W, 23, FALSE)</f>
        <v>85.5</v>
      </c>
      <c r="F174">
        <f t="shared" si="12"/>
        <v>79.850000000000009</v>
      </c>
      <c r="G174">
        <f t="shared" si="13"/>
        <v>195.8</v>
      </c>
      <c r="H174">
        <f>VLOOKUP(A174, Call!A:I, 9, FALSE)</f>
        <v>0.21428571428571427</v>
      </c>
      <c r="I174">
        <f>VLOOKUP(A174, Call!A:J, 10, FALSE)</f>
        <v>0.7857142857142857</v>
      </c>
      <c r="J174">
        <f t="shared" si="14"/>
        <v>170.95357142857145</v>
      </c>
      <c r="K174">
        <f t="shared" si="15"/>
        <v>-5.5589285714285381</v>
      </c>
      <c r="L174">
        <f t="shared" si="16"/>
        <v>-3.149311562313456E-2</v>
      </c>
      <c r="M174">
        <f t="shared" si="17"/>
        <v>-15.303571428571416</v>
      </c>
    </row>
    <row r="175" spans="1:13" x14ac:dyDescent="0.25">
      <c r="A175" s="1">
        <v>45912</v>
      </c>
      <c r="B175">
        <f>VLOOKUP(A175, Call!A:P, 16, FALSE)</f>
        <v>37.549999999999997</v>
      </c>
      <c r="C175">
        <f>VLOOKUP(A175, Put!A:P, 16, FALSE)</f>
        <v>34.049999999999997</v>
      </c>
      <c r="D175">
        <f>VLOOKUP(A175, Call!A:W, 23, FALSE)</f>
        <v>106.95</v>
      </c>
      <c r="E175">
        <f>VLOOKUP(A175, Put!A:W, 23, FALSE)</f>
        <v>84.7</v>
      </c>
      <c r="F175">
        <f t="shared" si="12"/>
        <v>71.599999999999994</v>
      </c>
      <c r="G175">
        <f t="shared" si="13"/>
        <v>191.65</v>
      </c>
      <c r="H175">
        <f>VLOOKUP(A175, Call!A:I, 9, FALSE)</f>
        <v>0.17857142857142858</v>
      </c>
      <c r="I175">
        <f>VLOOKUP(A175, Call!A:J, 10, FALSE)</f>
        <v>0.8214285714285714</v>
      </c>
      <c r="J175">
        <f t="shared" si="14"/>
        <v>170.21249999999998</v>
      </c>
      <c r="K175">
        <f t="shared" si="15"/>
        <v>-0.74107142857147323</v>
      </c>
      <c r="L175">
        <f t="shared" si="16"/>
        <v>-4.3349280297493575E-3</v>
      </c>
      <c r="M175">
        <f t="shared" si="17"/>
        <v>-16.04464285714289</v>
      </c>
    </row>
    <row r="176" spans="1:13" x14ac:dyDescent="0.25">
      <c r="A176" s="1">
        <v>45915</v>
      </c>
      <c r="B176">
        <f>VLOOKUP(A176, Call!A:P, 16, FALSE)</f>
        <v>34.65</v>
      </c>
      <c r="C176">
        <f>VLOOKUP(A176, Put!A:P, 16, FALSE)</f>
        <v>33.049999999999997</v>
      </c>
      <c r="D176">
        <f>VLOOKUP(A176, Call!A:W, 23, FALSE)</f>
        <v>106.6</v>
      </c>
      <c r="E176">
        <f>VLOOKUP(A176, Put!A:W, 23, FALSE)</f>
        <v>85.949999999999989</v>
      </c>
      <c r="F176">
        <f t="shared" si="12"/>
        <v>67.699999999999989</v>
      </c>
      <c r="G176">
        <f t="shared" si="13"/>
        <v>192.54999999999998</v>
      </c>
      <c r="H176">
        <f>VLOOKUP(A176, Call!A:I, 9, FALSE)</f>
        <v>7.1428571428571425E-2</v>
      </c>
      <c r="I176">
        <f>VLOOKUP(A176, Call!A:J, 10, FALSE)</f>
        <v>0.9285714285714286</v>
      </c>
      <c r="J176">
        <f t="shared" si="14"/>
        <v>183.63214285714284</v>
      </c>
      <c r="K176">
        <f t="shared" si="15"/>
        <v>13.419642857142861</v>
      </c>
      <c r="L176">
        <f t="shared" si="16"/>
        <v>7.8840524974034598E-2</v>
      </c>
      <c r="M176">
        <f t="shared" si="17"/>
        <v>-2.6250000000000284</v>
      </c>
    </row>
    <row r="177" spans="1:13" x14ac:dyDescent="0.25">
      <c r="A177" s="1">
        <v>45916</v>
      </c>
      <c r="B177">
        <f>VLOOKUP(A177, Call!A:P, 16, FALSE)</f>
        <v>39.299999999999997</v>
      </c>
      <c r="C177">
        <f>VLOOKUP(A177, Put!A:P, 16, FALSE)</f>
        <v>31.25</v>
      </c>
      <c r="D177">
        <f>VLOOKUP(A177, Call!A:W, 23, FALSE)</f>
        <v>112.85</v>
      </c>
      <c r="E177">
        <f>VLOOKUP(A177, Put!A:W, 23, FALSE)</f>
        <v>86.4</v>
      </c>
      <c r="F177">
        <f t="shared" si="12"/>
        <v>70.55</v>
      </c>
      <c r="G177">
        <f t="shared" si="13"/>
        <v>199.25</v>
      </c>
      <c r="H177">
        <f>VLOOKUP(A177, Call!A:I, 9, FALSE)</f>
        <v>3.5714285714285712E-2</v>
      </c>
      <c r="I177">
        <f>VLOOKUP(A177, Call!A:J, 10, FALSE)</f>
        <v>0.9642857142857143</v>
      </c>
      <c r="J177">
        <f t="shared" si="14"/>
        <v>194.65357142857144</v>
      </c>
      <c r="K177">
        <f t="shared" si="15"/>
        <v>11.021428571428601</v>
      </c>
      <c r="L177">
        <f t="shared" si="16"/>
        <v>6.0019059844020624E-2</v>
      </c>
      <c r="M177">
        <f t="shared" si="17"/>
        <v>8.3964285714285722</v>
      </c>
    </row>
    <row r="178" spans="1:13" x14ac:dyDescent="0.25">
      <c r="A178" s="1">
        <v>45917</v>
      </c>
      <c r="B178">
        <f>VLOOKUP(A178, Call!A:P, 16, FALSE)</f>
        <v>28.75</v>
      </c>
      <c r="C178">
        <f>VLOOKUP(A178, Put!A:P, 16, FALSE)</f>
        <v>20.399999999999999</v>
      </c>
      <c r="D178">
        <f>VLOOKUP(A178, Call!A:W, 23, FALSE)</f>
        <v>108</v>
      </c>
      <c r="E178">
        <f>VLOOKUP(A178, Put!A:W, 23, FALSE)</f>
        <v>81.050000000000011</v>
      </c>
      <c r="F178">
        <f t="shared" si="12"/>
        <v>49.15</v>
      </c>
      <c r="G178">
        <f t="shared" si="13"/>
        <v>189.05</v>
      </c>
      <c r="H178">
        <f>VLOOKUP(A178, Call!A:I, 9, FALSE)</f>
        <v>0</v>
      </c>
      <c r="I178">
        <f>VLOOKUP(A178, Call!A:J, 10, FALSE)</f>
        <v>1</v>
      </c>
      <c r="J178">
        <f t="shared" si="14"/>
        <v>189.05</v>
      </c>
      <c r="K178">
        <f t="shared" si="15"/>
        <v>-5.6035714285714278</v>
      </c>
      <c r="L178">
        <f t="shared" si="16"/>
        <v>-2.8787406197823967E-2</v>
      </c>
      <c r="M178">
        <f t="shared" si="17"/>
        <v>2.7928571428571445</v>
      </c>
    </row>
    <row r="179" spans="1:13" x14ac:dyDescent="0.25">
      <c r="A179" s="1">
        <v>45918</v>
      </c>
      <c r="B179">
        <f>VLOOKUP(A179, Call!A:P, 16, FALSE)</f>
        <v>18.549999999999997</v>
      </c>
      <c r="C179">
        <f>VLOOKUP(A179, Put!A:P, 16, FALSE)</f>
        <v>8.1</v>
      </c>
      <c r="D179">
        <f>VLOOKUP(A179, Call!A:W, 23, FALSE)</f>
        <v>107.44999999999999</v>
      </c>
      <c r="E179">
        <f>VLOOKUP(A179, Put!A:W, 23, FALSE)</f>
        <v>78</v>
      </c>
      <c r="F179">
        <f t="shared" si="12"/>
        <v>26.65</v>
      </c>
      <c r="G179">
        <f t="shared" si="13"/>
        <v>185.45</v>
      </c>
      <c r="H179">
        <f>VLOOKUP(A179, Call!A:I, 9, FALSE)</f>
        <v>0</v>
      </c>
      <c r="I179">
        <f>VLOOKUP(A179, Call!A:J, 10, FALSE)</f>
        <v>1</v>
      </c>
      <c r="J179">
        <f t="shared" si="14"/>
        <v>185.45</v>
      </c>
      <c r="K179">
        <f t="shared" si="15"/>
        <v>-3.6000000000000227</v>
      </c>
      <c r="L179">
        <f t="shared" si="16"/>
        <v>-1.9042581327691207E-2</v>
      </c>
      <c r="M179">
        <f t="shared" si="17"/>
        <v>-0.80714285714287826</v>
      </c>
    </row>
    <row r="180" spans="1:13" x14ac:dyDescent="0.25">
      <c r="A180" s="1">
        <v>45919</v>
      </c>
      <c r="B180">
        <f>VLOOKUP(A180, Call!A:P, 16, FALSE)</f>
        <v>97.2</v>
      </c>
      <c r="C180">
        <f>VLOOKUP(A180, Put!A:P, 16, FALSE)</f>
        <v>81.55</v>
      </c>
      <c r="D180">
        <f>VLOOKUP(A180, Call!A:W, 23, FALSE)</f>
        <v>167.95</v>
      </c>
      <c r="E180">
        <f>VLOOKUP(A180, Put!A:W, 23, FALSE)</f>
        <v>130.69999999999999</v>
      </c>
      <c r="F180">
        <f t="shared" si="12"/>
        <v>178.75</v>
      </c>
      <c r="G180">
        <f t="shared" si="13"/>
        <v>298.64999999999998</v>
      </c>
      <c r="H180">
        <f>VLOOKUP(A180, Call!A:I, 9, FALSE)</f>
        <v>0.94285714285714284</v>
      </c>
      <c r="I180">
        <f>VLOOKUP(A180, Call!A:J, 10, FALSE)</f>
        <v>5.7142857142857141E-2</v>
      </c>
      <c r="J180">
        <f t="shared" si="14"/>
        <v>185.60142857142856</v>
      </c>
      <c r="K180">
        <f t="shared" si="15"/>
        <v>0.15142857142856769</v>
      </c>
      <c r="L180">
        <f t="shared" si="16"/>
        <v>8.1654662404188568E-4</v>
      </c>
      <c r="M180">
        <f t="shared" si="17"/>
        <v>-0.65571428571431056</v>
      </c>
    </row>
    <row r="181" spans="1:13" x14ac:dyDescent="0.25">
      <c r="A181" s="1">
        <v>45922</v>
      </c>
      <c r="B181">
        <f>VLOOKUP(A181, Call!A:P, 16, FALSE)</f>
        <v>96.550000000000011</v>
      </c>
      <c r="C181">
        <f>VLOOKUP(A181, Put!A:P, 16, FALSE)</f>
        <v>80.449999999999989</v>
      </c>
      <c r="D181">
        <f>VLOOKUP(A181, Call!A:W, 23, FALSE)</f>
        <v>170.1</v>
      </c>
      <c r="E181">
        <f>VLOOKUP(A181, Put!A:W, 23, FALSE)</f>
        <v>132.35000000000002</v>
      </c>
      <c r="F181">
        <f t="shared" si="12"/>
        <v>177</v>
      </c>
      <c r="G181">
        <f t="shared" si="13"/>
        <v>302.45000000000005</v>
      </c>
      <c r="H181">
        <f>VLOOKUP(A181, Call!A:I, 9, FALSE)</f>
        <v>0.8571428571428571</v>
      </c>
      <c r="I181">
        <f>VLOOKUP(A181, Call!A:J, 10, FALSE)</f>
        <v>0.14285714285714285</v>
      </c>
      <c r="J181">
        <f t="shared" si="14"/>
        <v>194.92142857142855</v>
      </c>
      <c r="K181">
        <f t="shared" si="15"/>
        <v>9.3199999999999932</v>
      </c>
      <c r="L181">
        <f t="shared" si="16"/>
        <v>5.0215130733291737E-2</v>
      </c>
      <c r="M181">
        <f t="shared" si="17"/>
        <v>8.6642857142856826</v>
      </c>
    </row>
    <row r="182" spans="1:13" x14ac:dyDescent="0.25">
      <c r="A182" s="1">
        <v>45923</v>
      </c>
      <c r="B182">
        <f>VLOOKUP(A182, Call!A:P, 16, FALSE)</f>
        <v>101.45</v>
      </c>
      <c r="C182">
        <f>VLOOKUP(A182, Put!A:P, 16, FALSE)</f>
        <v>79.25</v>
      </c>
      <c r="D182">
        <f>VLOOKUP(A182, Call!A:W, 23, FALSE)</f>
        <v>176.6</v>
      </c>
      <c r="E182">
        <f>VLOOKUP(A182, Put!A:W, 23, FALSE)</f>
        <v>132.75</v>
      </c>
      <c r="F182">
        <f t="shared" si="12"/>
        <v>180.7</v>
      </c>
      <c r="G182">
        <f t="shared" si="13"/>
        <v>309.35000000000002</v>
      </c>
      <c r="H182">
        <f>VLOOKUP(A182, Call!A:I, 9, FALSE)</f>
        <v>0.82857142857142863</v>
      </c>
      <c r="I182">
        <f>VLOOKUP(A182, Call!A:J, 10, FALSE)</f>
        <v>0.17142857142857143</v>
      </c>
      <c r="J182">
        <f t="shared" si="14"/>
        <v>202.75428571428574</v>
      </c>
      <c r="K182">
        <f t="shared" si="15"/>
        <v>7.8328571428571934</v>
      </c>
      <c r="L182">
        <f t="shared" si="16"/>
        <v>4.0184689801751883E-2</v>
      </c>
      <c r="M182">
        <f t="shared" si="17"/>
        <v>16.497142857142876</v>
      </c>
    </row>
    <row r="183" spans="1:13" x14ac:dyDescent="0.25">
      <c r="A183" s="1">
        <v>45924</v>
      </c>
      <c r="B183">
        <f>VLOOKUP(A183, Call!A:P, 16, FALSE)</f>
        <v>94.9</v>
      </c>
      <c r="C183">
        <f>VLOOKUP(A183, Put!A:P, 16, FALSE)</f>
        <v>76.599999999999994</v>
      </c>
      <c r="D183">
        <f>VLOOKUP(A183, Call!A:W, 23, FALSE)</f>
        <v>170.55</v>
      </c>
      <c r="E183">
        <f>VLOOKUP(A183, Put!A:W, 23, FALSE)</f>
        <v>130.85</v>
      </c>
      <c r="F183">
        <f t="shared" si="12"/>
        <v>171.5</v>
      </c>
      <c r="G183">
        <f t="shared" si="13"/>
        <v>301.39999999999998</v>
      </c>
      <c r="H183">
        <f>VLOOKUP(A183, Call!A:I, 9, FALSE)</f>
        <v>0.8</v>
      </c>
      <c r="I183">
        <f>VLOOKUP(A183, Call!A:J, 10, FALSE)</f>
        <v>0.2</v>
      </c>
      <c r="J183">
        <f t="shared" si="14"/>
        <v>197.48000000000002</v>
      </c>
      <c r="K183">
        <f t="shared" si="15"/>
        <v>-5.2742857142857247</v>
      </c>
      <c r="L183">
        <f t="shared" si="16"/>
        <v>-2.6013189786370603E-2</v>
      </c>
      <c r="M183">
        <f t="shared" si="17"/>
        <v>11.222857142857151</v>
      </c>
    </row>
    <row r="184" spans="1:13" x14ac:dyDescent="0.25">
      <c r="A184" s="1">
        <v>45925</v>
      </c>
      <c r="B184">
        <f>VLOOKUP(A184, Call!A:P, 16, FALSE)</f>
        <v>95.25</v>
      </c>
      <c r="C184">
        <f>VLOOKUP(A184, Put!A:P, 16, FALSE)</f>
        <v>76.650000000000006</v>
      </c>
      <c r="D184">
        <f>VLOOKUP(A184, Call!A:W, 23, FALSE)</f>
        <v>170.9</v>
      </c>
      <c r="E184">
        <f>VLOOKUP(A184, Put!A:W, 23, FALSE)</f>
        <v>130.69999999999999</v>
      </c>
      <c r="F184">
        <f t="shared" si="12"/>
        <v>171.9</v>
      </c>
      <c r="G184">
        <f t="shared" si="13"/>
        <v>301.60000000000002</v>
      </c>
      <c r="H184">
        <f>VLOOKUP(A184, Call!A:I, 9, FALSE)</f>
        <v>0.77142857142857146</v>
      </c>
      <c r="I184">
        <f>VLOOKUP(A184, Call!A:J, 10, FALSE)</f>
        <v>0.22857142857142856</v>
      </c>
      <c r="J184">
        <f t="shared" si="14"/>
        <v>201.54571428571433</v>
      </c>
      <c r="K184">
        <f t="shared" si="15"/>
        <v>4.0657142857143072</v>
      </c>
      <c r="L184">
        <f t="shared" si="16"/>
        <v>2.0587979976272569E-2</v>
      </c>
      <c r="M184">
        <f t="shared" si="17"/>
        <v>15.288571428571458</v>
      </c>
    </row>
    <row r="185" spans="1:13" x14ac:dyDescent="0.25">
      <c r="A185" s="1">
        <v>45926</v>
      </c>
      <c r="B185">
        <f>VLOOKUP(A185, Call!A:P, 16, FALSE)</f>
        <v>82.300000000000011</v>
      </c>
      <c r="C185">
        <f>VLOOKUP(A185, Put!A:P, 16, FALSE)</f>
        <v>68.3</v>
      </c>
      <c r="D185">
        <f>VLOOKUP(A185, Call!A:W, 23, FALSE)</f>
        <v>158.25</v>
      </c>
      <c r="E185">
        <f>VLOOKUP(A185, Put!A:W, 23, FALSE)</f>
        <v>122.35</v>
      </c>
      <c r="F185">
        <f t="shared" si="12"/>
        <v>150.60000000000002</v>
      </c>
      <c r="G185">
        <f t="shared" si="13"/>
        <v>280.60000000000002</v>
      </c>
      <c r="H185">
        <f>VLOOKUP(A185, Call!A:I, 9, FALSE)</f>
        <v>0.74285714285714288</v>
      </c>
      <c r="I185">
        <f>VLOOKUP(A185, Call!A:J, 10, FALSE)</f>
        <v>0.25714285714285712</v>
      </c>
      <c r="J185">
        <f t="shared" si="14"/>
        <v>184.02857142857144</v>
      </c>
      <c r="K185">
        <f t="shared" si="15"/>
        <v>-17.517142857142886</v>
      </c>
      <c r="L185">
        <f t="shared" si="16"/>
        <v>-8.6913993280503671E-2</v>
      </c>
      <c r="M185">
        <f t="shared" si="17"/>
        <v>-2.2285714285714278</v>
      </c>
    </row>
    <row r="186" spans="1:13" x14ac:dyDescent="0.25">
      <c r="A186" s="1">
        <v>45929</v>
      </c>
      <c r="B186">
        <f>VLOOKUP(A186, Call!A:P, 16, FALSE)</f>
        <v>76</v>
      </c>
      <c r="C186">
        <f>VLOOKUP(A186, Put!A:P, 16, FALSE)</f>
        <v>66.25</v>
      </c>
      <c r="D186">
        <f>VLOOKUP(A186, Call!A:W, 23, FALSE)</f>
        <v>154.69999999999999</v>
      </c>
      <c r="E186">
        <f>VLOOKUP(A186, Put!A:W, 23, FALSE)</f>
        <v>123.1</v>
      </c>
      <c r="F186">
        <f t="shared" si="12"/>
        <v>142.25</v>
      </c>
      <c r="G186">
        <f t="shared" si="13"/>
        <v>277.79999999999995</v>
      </c>
      <c r="H186">
        <f>VLOOKUP(A186, Call!A:I, 9, FALSE)</f>
        <v>0.65714285714285714</v>
      </c>
      <c r="I186">
        <f>VLOOKUP(A186, Call!A:J, 10, FALSE)</f>
        <v>0.34285714285714286</v>
      </c>
      <c r="J186">
        <f t="shared" si="14"/>
        <v>188.72428571428571</v>
      </c>
      <c r="K186">
        <f t="shared" si="15"/>
        <v>4.6957142857142742</v>
      </c>
      <c r="L186">
        <f t="shared" si="16"/>
        <v>2.5516224188790498E-2</v>
      </c>
      <c r="M186">
        <f t="shared" si="17"/>
        <v>2.4671428571428464</v>
      </c>
    </row>
    <row r="187" spans="1:13" x14ac:dyDescent="0.25">
      <c r="A187" s="1">
        <v>45930</v>
      </c>
      <c r="B187">
        <f>VLOOKUP(A187, Call!A:P, 16, FALSE)</f>
        <v>66.5</v>
      </c>
      <c r="C187">
        <f>VLOOKUP(A187, Put!A:P, 16, FALSE)</f>
        <v>69.75</v>
      </c>
      <c r="D187">
        <f>VLOOKUP(A187, Call!A:W, 23, FALSE)</f>
        <v>144.75</v>
      </c>
      <c r="E187">
        <f>VLOOKUP(A187, Put!A:W, 23, FALSE)</f>
        <v>126.94999999999999</v>
      </c>
      <c r="F187">
        <f t="shared" si="12"/>
        <v>136.25</v>
      </c>
      <c r="G187">
        <f t="shared" si="13"/>
        <v>271.7</v>
      </c>
      <c r="H187">
        <f>VLOOKUP(A187, Call!A:I, 9, FALSE)</f>
        <v>0.62857142857142856</v>
      </c>
      <c r="I187">
        <f>VLOOKUP(A187, Call!A:J, 10, FALSE)</f>
        <v>0.37142857142857144</v>
      </c>
      <c r="J187">
        <f t="shared" si="14"/>
        <v>186.56</v>
      </c>
      <c r="K187">
        <f t="shared" si="15"/>
        <v>-2.164285714285711</v>
      </c>
      <c r="L187">
        <f t="shared" si="16"/>
        <v>-1.1467976715843958E-2</v>
      </c>
      <c r="M187">
        <f t="shared" si="17"/>
        <v>0.30285714285713539</v>
      </c>
    </row>
    <row r="188" spans="1:13" x14ac:dyDescent="0.25">
      <c r="A188" s="1">
        <v>45931</v>
      </c>
      <c r="B188">
        <f>VLOOKUP(A188, Call!A:P, 16, FALSE)</f>
        <v>69.650000000000006</v>
      </c>
      <c r="C188">
        <f>VLOOKUP(A188, Put!A:P, 16, FALSE)</f>
        <v>60.5</v>
      </c>
      <c r="D188">
        <f>VLOOKUP(A188, Call!A:W, 23, FALSE)</f>
        <v>151</v>
      </c>
      <c r="E188">
        <f>VLOOKUP(A188, Put!A:W, 23, FALSE)</f>
        <v>120.6</v>
      </c>
      <c r="F188">
        <f t="shared" si="12"/>
        <v>130.15</v>
      </c>
      <c r="G188">
        <f t="shared" si="13"/>
        <v>271.60000000000002</v>
      </c>
      <c r="H188">
        <f>VLOOKUP(A188, Call!A:I, 9, FALSE)</f>
        <v>0.6</v>
      </c>
      <c r="I188">
        <f>VLOOKUP(A188, Call!A:J, 10, FALSE)</f>
        <v>0.4</v>
      </c>
      <c r="J188">
        <f t="shared" si="14"/>
        <v>186.73000000000002</v>
      </c>
      <c r="K188">
        <f t="shared" si="15"/>
        <v>0.17000000000001592</v>
      </c>
      <c r="L188">
        <f t="shared" si="16"/>
        <v>9.1123499142375594E-4</v>
      </c>
      <c r="M188">
        <f t="shared" si="17"/>
        <v>0.4728571428571513</v>
      </c>
    </row>
    <row r="189" spans="1:13" x14ac:dyDescent="0.25">
      <c r="A189" s="1">
        <v>45932</v>
      </c>
      <c r="B189">
        <f>VLOOKUP(A189, Call!A:P, 16, FALSE)</f>
        <v>69.75</v>
      </c>
      <c r="C189">
        <f>VLOOKUP(A189, Put!A:P, 16, FALSE)</f>
        <v>57.95</v>
      </c>
      <c r="D189">
        <f>VLOOKUP(A189, Call!A:W, 23, FALSE)</f>
        <v>154</v>
      </c>
      <c r="E189">
        <f>VLOOKUP(A189, Put!A:W, 23, FALSE)</f>
        <v>120.6</v>
      </c>
      <c r="F189">
        <f t="shared" si="12"/>
        <v>127.7</v>
      </c>
      <c r="G189">
        <f t="shared" si="13"/>
        <v>274.60000000000002</v>
      </c>
      <c r="H189">
        <f>VLOOKUP(A189, Call!A:I, 9, FALSE)</f>
        <v>0.5714285714285714</v>
      </c>
      <c r="I189">
        <f>VLOOKUP(A189, Call!A:J, 10, FALSE)</f>
        <v>0.42857142857142855</v>
      </c>
      <c r="J189">
        <f t="shared" si="14"/>
        <v>190.65714285714284</v>
      </c>
      <c r="K189">
        <f t="shared" si="15"/>
        <v>3.927142857142826</v>
      </c>
      <c r="L189">
        <f t="shared" si="16"/>
        <v>2.1031129744244769E-2</v>
      </c>
      <c r="M189">
        <f t="shared" si="17"/>
        <v>4.3999999999999773</v>
      </c>
    </row>
    <row r="190" spans="1:13" x14ac:dyDescent="0.25">
      <c r="A190" s="1">
        <v>45933</v>
      </c>
      <c r="B190">
        <f>VLOOKUP(A190, Call!A:P, 16, FALSE)</f>
        <v>64</v>
      </c>
      <c r="C190">
        <f>VLOOKUP(A190, Put!A:P, 16, FALSE)</f>
        <v>54.5</v>
      </c>
      <c r="D190">
        <f>VLOOKUP(A190, Call!A:W, 23, FALSE)</f>
        <v>149.85</v>
      </c>
      <c r="E190">
        <f>VLOOKUP(A190, Put!A:W, 23, FALSE)</f>
        <v>118.65</v>
      </c>
      <c r="F190">
        <f t="shared" si="12"/>
        <v>118.5</v>
      </c>
      <c r="G190">
        <f t="shared" si="13"/>
        <v>268.5</v>
      </c>
      <c r="H190">
        <f>VLOOKUP(A190, Call!A:I, 9, FALSE)</f>
        <v>0.54285714285714282</v>
      </c>
      <c r="I190">
        <f>VLOOKUP(A190, Call!A:J, 10, FALSE)</f>
        <v>0.45714285714285713</v>
      </c>
      <c r="J190">
        <f t="shared" si="14"/>
        <v>187.07142857142856</v>
      </c>
      <c r="K190">
        <f t="shared" si="15"/>
        <v>-3.585714285714289</v>
      </c>
      <c r="L190">
        <f t="shared" si="16"/>
        <v>-1.8807133223437751E-2</v>
      </c>
      <c r="M190">
        <f t="shared" si="17"/>
        <v>0.8142857142856883</v>
      </c>
    </row>
    <row r="191" spans="1:13" x14ac:dyDescent="0.25">
      <c r="A191" s="1">
        <v>45936</v>
      </c>
      <c r="B191">
        <f>VLOOKUP(A191, Call!A:P, 16, FALSE)</f>
        <v>58</v>
      </c>
      <c r="C191">
        <f>VLOOKUP(A191, Put!A:P, 16, FALSE)</f>
        <v>46.7</v>
      </c>
      <c r="D191">
        <f>VLOOKUP(A191, Call!A:W, 23, FALSE)</f>
        <v>147.05000000000001</v>
      </c>
      <c r="E191">
        <f>VLOOKUP(A191, Put!A:W, 23, FALSE)</f>
        <v>113.9</v>
      </c>
      <c r="F191">
        <f t="shared" si="12"/>
        <v>104.7</v>
      </c>
      <c r="G191">
        <f t="shared" si="13"/>
        <v>260.95000000000005</v>
      </c>
      <c r="H191">
        <f>VLOOKUP(A191, Call!A:I, 9, FALSE)</f>
        <v>0.45714285714285713</v>
      </c>
      <c r="I191">
        <f>VLOOKUP(A191, Call!A:J, 10, FALSE)</f>
        <v>0.54285714285714282</v>
      </c>
      <c r="J191">
        <f t="shared" si="14"/>
        <v>189.52142857142857</v>
      </c>
      <c r="K191">
        <f t="shared" si="15"/>
        <v>2.4500000000000171</v>
      </c>
      <c r="L191">
        <f t="shared" si="16"/>
        <v>1.3096601756395662E-2</v>
      </c>
      <c r="M191">
        <f t="shared" si="17"/>
        <v>3.2642857142857054</v>
      </c>
    </row>
    <row r="192" spans="1:13" x14ac:dyDescent="0.25">
      <c r="A192" s="1">
        <v>45937</v>
      </c>
      <c r="B192">
        <f>VLOOKUP(A192, Call!A:P, 16, FALSE)</f>
        <v>59.55</v>
      </c>
      <c r="C192">
        <f>VLOOKUP(A192, Put!A:P, 16, FALSE)</f>
        <v>48.75</v>
      </c>
      <c r="D192">
        <f>VLOOKUP(A192, Call!A:W, 23, FALSE)</f>
        <v>150.10000000000002</v>
      </c>
      <c r="E192">
        <f>VLOOKUP(A192, Put!A:W, 23, FALSE)</f>
        <v>117.05000000000001</v>
      </c>
      <c r="F192">
        <f t="shared" si="12"/>
        <v>108.3</v>
      </c>
      <c r="G192">
        <f t="shared" si="13"/>
        <v>267.15000000000003</v>
      </c>
      <c r="H192">
        <f>VLOOKUP(A192, Call!A:I, 9, FALSE)</f>
        <v>0.42857142857142855</v>
      </c>
      <c r="I192">
        <f>VLOOKUP(A192, Call!A:J, 10, FALSE)</f>
        <v>0.5714285714285714</v>
      </c>
      <c r="J192">
        <f t="shared" si="14"/>
        <v>199.07142857142858</v>
      </c>
      <c r="K192">
        <f t="shared" si="15"/>
        <v>9.5500000000000114</v>
      </c>
      <c r="L192">
        <f t="shared" si="16"/>
        <v>5.0390080277390482E-2</v>
      </c>
      <c r="M192">
        <f t="shared" si="17"/>
        <v>12.814285714285717</v>
      </c>
    </row>
    <row r="193" spans="1:13" x14ac:dyDescent="0.25">
      <c r="A193" s="1">
        <v>45938</v>
      </c>
      <c r="B193">
        <f>VLOOKUP(A193, Call!A:P, 16, FALSE)</f>
        <v>48.599999999999994</v>
      </c>
      <c r="C193">
        <f>VLOOKUP(A193, Put!A:P, 16, FALSE)</f>
        <v>40.15</v>
      </c>
      <c r="D193">
        <f>VLOOKUP(A193, Call!A:W, 23, FALSE)</f>
        <v>141.94999999999999</v>
      </c>
      <c r="E193">
        <f>VLOOKUP(A193, Put!A:W, 23, FALSE)</f>
        <v>111.05</v>
      </c>
      <c r="F193">
        <f t="shared" si="12"/>
        <v>88.75</v>
      </c>
      <c r="G193">
        <f t="shared" si="13"/>
        <v>253</v>
      </c>
      <c r="H193">
        <f>VLOOKUP(A193, Call!A:I, 9, FALSE)</f>
        <v>0.4</v>
      </c>
      <c r="I193">
        <f>VLOOKUP(A193, Call!A:J, 10, FALSE)</f>
        <v>0.6</v>
      </c>
      <c r="J193">
        <f t="shared" si="14"/>
        <v>187.29999999999998</v>
      </c>
      <c r="K193">
        <f t="shared" si="15"/>
        <v>-11.771428571428601</v>
      </c>
      <c r="L193">
        <f t="shared" si="16"/>
        <v>-5.9131682813060783E-2</v>
      </c>
      <c r="M193">
        <f t="shared" si="17"/>
        <v>1.0428571428571161</v>
      </c>
    </row>
    <row r="194" spans="1:13" x14ac:dyDescent="0.25">
      <c r="A194" s="1">
        <v>45939</v>
      </c>
      <c r="B194">
        <f>VLOOKUP(A194, Call!A:P, 16, FALSE)</f>
        <v>45.6</v>
      </c>
      <c r="C194">
        <f>VLOOKUP(A194, Put!A:P, 16, FALSE)</f>
        <v>40.049999999999997</v>
      </c>
      <c r="D194">
        <f>VLOOKUP(A194, Call!A:W, 23, FALSE)</f>
        <v>139.6</v>
      </c>
      <c r="E194">
        <f>VLOOKUP(A194, Put!A:W, 23, FALSE)</f>
        <v>112</v>
      </c>
      <c r="F194">
        <f t="shared" si="12"/>
        <v>85.65</v>
      </c>
      <c r="G194">
        <f t="shared" si="13"/>
        <v>251.6</v>
      </c>
      <c r="H194">
        <f>VLOOKUP(A194, Call!A:I, 9, FALSE)</f>
        <v>0.37142857142857144</v>
      </c>
      <c r="I194">
        <f>VLOOKUP(A194, Call!A:J, 10, FALSE)</f>
        <v>0.62857142857142856</v>
      </c>
      <c r="J194">
        <f t="shared" si="14"/>
        <v>189.96142857142857</v>
      </c>
      <c r="K194">
        <f t="shared" si="15"/>
        <v>2.661428571428587</v>
      </c>
      <c r="L194">
        <f t="shared" si="16"/>
        <v>1.4209442452902227E-2</v>
      </c>
      <c r="M194">
        <f t="shared" si="17"/>
        <v>3.7042857142857031</v>
      </c>
    </row>
    <row r="195" spans="1:13" x14ac:dyDescent="0.25">
      <c r="A195" s="1">
        <v>45940</v>
      </c>
      <c r="B195">
        <f>VLOOKUP(A195, Call!A:P, 16, FALSE)</f>
        <v>59.5</v>
      </c>
      <c r="C195">
        <f>VLOOKUP(A195, Put!A:P, 16, FALSE)</f>
        <v>98.699999999999989</v>
      </c>
      <c r="D195">
        <f>VLOOKUP(A195, Call!A:W, 23, FALSE)</f>
        <v>153.65</v>
      </c>
      <c r="E195">
        <f>VLOOKUP(A195, Put!A:W, 23, FALSE)</f>
        <v>172.1</v>
      </c>
      <c r="F195">
        <f t="shared" ref="F195:F251" si="18">B195+C195</f>
        <v>158.19999999999999</v>
      </c>
      <c r="G195">
        <f t="shared" ref="G195:G251" si="19">D195+E195</f>
        <v>325.75</v>
      </c>
      <c r="H195">
        <f>VLOOKUP(A195, Call!A:I, 9, FALSE)</f>
        <v>0.34285714285714286</v>
      </c>
      <c r="I195">
        <f>VLOOKUP(A195, Call!A:J, 10, FALSE)</f>
        <v>0.65714285714285714</v>
      </c>
      <c r="J195">
        <f t="shared" ref="J195:J251" si="20">F195*H195+G195*I195</f>
        <v>268.3042857142857</v>
      </c>
      <c r="K195">
        <f t="shared" si="15"/>
        <v>78.342857142857127</v>
      </c>
      <c r="L195">
        <f t="shared" si="16"/>
        <v>0.41241455032224578</v>
      </c>
      <c r="M195">
        <f t="shared" si="17"/>
        <v>82.047142857142831</v>
      </c>
    </row>
    <row r="196" spans="1:13" x14ac:dyDescent="0.25">
      <c r="A196" s="1">
        <v>45943</v>
      </c>
      <c r="B196">
        <f>VLOOKUP(A196, Call!A:P, 16, FALSE)</f>
        <v>39.700000000000003</v>
      </c>
      <c r="C196">
        <f>VLOOKUP(A196, Put!A:P, 16, FALSE)</f>
        <v>41.7</v>
      </c>
      <c r="D196">
        <f>VLOOKUP(A196, Call!A:W, 23, FALSE)</f>
        <v>141.75</v>
      </c>
      <c r="E196">
        <f>VLOOKUP(A196, Put!A:W, 23, FALSE)</f>
        <v>122.55000000000001</v>
      </c>
      <c r="F196">
        <f t="shared" si="18"/>
        <v>81.400000000000006</v>
      </c>
      <c r="G196">
        <f t="shared" si="19"/>
        <v>264.3</v>
      </c>
      <c r="H196">
        <f>VLOOKUP(A196, Call!A:I, 9, FALSE)</f>
        <v>0.25714285714285712</v>
      </c>
      <c r="I196">
        <f>VLOOKUP(A196, Call!A:J, 10, FALSE)</f>
        <v>0.74285714285714288</v>
      </c>
      <c r="J196">
        <f t="shared" si="20"/>
        <v>217.26857142857145</v>
      </c>
      <c r="K196">
        <f t="shared" ref="K196:K251" si="21">J196-J195</f>
        <v>-51.035714285714249</v>
      </c>
      <c r="L196">
        <f t="shared" ref="L196:L251" si="22">(J196-J195)/J195</f>
        <v>-0.19021579975827008</v>
      </c>
      <c r="M196">
        <f t="shared" ref="M196:M251" si="23">M195 + K196</f>
        <v>31.011428571428581</v>
      </c>
    </row>
    <row r="197" spans="1:13" x14ac:dyDescent="0.25">
      <c r="A197" s="1">
        <v>45944</v>
      </c>
      <c r="B197">
        <f>VLOOKUP(A197, Call!A:P, 16, FALSE)</f>
        <v>40.950000000000003</v>
      </c>
      <c r="C197">
        <f>VLOOKUP(A197, Put!A:P, 16, FALSE)</f>
        <v>38.950000000000003</v>
      </c>
      <c r="D197">
        <f>VLOOKUP(A197, Call!A:W, 23, FALSE)</f>
        <v>151.69999999999999</v>
      </c>
      <c r="E197">
        <f>VLOOKUP(A197, Put!A:W, 23, FALSE)</f>
        <v>127.94999999999999</v>
      </c>
      <c r="F197">
        <f t="shared" si="18"/>
        <v>79.900000000000006</v>
      </c>
      <c r="G197">
        <f t="shared" si="19"/>
        <v>279.64999999999998</v>
      </c>
      <c r="H197">
        <f>VLOOKUP(A197, Call!A:I, 9, FALSE)</f>
        <v>0.22857142857142856</v>
      </c>
      <c r="I197">
        <f>VLOOKUP(A197, Call!A:J, 10, FALSE)</f>
        <v>0.77142857142857146</v>
      </c>
      <c r="J197">
        <f t="shared" si="20"/>
        <v>233.99285714285713</v>
      </c>
      <c r="K197">
        <f t="shared" si="21"/>
        <v>16.724285714285685</v>
      </c>
      <c r="L197">
        <f t="shared" si="22"/>
        <v>7.6975172268686401E-2</v>
      </c>
      <c r="M197">
        <f t="shared" si="23"/>
        <v>47.735714285714266</v>
      </c>
    </row>
    <row r="198" spans="1:13" x14ac:dyDescent="0.25">
      <c r="A198" s="1">
        <v>45945</v>
      </c>
      <c r="B198">
        <f>VLOOKUP(A198, Call!A:P, 16, FALSE)</f>
        <v>33.950000000000003</v>
      </c>
      <c r="C198">
        <f>VLOOKUP(A198, Put!A:P, 16, FALSE)</f>
        <v>29</v>
      </c>
      <c r="D198">
        <f>VLOOKUP(A198, Call!A:W, 23, FALSE)</f>
        <v>152.80000000000001</v>
      </c>
      <c r="E198">
        <f>VLOOKUP(A198, Put!A:W, 23, FALSE)</f>
        <v>125.95</v>
      </c>
      <c r="F198">
        <f t="shared" si="18"/>
        <v>62.95</v>
      </c>
      <c r="G198">
        <f t="shared" si="19"/>
        <v>278.75</v>
      </c>
      <c r="H198">
        <f>VLOOKUP(A198, Call!A:I, 9, FALSE)</f>
        <v>0.2</v>
      </c>
      <c r="I198">
        <f>VLOOKUP(A198, Call!A:J, 10, FALSE)</f>
        <v>0.8</v>
      </c>
      <c r="J198">
        <f t="shared" si="20"/>
        <v>235.59</v>
      </c>
      <c r="K198">
        <f t="shared" si="21"/>
        <v>1.5971428571428703</v>
      </c>
      <c r="L198">
        <f t="shared" si="22"/>
        <v>6.8256051772032679E-3</v>
      </c>
      <c r="M198">
        <f t="shared" si="23"/>
        <v>49.332857142857137</v>
      </c>
    </row>
    <row r="199" spans="1:13" x14ac:dyDescent="0.25">
      <c r="A199" s="1">
        <v>45946</v>
      </c>
      <c r="B199">
        <f>VLOOKUP(A199, Call!A:P, 16, FALSE)</f>
        <v>18.700000000000003</v>
      </c>
      <c r="C199">
        <f>VLOOKUP(A199, Put!A:P, 16, FALSE)</f>
        <v>26.8</v>
      </c>
      <c r="D199">
        <f>VLOOKUP(A199, Call!A:W, 23, FALSE)</f>
        <v>165.89999999999998</v>
      </c>
      <c r="E199">
        <f>VLOOKUP(A199, Put!A:W, 23, FALSE)</f>
        <v>152.85</v>
      </c>
      <c r="F199">
        <f t="shared" si="18"/>
        <v>45.5</v>
      </c>
      <c r="G199">
        <f t="shared" si="19"/>
        <v>318.75</v>
      </c>
      <c r="H199">
        <f>VLOOKUP(A199, Call!A:I, 9, FALSE)</f>
        <v>0.17142857142857143</v>
      </c>
      <c r="I199">
        <f>VLOOKUP(A199, Call!A:J, 10, FALSE)</f>
        <v>0.82857142857142863</v>
      </c>
      <c r="J199">
        <f t="shared" si="20"/>
        <v>271.9071428571429</v>
      </c>
      <c r="K199">
        <f t="shared" si="21"/>
        <v>36.317142857142898</v>
      </c>
      <c r="L199">
        <f t="shared" si="22"/>
        <v>0.15415400847719724</v>
      </c>
      <c r="M199">
        <f t="shared" si="23"/>
        <v>85.650000000000034</v>
      </c>
    </row>
    <row r="200" spans="1:13" x14ac:dyDescent="0.25">
      <c r="A200" s="1">
        <v>45947</v>
      </c>
      <c r="B200">
        <f>VLOOKUP(A200, Call!A:P, 16, FALSE)</f>
        <v>149.69999999999999</v>
      </c>
      <c r="C200">
        <f>VLOOKUP(A200, Put!A:P, 16, FALSE)</f>
        <v>120.45</v>
      </c>
      <c r="D200">
        <f>VLOOKUP(A200, Call!A:W, 23, FALSE)</f>
        <v>205.5</v>
      </c>
      <c r="E200">
        <f>VLOOKUP(A200, Put!A:W, 23, FALSE)</f>
        <v>159.9</v>
      </c>
      <c r="F200">
        <f t="shared" si="18"/>
        <v>270.14999999999998</v>
      </c>
      <c r="G200">
        <f t="shared" si="19"/>
        <v>365.4</v>
      </c>
      <c r="H200">
        <f>VLOOKUP(A200, Call!A:I, 9, FALSE)</f>
        <v>1</v>
      </c>
      <c r="I200">
        <f>VLOOKUP(A200, Call!A:J, 10, FALSE)</f>
        <v>0</v>
      </c>
      <c r="J200">
        <f t="shared" si="20"/>
        <v>270.14999999999998</v>
      </c>
      <c r="K200">
        <f t="shared" si="21"/>
        <v>-1.7571428571429237</v>
      </c>
      <c r="L200">
        <f t="shared" si="22"/>
        <v>-6.4622901725906769E-3</v>
      </c>
      <c r="M200">
        <f t="shared" si="23"/>
        <v>83.89285714285711</v>
      </c>
    </row>
    <row r="201" spans="1:13" x14ac:dyDescent="0.25">
      <c r="A201" s="1">
        <v>45950</v>
      </c>
      <c r="B201">
        <f>VLOOKUP(A201, Call!A:P, 16, FALSE)</f>
        <v>128.75</v>
      </c>
      <c r="C201">
        <f>VLOOKUP(A201, Put!A:P, 16, FALSE)</f>
        <v>100.5</v>
      </c>
      <c r="D201">
        <f>VLOOKUP(A201, Call!A:W, 23, FALSE)</f>
        <v>184.8</v>
      </c>
      <c r="E201">
        <f>VLOOKUP(A201, Put!A:W, 23, FALSE)</f>
        <v>139.94999999999999</v>
      </c>
      <c r="F201">
        <f t="shared" si="18"/>
        <v>229.25</v>
      </c>
      <c r="G201">
        <f t="shared" si="19"/>
        <v>324.75</v>
      </c>
      <c r="H201">
        <f>VLOOKUP(A201, Call!A:I, 9, FALSE)</f>
        <v>1</v>
      </c>
      <c r="I201">
        <f>VLOOKUP(A201, Call!A:J, 10, FALSE)</f>
        <v>0</v>
      </c>
      <c r="J201">
        <f t="shared" si="20"/>
        <v>229.25</v>
      </c>
      <c r="K201">
        <f t="shared" si="21"/>
        <v>-40.899999999999977</v>
      </c>
      <c r="L201">
        <f t="shared" si="22"/>
        <v>-0.15139737183046448</v>
      </c>
      <c r="M201">
        <f t="shared" si="23"/>
        <v>42.992857142857133</v>
      </c>
    </row>
    <row r="202" spans="1:13" x14ac:dyDescent="0.25">
      <c r="A202" s="1">
        <v>45951</v>
      </c>
      <c r="B202">
        <f>VLOOKUP(A202, Call!A:P, 16, FALSE)</f>
        <v>120.4</v>
      </c>
      <c r="C202">
        <f>VLOOKUP(A202, Put!A:P, 16, FALSE)</f>
        <v>99.95</v>
      </c>
      <c r="D202">
        <f>VLOOKUP(A202, Call!A:W, 23, FALSE)</f>
        <v>176.45</v>
      </c>
      <c r="E202">
        <f>VLOOKUP(A202, Put!A:W, 23, FALSE)</f>
        <v>139.44999999999999</v>
      </c>
      <c r="F202">
        <f t="shared" si="18"/>
        <v>220.35000000000002</v>
      </c>
      <c r="G202">
        <f t="shared" si="19"/>
        <v>315.89999999999998</v>
      </c>
      <c r="H202">
        <f>VLOOKUP(A202, Call!A:I, 9, FALSE)</f>
        <v>1</v>
      </c>
      <c r="I202">
        <f>VLOOKUP(A202, Call!A:J, 10, FALSE)</f>
        <v>0</v>
      </c>
      <c r="J202">
        <f t="shared" si="20"/>
        <v>220.35000000000002</v>
      </c>
      <c r="K202">
        <f t="shared" si="21"/>
        <v>-8.8999999999999773</v>
      </c>
      <c r="L202">
        <f t="shared" si="22"/>
        <v>-3.8822246455834146E-2</v>
      </c>
      <c r="M202">
        <f t="shared" si="23"/>
        <v>34.092857142857156</v>
      </c>
    </row>
    <row r="203" spans="1:13" x14ac:dyDescent="0.25">
      <c r="A203" s="1">
        <v>45952</v>
      </c>
      <c r="B203">
        <f>VLOOKUP(A203, Call!A:P, 16, FALSE)</f>
        <v>123.5</v>
      </c>
      <c r="C203">
        <f>VLOOKUP(A203, Put!A:P, 16, FALSE)</f>
        <v>102.95</v>
      </c>
      <c r="D203">
        <f>VLOOKUP(A203, Call!A:W, 23, FALSE)</f>
        <v>179.7</v>
      </c>
      <c r="E203">
        <f>VLOOKUP(A203, Put!A:W, 23, FALSE)</f>
        <v>142.65</v>
      </c>
      <c r="F203">
        <f t="shared" si="18"/>
        <v>226.45</v>
      </c>
      <c r="G203">
        <f t="shared" si="19"/>
        <v>322.35000000000002</v>
      </c>
      <c r="H203">
        <f>VLOOKUP(A203, Call!A:I, 9, FALSE)</f>
        <v>1</v>
      </c>
      <c r="I203">
        <f>VLOOKUP(A203, Call!A:J, 10, FALSE)</f>
        <v>0</v>
      </c>
      <c r="J203">
        <f t="shared" si="20"/>
        <v>226.45</v>
      </c>
      <c r="K203">
        <f t="shared" si="21"/>
        <v>6.0999999999999659</v>
      </c>
      <c r="L203">
        <f t="shared" si="22"/>
        <v>2.7683231223054074E-2</v>
      </c>
      <c r="M203">
        <f t="shared" si="23"/>
        <v>40.192857142857122</v>
      </c>
    </row>
    <row r="204" spans="1:13" x14ac:dyDescent="0.25">
      <c r="A204" s="1">
        <v>45953</v>
      </c>
      <c r="B204">
        <f>VLOOKUP(A204, Call!A:P, 16, FALSE)</f>
        <v>114.15</v>
      </c>
      <c r="C204">
        <f>VLOOKUP(A204, Put!A:P, 16, FALSE)</f>
        <v>93.55</v>
      </c>
      <c r="D204">
        <f>VLOOKUP(A204, Call!A:W, 23, FALSE)</f>
        <v>171.85</v>
      </c>
      <c r="E204">
        <f>VLOOKUP(A204, Put!A:W, 23, FALSE)</f>
        <v>134.69999999999999</v>
      </c>
      <c r="F204">
        <f t="shared" si="18"/>
        <v>207.7</v>
      </c>
      <c r="G204">
        <f t="shared" si="19"/>
        <v>306.54999999999995</v>
      </c>
      <c r="H204">
        <f>VLOOKUP(A204, Call!A:I, 9, FALSE)</f>
        <v>0.9642857142857143</v>
      </c>
      <c r="I204">
        <f>VLOOKUP(A204, Call!A:J, 10, FALSE)</f>
        <v>3.5714285714285712E-2</v>
      </c>
      <c r="J204">
        <f t="shared" si="20"/>
        <v>211.23035714285712</v>
      </c>
      <c r="K204">
        <f t="shared" si="21"/>
        <v>-15.219642857142873</v>
      </c>
      <c r="L204">
        <f t="shared" si="22"/>
        <v>-6.7209727786014015E-2</v>
      </c>
      <c r="M204">
        <f t="shared" si="23"/>
        <v>24.973214285714249</v>
      </c>
    </row>
    <row r="205" spans="1:13" x14ac:dyDescent="0.25">
      <c r="A205" s="1">
        <v>45954</v>
      </c>
      <c r="B205">
        <f>VLOOKUP(A205, Call!A:P, 16, FALSE)</f>
        <v>105.65</v>
      </c>
      <c r="C205">
        <f>VLOOKUP(A205, Put!A:P, 16, FALSE)</f>
        <v>87.5</v>
      </c>
      <c r="D205">
        <f>VLOOKUP(A205, Call!A:W, 23, FALSE)</f>
        <v>164.95</v>
      </c>
      <c r="E205">
        <f>VLOOKUP(A205, Put!A:W, 23, FALSE)</f>
        <v>129.85</v>
      </c>
      <c r="F205">
        <f t="shared" si="18"/>
        <v>193.15</v>
      </c>
      <c r="G205">
        <f t="shared" si="19"/>
        <v>294.79999999999995</v>
      </c>
      <c r="H205">
        <f>VLOOKUP(A205, Call!A:I, 9, FALSE)</f>
        <v>0.9285714285714286</v>
      </c>
      <c r="I205">
        <f>VLOOKUP(A205, Call!A:J, 10, FALSE)</f>
        <v>7.1428571428571425E-2</v>
      </c>
      <c r="J205">
        <f t="shared" si="20"/>
        <v>200.41071428571428</v>
      </c>
      <c r="K205">
        <f t="shared" si="21"/>
        <v>-10.819642857142838</v>
      </c>
      <c r="L205">
        <f t="shared" si="22"/>
        <v>-5.1222007118159676E-2</v>
      </c>
      <c r="M205">
        <f t="shared" si="23"/>
        <v>14.153571428571411</v>
      </c>
    </row>
    <row r="206" spans="1:13" x14ac:dyDescent="0.25">
      <c r="A206" s="1">
        <v>45957</v>
      </c>
      <c r="B206">
        <f>VLOOKUP(A206, Call!A:P, 16, FALSE)</f>
        <v>102.8</v>
      </c>
      <c r="C206">
        <f>VLOOKUP(A206, Put!A:P, 16, FALSE)</f>
        <v>81.7</v>
      </c>
      <c r="D206">
        <f>VLOOKUP(A206, Call!A:W, 23, FALSE)</f>
        <v>164.6</v>
      </c>
      <c r="E206">
        <f>VLOOKUP(A206, Put!A:W, 23, FALSE)</f>
        <v>126.05</v>
      </c>
      <c r="F206">
        <f t="shared" si="18"/>
        <v>184.5</v>
      </c>
      <c r="G206">
        <f t="shared" si="19"/>
        <v>290.64999999999998</v>
      </c>
      <c r="H206">
        <f>VLOOKUP(A206, Call!A:I, 9, FALSE)</f>
        <v>0.8214285714285714</v>
      </c>
      <c r="I206">
        <f>VLOOKUP(A206, Call!A:J, 10, FALSE)</f>
        <v>0.17857142857142858</v>
      </c>
      <c r="J206">
        <f t="shared" si="20"/>
        <v>203.45535714285711</v>
      </c>
      <c r="K206">
        <f t="shared" si="21"/>
        <v>3.0446428571428328</v>
      </c>
      <c r="L206">
        <f t="shared" si="22"/>
        <v>1.5192016394903203E-2</v>
      </c>
      <c r="M206">
        <f t="shared" si="23"/>
        <v>17.198214285714243</v>
      </c>
    </row>
    <row r="207" spans="1:13" x14ac:dyDescent="0.25">
      <c r="A207" s="1">
        <v>45958</v>
      </c>
      <c r="B207">
        <f>VLOOKUP(A207, Call!A:P, 16, FALSE)</f>
        <v>105.25</v>
      </c>
      <c r="C207">
        <f>VLOOKUP(A207, Put!A:P, 16, FALSE)</f>
        <v>85.65</v>
      </c>
      <c r="D207">
        <f>VLOOKUP(A207, Call!A:W, 23, FALSE)</f>
        <v>169.25</v>
      </c>
      <c r="E207">
        <f>VLOOKUP(A207, Put!A:W, 23, FALSE)</f>
        <v>131.94999999999999</v>
      </c>
      <c r="F207">
        <f t="shared" si="18"/>
        <v>190.9</v>
      </c>
      <c r="G207">
        <f t="shared" si="19"/>
        <v>301.2</v>
      </c>
      <c r="H207">
        <f>VLOOKUP(A207, Call!A:I, 9, FALSE)</f>
        <v>0.7857142857142857</v>
      </c>
      <c r="I207">
        <f>VLOOKUP(A207, Call!A:J, 10, FALSE)</f>
        <v>0.21428571428571427</v>
      </c>
      <c r="J207">
        <f t="shared" si="20"/>
        <v>214.53571428571428</v>
      </c>
      <c r="K207">
        <f t="shared" si="21"/>
        <v>11.080357142857167</v>
      </c>
      <c r="L207">
        <f t="shared" si="22"/>
        <v>5.4460876815728393E-2</v>
      </c>
      <c r="M207">
        <f t="shared" si="23"/>
        <v>28.278571428571411</v>
      </c>
    </row>
    <row r="208" spans="1:13" x14ac:dyDescent="0.25">
      <c r="A208" s="1">
        <v>45959</v>
      </c>
      <c r="B208">
        <f>VLOOKUP(A208, Call!A:P, 16, FALSE)</f>
        <v>101.94999999999999</v>
      </c>
      <c r="C208">
        <f>VLOOKUP(A208, Put!A:P, 16, FALSE)</f>
        <v>92.35</v>
      </c>
      <c r="D208">
        <f>VLOOKUP(A208, Call!A:W, 23, FALSE)</f>
        <v>166.60000000000002</v>
      </c>
      <c r="E208">
        <f>VLOOKUP(A208, Put!A:W, 23, FALSE)</f>
        <v>138.94999999999999</v>
      </c>
      <c r="F208">
        <f t="shared" si="18"/>
        <v>194.29999999999998</v>
      </c>
      <c r="G208">
        <f t="shared" si="19"/>
        <v>305.55</v>
      </c>
      <c r="H208">
        <f>VLOOKUP(A208, Call!A:I, 9, FALSE)</f>
        <v>0.75</v>
      </c>
      <c r="I208">
        <f>VLOOKUP(A208, Call!A:J, 10, FALSE)</f>
        <v>0.25</v>
      </c>
      <c r="J208">
        <f t="shared" si="20"/>
        <v>222.11250000000001</v>
      </c>
      <c r="K208">
        <f t="shared" si="21"/>
        <v>7.5767857142857338</v>
      </c>
      <c r="L208">
        <f t="shared" si="22"/>
        <v>3.5317130014982615E-2</v>
      </c>
      <c r="M208">
        <f t="shared" si="23"/>
        <v>35.855357142857144</v>
      </c>
    </row>
    <row r="209" spans="1:13" x14ac:dyDescent="0.25">
      <c r="A209" s="1">
        <v>45960</v>
      </c>
      <c r="B209">
        <f>VLOOKUP(A209, Call!A:P, 16, FALSE)</f>
        <v>126.05</v>
      </c>
      <c r="C209">
        <f>VLOOKUP(A209, Put!A:P, 16, FALSE)</f>
        <v>69.900000000000006</v>
      </c>
      <c r="D209">
        <f>VLOOKUP(A209, Call!A:W, 23, FALSE)</f>
        <v>193.3</v>
      </c>
      <c r="E209">
        <f>VLOOKUP(A209, Put!A:W, 23, FALSE)</f>
        <v>119.69999999999999</v>
      </c>
      <c r="F209">
        <f t="shared" si="18"/>
        <v>195.95</v>
      </c>
      <c r="G209">
        <f t="shared" si="19"/>
        <v>313</v>
      </c>
      <c r="H209">
        <f>VLOOKUP(A209, Call!A:I, 9, FALSE)</f>
        <v>0.7142857142857143</v>
      </c>
      <c r="I209">
        <f>VLOOKUP(A209, Call!A:J, 10, FALSE)</f>
        <v>0.2857142857142857</v>
      </c>
      <c r="J209">
        <f t="shared" si="20"/>
        <v>229.39285714285717</v>
      </c>
      <c r="K209">
        <f t="shared" si="21"/>
        <v>7.2803571428571558</v>
      </c>
      <c r="L209">
        <f t="shared" si="22"/>
        <v>3.2777791177250964E-2</v>
      </c>
      <c r="M209">
        <f t="shared" si="23"/>
        <v>43.1357142857143</v>
      </c>
    </row>
    <row r="210" spans="1:13" x14ac:dyDescent="0.25">
      <c r="A210" s="1">
        <v>45961</v>
      </c>
      <c r="B210">
        <f>VLOOKUP(A210, Call!A:P, 16, FALSE)</f>
        <v>100.6</v>
      </c>
      <c r="C210">
        <f>VLOOKUP(A210, Put!A:P, 16, FALSE)</f>
        <v>86.199999999999989</v>
      </c>
      <c r="D210">
        <f>VLOOKUP(A210, Call!A:W, 23, FALSE)</f>
        <v>169.75</v>
      </c>
      <c r="E210">
        <f>VLOOKUP(A210, Put!A:W, 23, FALSE)</f>
        <v>137.89999999999998</v>
      </c>
      <c r="F210">
        <f t="shared" si="18"/>
        <v>186.79999999999998</v>
      </c>
      <c r="G210">
        <f t="shared" si="19"/>
        <v>307.64999999999998</v>
      </c>
      <c r="H210">
        <f>VLOOKUP(A210, Call!A:I, 9, FALSE)</f>
        <v>0.6785714285714286</v>
      </c>
      <c r="I210">
        <f>VLOOKUP(A210, Call!A:J, 10, FALSE)</f>
        <v>0.32142857142857145</v>
      </c>
      <c r="J210">
        <f t="shared" si="20"/>
        <v>225.64464285714286</v>
      </c>
      <c r="K210">
        <f t="shared" si="21"/>
        <v>-3.7482142857143117</v>
      </c>
      <c r="L210">
        <f t="shared" si="22"/>
        <v>-1.6339716643313205E-2</v>
      </c>
      <c r="M210">
        <f t="shared" si="23"/>
        <v>39.387499999999989</v>
      </c>
    </row>
    <row r="211" spans="1:13" x14ac:dyDescent="0.25">
      <c r="A211" s="1">
        <v>45964</v>
      </c>
      <c r="B211">
        <f>VLOOKUP(A211, Call!A:P, 16, FALSE)</f>
        <v>92.949999999999989</v>
      </c>
      <c r="C211">
        <f>VLOOKUP(A211, Put!A:P, 16, FALSE)</f>
        <v>77.050000000000011</v>
      </c>
      <c r="D211">
        <f>VLOOKUP(A211, Call!A:W, 23, FALSE)</f>
        <v>164.55</v>
      </c>
      <c r="E211">
        <f>VLOOKUP(A211, Put!A:W, 23, FALSE)</f>
        <v>130.80000000000001</v>
      </c>
      <c r="F211">
        <f t="shared" si="18"/>
        <v>170</v>
      </c>
      <c r="G211">
        <f t="shared" si="19"/>
        <v>295.35000000000002</v>
      </c>
      <c r="H211">
        <f>VLOOKUP(A211, Call!A:I, 9, FALSE)</f>
        <v>0.5714285714285714</v>
      </c>
      <c r="I211">
        <f>VLOOKUP(A211, Call!A:J, 10, FALSE)</f>
        <v>0.42857142857142855</v>
      </c>
      <c r="J211">
        <f t="shared" si="20"/>
        <v>223.72142857142859</v>
      </c>
      <c r="K211">
        <f t="shared" si="21"/>
        <v>-1.9232142857142662</v>
      </c>
      <c r="L211">
        <f t="shared" si="22"/>
        <v>-8.5231994048795834E-3</v>
      </c>
      <c r="M211">
        <f t="shared" si="23"/>
        <v>37.464285714285722</v>
      </c>
    </row>
    <row r="212" spans="1:13" x14ac:dyDescent="0.25">
      <c r="A212" s="1">
        <v>45965</v>
      </c>
      <c r="B212">
        <f>VLOOKUP(A212, Call!A:P, 16, FALSE)</f>
        <v>101.1</v>
      </c>
      <c r="C212">
        <f>VLOOKUP(A212, Put!A:P, 16, FALSE)</f>
        <v>82.75</v>
      </c>
      <c r="D212">
        <f>VLOOKUP(A212, Call!A:W, 23, FALSE)</f>
        <v>171.64999999999998</v>
      </c>
      <c r="E212">
        <f>VLOOKUP(A212, Put!A:W, 23, FALSE)</f>
        <v>135.64999999999998</v>
      </c>
      <c r="F212">
        <f t="shared" si="18"/>
        <v>183.85</v>
      </c>
      <c r="G212">
        <f t="shared" si="19"/>
        <v>307.29999999999995</v>
      </c>
      <c r="H212">
        <f>VLOOKUP(A212, Call!A:I, 9, FALSE)</f>
        <v>0.5357142857142857</v>
      </c>
      <c r="I212">
        <f>VLOOKUP(A212, Call!A:J, 10, FALSE)</f>
        <v>0.4642857142857143</v>
      </c>
      <c r="J212">
        <f t="shared" si="20"/>
        <v>241.1660714285714</v>
      </c>
      <c r="K212">
        <f t="shared" si="21"/>
        <v>17.44464285714281</v>
      </c>
      <c r="L212">
        <f t="shared" si="22"/>
        <v>7.7974841160882255E-2</v>
      </c>
      <c r="M212">
        <f t="shared" si="23"/>
        <v>54.908928571428532</v>
      </c>
    </row>
    <row r="213" spans="1:13" x14ac:dyDescent="0.25">
      <c r="A213" s="1">
        <v>45966</v>
      </c>
      <c r="B213">
        <f>VLOOKUP(A213, Call!A:P, 16, FALSE)</f>
        <v>89.4</v>
      </c>
      <c r="C213">
        <f>VLOOKUP(A213, Put!A:P, 16, FALSE)</f>
        <v>74.900000000000006</v>
      </c>
      <c r="D213">
        <f>VLOOKUP(A213, Call!A:W, 23, FALSE)</f>
        <v>160.55000000000001</v>
      </c>
      <c r="E213">
        <f>VLOOKUP(A213, Put!A:W, 23, FALSE)</f>
        <v>128.30000000000001</v>
      </c>
      <c r="F213">
        <f t="shared" si="18"/>
        <v>164.3</v>
      </c>
      <c r="G213">
        <f t="shared" si="19"/>
        <v>288.85000000000002</v>
      </c>
      <c r="H213">
        <f>VLOOKUP(A213, Call!A:I, 9, FALSE)</f>
        <v>0.5</v>
      </c>
      <c r="I213">
        <f>VLOOKUP(A213, Call!A:J, 10, FALSE)</f>
        <v>0.5</v>
      </c>
      <c r="J213">
        <f t="shared" si="20"/>
        <v>226.57500000000002</v>
      </c>
      <c r="K213">
        <f t="shared" si="21"/>
        <v>-14.591071428571382</v>
      </c>
      <c r="L213">
        <f t="shared" si="22"/>
        <v>-6.0502173220883471E-2</v>
      </c>
      <c r="M213">
        <f t="shared" si="23"/>
        <v>40.31785714285715</v>
      </c>
    </row>
    <row r="214" spans="1:13" x14ac:dyDescent="0.25">
      <c r="A214" s="1">
        <v>45967</v>
      </c>
      <c r="B214">
        <f>VLOOKUP(A214, Call!A:P, 16, FALSE)</f>
        <v>103.4</v>
      </c>
      <c r="C214">
        <f>VLOOKUP(A214, Put!A:P, 16, FALSE)</f>
        <v>76.300000000000011</v>
      </c>
      <c r="D214">
        <f>VLOOKUP(A214, Call!A:W, 23, FALSE)</f>
        <v>174.65</v>
      </c>
      <c r="E214">
        <f>VLOOKUP(A214, Put!A:W, 23, FALSE)</f>
        <v>130.35</v>
      </c>
      <c r="F214">
        <f t="shared" si="18"/>
        <v>179.70000000000002</v>
      </c>
      <c r="G214">
        <f t="shared" si="19"/>
        <v>305</v>
      </c>
      <c r="H214">
        <f>VLOOKUP(A214, Call!A:I, 9, FALSE)</f>
        <v>0.4642857142857143</v>
      </c>
      <c r="I214">
        <f>VLOOKUP(A214, Call!A:J, 10, FALSE)</f>
        <v>0.5357142857142857</v>
      </c>
      <c r="J214">
        <f t="shared" si="20"/>
        <v>246.82499999999999</v>
      </c>
      <c r="K214">
        <f t="shared" si="21"/>
        <v>20.249999999999972</v>
      </c>
      <c r="L214">
        <f t="shared" si="22"/>
        <v>8.9374379344587751E-2</v>
      </c>
      <c r="M214">
        <f t="shared" si="23"/>
        <v>60.567857142857122</v>
      </c>
    </row>
    <row r="215" spans="1:13" x14ac:dyDescent="0.25">
      <c r="A215" s="1">
        <v>45968</v>
      </c>
      <c r="B215">
        <f>VLOOKUP(A215, Call!A:P, 16, FALSE)</f>
        <v>92.449999999999989</v>
      </c>
      <c r="C215">
        <f>VLOOKUP(A215, Put!A:P, 16, FALSE)</f>
        <v>74.7</v>
      </c>
      <c r="D215">
        <f>VLOOKUP(A215, Call!A:W, 23, FALSE)</f>
        <v>164.55</v>
      </c>
      <c r="E215">
        <f>VLOOKUP(A215, Put!A:W, 23, FALSE)</f>
        <v>129.75</v>
      </c>
      <c r="F215">
        <f t="shared" si="18"/>
        <v>167.14999999999998</v>
      </c>
      <c r="G215">
        <f t="shared" si="19"/>
        <v>294.3</v>
      </c>
      <c r="H215">
        <f>VLOOKUP(A215, Call!A:I, 9, FALSE)</f>
        <v>0.42857142857142855</v>
      </c>
      <c r="I215">
        <f>VLOOKUP(A215, Call!A:J, 10, FALSE)</f>
        <v>0.5714285714285714</v>
      </c>
      <c r="J215">
        <f t="shared" si="20"/>
        <v>239.80714285714285</v>
      </c>
      <c r="K215">
        <f t="shared" si="21"/>
        <v>-7.0178571428571388</v>
      </c>
      <c r="L215">
        <f t="shared" si="22"/>
        <v>-2.8432521595693868E-2</v>
      </c>
      <c r="M215">
        <f t="shared" si="23"/>
        <v>53.549999999999983</v>
      </c>
    </row>
    <row r="216" spans="1:13" x14ac:dyDescent="0.25">
      <c r="A216" s="1">
        <v>45971</v>
      </c>
      <c r="B216">
        <f>VLOOKUP(A216, Call!A:P, 16, FALSE)</f>
        <v>69.7</v>
      </c>
      <c r="C216">
        <f>VLOOKUP(A216, Put!A:P, 16, FALSE)</f>
        <v>60.5</v>
      </c>
      <c r="D216">
        <f>VLOOKUP(A216, Call!A:W, 23, FALSE)</f>
        <v>144.85</v>
      </c>
      <c r="E216">
        <f>VLOOKUP(A216, Put!A:W, 23, FALSE)</f>
        <v>117.5</v>
      </c>
      <c r="F216">
        <f t="shared" si="18"/>
        <v>130.19999999999999</v>
      </c>
      <c r="G216">
        <f t="shared" si="19"/>
        <v>262.35000000000002</v>
      </c>
      <c r="H216">
        <f>VLOOKUP(A216, Call!A:I, 9, FALSE)</f>
        <v>0.32142857142857145</v>
      </c>
      <c r="I216">
        <f>VLOOKUP(A216, Call!A:J, 10, FALSE)</f>
        <v>0.6785714285714286</v>
      </c>
      <c r="J216">
        <f t="shared" si="20"/>
        <v>219.87321428571431</v>
      </c>
      <c r="K216">
        <f t="shared" si="21"/>
        <v>-19.933928571428538</v>
      </c>
      <c r="L216">
        <f t="shared" si="22"/>
        <v>-8.3124832454650924E-2</v>
      </c>
      <c r="M216">
        <f t="shared" si="23"/>
        <v>33.616071428571445</v>
      </c>
    </row>
    <row r="217" spans="1:13" x14ac:dyDescent="0.25">
      <c r="A217" s="1">
        <v>45972</v>
      </c>
      <c r="B217">
        <f>VLOOKUP(A217, Call!A:P, 16, FALSE)</f>
        <v>64.849999999999994</v>
      </c>
      <c r="C217">
        <f>VLOOKUP(A217, Put!A:P, 16, FALSE)</f>
        <v>54.25</v>
      </c>
      <c r="D217">
        <f>VLOOKUP(A217, Call!A:W, 23, FALSE)</f>
        <v>142.69999999999999</v>
      </c>
      <c r="E217">
        <f>VLOOKUP(A217, Put!A:W, 23, FALSE)</f>
        <v>113.85</v>
      </c>
      <c r="F217">
        <f t="shared" si="18"/>
        <v>119.1</v>
      </c>
      <c r="G217">
        <f t="shared" si="19"/>
        <v>256.54999999999995</v>
      </c>
      <c r="H217">
        <f>VLOOKUP(A217, Call!A:I, 9, FALSE)</f>
        <v>0.2857142857142857</v>
      </c>
      <c r="I217">
        <f>VLOOKUP(A217, Call!A:J, 10, FALSE)</f>
        <v>0.7142857142857143</v>
      </c>
      <c r="J217">
        <f t="shared" si="20"/>
        <v>217.27857142857141</v>
      </c>
      <c r="K217">
        <f t="shared" si="21"/>
        <v>-2.594642857142901</v>
      </c>
      <c r="L217">
        <f t="shared" si="22"/>
        <v>-1.1800631857645433E-2</v>
      </c>
      <c r="M217">
        <f t="shared" si="23"/>
        <v>31.021428571428544</v>
      </c>
    </row>
    <row r="218" spans="1:13" x14ac:dyDescent="0.25">
      <c r="A218" s="1">
        <v>45973</v>
      </c>
      <c r="B218">
        <f>VLOOKUP(A218, Call!A:P, 16, FALSE)</f>
        <v>60.45</v>
      </c>
      <c r="C218">
        <f>VLOOKUP(A218, Put!A:P, 16, FALSE)</f>
        <v>55.75</v>
      </c>
      <c r="D218">
        <f>VLOOKUP(A218, Call!A:W, 23, FALSE)</f>
        <v>139.05000000000001</v>
      </c>
      <c r="E218">
        <f>VLOOKUP(A218, Put!A:W, 23, FALSE)</f>
        <v>116.15</v>
      </c>
      <c r="F218">
        <f t="shared" si="18"/>
        <v>116.2</v>
      </c>
      <c r="G218">
        <f t="shared" si="19"/>
        <v>255.20000000000002</v>
      </c>
      <c r="H218">
        <f>VLOOKUP(A218, Call!A:I, 9, FALSE)</f>
        <v>0.25</v>
      </c>
      <c r="I218">
        <f>VLOOKUP(A218, Call!A:J, 10, FALSE)</f>
        <v>0.75</v>
      </c>
      <c r="J218">
        <f t="shared" si="20"/>
        <v>220.45000000000002</v>
      </c>
      <c r="K218">
        <f t="shared" si="21"/>
        <v>3.1714285714286063</v>
      </c>
      <c r="L218">
        <f t="shared" si="22"/>
        <v>1.4596140570038624E-2</v>
      </c>
      <c r="M218">
        <f t="shared" si="23"/>
        <v>34.19285714285715</v>
      </c>
    </row>
    <row r="219" spans="1:13" x14ac:dyDescent="0.25">
      <c r="A219" s="1">
        <v>45974</v>
      </c>
      <c r="B219">
        <f>VLOOKUP(A219, Call!A:P, 16, FALSE)</f>
        <v>73.099999999999994</v>
      </c>
      <c r="C219">
        <f>VLOOKUP(A219, Put!A:P, 16, FALSE)</f>
        <v>63.599999999999994</v>
      </c>
      <c r="D219">
        <f>VLOOKUP(A219, Call!A:W, 23, FALSE)</f>
        <v>153.89999999999998</v>
      </c>
      <c r="E219">
        <f>VLOOKUP(A219, Put!A:W, 23, FALSE)</f>
        <v>126.7</v>
      </c>
      <c r="F219">
        <f t="shared" si="18"/>
        <v>136.69999999999999</v>
      </c>
      <c r="G219">
        <f t="shared" si="19"/>
        <v>280.59999999999997</v>
      </c>
      <c r="H219">
        <f>VLOOKUP(A219, Call!A:I, 9, FALSE)</f>
        <v>0.21428571428571427</v>
      </c>
      <c r="I219">
        <f>VLOOKUP(A219, Call!A:J, 10, FALSE)</f>
        <v>0.7857142857142857</v>
      </c>
      <c r="J219">
        <f t="shared" si="20"/>
        <v>249.76428571428568</v>
      </c>
      <c r="K219">
        <f t="shared" si="21"/>
        <v>29.31428571428566</v>
      </c>
      <c r="L219">
        <f t="shared" si="22"/>
        <v>0.13297475942066528</v>
      </c>
      <c r="M219">
        <f t="shared" si="23"/>
        <v>63.50714285714281</v>
      </c>
    </row>
    <row r="220" spans="1:13" x14ac:dyDescent="0.25">
      <c r="A220" s="1">
        <v>45975</v>
      </c>
      <c r="B220">
        <f>VLOOKUP(A220, Call!A:P, 16, FALSE)</f>
        <v>68.7</v>
      </c>
      <c r="C220">
        <f>VLOOKUP(A220, Put!A:P, 16, FALSE)</f>
        <v>56.3</v>
      </c>
      <c r="D220">
        <f>VLOOKUP(A220, Call!A:W, 23, FALSE)</f>
        <v>151.75</v>
      </c>
      <c r="E220">
        <f>VLOOKUP(A220, Put!A:W, 23, FALSE)</f>
        <v>121.75</v>
      </c>
      <c r="F220">
        <f t="shared" si="18"/>
        <v>125</v>
      </c>
      <c r="G220">
        <f t="shared" si="19"/>
        <v>273.5</v>
      </c>
      <c r="H220">
        <f>VLOOKUP(A220, Call!A:I, 9, FALSE)</f>
        <v>0.17857142857142858</v>
      </c>
      <c r="I220">
        <f>VLOOKUP(A220, Call!A:J, 10, FALSE)</f>
        <v>0.8214285714285714</v>
      </c>
      <c r="J220">
        <f t="shared" si="20"/>
        <v>246.98214285714286</v>
      </c>
      <c r="K220">
        <f t="shared" si="21"/>
        <v>-2.7821428571428157</v>
      </c>
      <c r="L220">
        <f t="shared" si="22"/>
        <v>-1.1139073984041932E-2</v>
      </c>
      <c r="M220">
        <f t="shared" si="23"/>
        <v>60.724999999999994</v>
      </c>
    </row>
    <row r="221" spans="1:13" x14ac:dyDescent="0.25">
      <c r="A221" s="1">
        <v>45978</v>
      </c>
      <c r="B221">
        <f>VLOOKUP(A221, Call!A:P, 16, FALSE)</f>
        <v>68.05</v>
      </c>
      <c r="C221">
        <f>VLOOKUP(A221, Put!A:P, 16, FALSE)</f>
        <v>57.95</v>
      </c>
      <c r="D221">
        <f>VLOOKUP(A221, Call!A:W, 23, FALSE)</f>
        <v>158.05000000000001</v>
      </c>
      <c r="E221">
        <f>VLOOKUP(A221, Put!A:W, 23, FALSE)</f>
        <v>130.69999999999999</v>
      </c>
      <c r="F221">
        <f t="shared" si="18"/>
        <v>126</v>
      </c>
      <c r="G221">
        <f t="shared" si="19"/>
        <v>288.75</v>
      </c>
      <c r="H221">
        <f>VLOOKUP(A221, Call!A:I, 9, FALSE)</f>
        <v>7.1428571428571425E-2</v>
      </c>
      <c r="I221">
        <f>VLOOKUP(A221, Call!A:J, 10, FALSE)</f>
        <v>0.9285714285714286</v>
      </c>
      <c r="J221">
        <f t="shared" si="20"/>
        <v>277.125</v>
      </c>
      <c r="K221">
        <f t="shared" si="21"/>
        <v>30.142857142857139</v>
      </c>
      <c r="L221">
        <f t="shared" si="22"/>
        <v>0.12204468223555778</v>
      </c>
      <c r="M221">
        <f t="shared" si="23"/>
        <v>90.867857142857133</v>
      </c>
    </row>
    <row r="222" spans="1:13" x14ac:dyDescent="0.25">
      <c r="A222" s="1">
        <v>45979</v>
      </c>
      <c r="B222">
        <f>VLOOKUP(A222, Call!A:P, 16, FALSE)</f>
        <v>58.45</v>
      </c>
      <c r="C222">
        <f>VLOOKUP(A222, Put!A:P, 16, FALSE)</f>
        <v>62.75</v>
      </c>
      <c r="D222">
        <f>VLOOKUP(A222, Call!A:W, 23, FALSE)</f>
        <v>158.44999999999999</v>
      </c>
      <c r="E222">
        <f>VLOOKUP(A222, Put!A:W, 23, FALSE)</f>
        <v>145.94999999999999</v>
      </c>
      <c r="F222">
        <f t="shared" si="18"/>
        <v>121.2</v>
      </c>
      <c r="G222">
        <f t="shared" si="19"/>
        <v>304.39999999999998</v>
      </c>
      <c r="H222">
        <f>VLOOKUP(A222, Call!A:I, 9, FALSE)</f>
        <v>3.5714285714285712E-2</v>
      </c>
      <c r="I222">
        <f>VLOOKUP(A222, Call!A:J, 10, FALSE)</f>
        <v>0.9642857142857143</v>
      </c>
      <c r="J222">
        <f t="shared" si="20"/>
        <v>297.85714285714283</v>
      </c>
      <c r="K222">
        <f t="shared" si="21"/>
        <v>20.732142857142833</v>
      </c>
      <c r="L222">
        <f t="shared" si="22"/>
        <v>7.4811521360912348E-2</v>
      </c>
      <c r="M222">
        <f t="shared" si="23"/>
        <v>111.59999999999997</v>
      </c>
    </row>
    <row r="223" spans="1:13" x14ac:dyDescent="0.25">
      <c r="A223" s="1">
        <v>45980</v>
      </c>
      <c r="B223">
        <f>VLOOKUP(A223, Call!A:P, 16, FALSE)</f>
        <v>68.300000000000011</v>
      </c>
      <c r="C223">
        <f>VLOOKUP(A223, Put!A:P, 16, FALSE)</f>
        <v>30.05</v>
      </c>
      <c r="D223">
        <f>VLOOKUP(A223, Call!A:W, 23, FALSE)</f>
        <v>172.25</v>
      </c>
      <c r="E223">
        <f>VLOOKUP(A223, Put!A:W, 23, FALSE)</f>
        <v>116.65</v>
      </c>
      <c r="F223">
        <f t="shared" si="18"/>
        <v>98.350000000000009</v>
      </c>
      <c r="G223">
        <f t="shared" si="19"/>
        <v>288.89999999999998</v>
      </c>
      <c r="H223">
        <f>VLOOKUP(A223, Call!A:I, 9, FALSE)</f>
        <v>0</v>
      </c>
      <c r="I223">
        <f>VLOOKUP(A223, Call!A:J, 10, FALSE)</f>
        <v>1</v>
      </c>
      <c r="J223">
        <f t="shared" si="20"/>
        <v>288.89999999999998</v>
      </c>
      <c r="K223">
        <f t="shared" si="21"/>
        <v>-8.9571428571428555</v>
      </c>
      <c r="L223">
        <f t="shared" si="22"/>
        <v>-3.0071942446043162E-2</v>
      </c>
      <c r="M223">
        <f t="shared" si="23"/>
        <v>102.64285714285711</v>
      </c>
    </row>
    <row r="224" spans="1:13" x14ac:dyDescent="0.25">
      <c r="A224" s="1">
        <v>45981</v>
      </c>
      <c r="B224">
        <f>VLOOKUP(A224, Call!A:P, 16, FALSE)</f>
        <v>27.35</v>
      </c>
      <c r="C224">
        <f>VLOOKUP(A224, Put!A:P, 16, FALSE)</f>
        <v>32.1</v>
      </c>
      <c r="D224">
        <f>VLOOKUP(A224, Call!A:W, 23, FALSE)</f>
        <v>163.75</v>
      </c>
      <c r="E224">
        <f>VLOOKUP(A224, Put!A:W, 23, FALSE)</f>
        <v>151.64999999999998</v>
      </c>
      <c r="F224">
        <f t="shared" si="18"/>
        <v>59.45</v>
      </c>
      <c r="G224">
        <f t="shared" si="19"/>
        <v>315.39999999999998</v>
      </c>
      <c r="H224">
        <f>VLOOKUP(A224, Call!A:I, 9, FALSE)</f>
        <v>0</v>
      </c>
      <c r="I224">
        <f>VLOOKUP(A224, Call!A:J, 10, FALSE)</f>
        <v>1</v>
      </c>
      <c r="J224">
        <f t="shared" si="20"/>
        <v>315.39999999999998</v>
      </c>
      <c r="K224">
        <f t="shared" si="21"/>
        <v>26.5</v>
      </c>
      <c r="L224">
        <f t="shared" si="22"/>
        <v>9.1727241259951547E-2</v>
      </c>
      <c r="M224">
        <f t="shared" si="23"/>
        <v>129.14285714285711</v>
      </c>
    </row>
    <row r="225" spans="1:13" x14ac:dyDescent="0.25">
      <c r="A225" s="1">
        <v>45982</v>
      </c>
      <c r="B225">
        <f>VLOOKUP(A225, Call!A:P, 16, FALSE)</f>
        <v>153.30000000000001</v>
      </c>
      <c r="C225">
        <f>VLOOKUP(A225, Put!A:P, 16, FALSE)</f>
        <v>127.15</v>
      </c>
      <c r="D225">
        <f>VLOOKUP(A225, Call!A:W, 23, FALSE)</f>
        <v>214.7</v>
      </c>
      <c r="E225">
        <f>VLOOKUP(A225, Put!A:W, 23, FALSE)</f>
        <v>166</v>
      </c>
      <c r="F225">
        <f t="shared" si="18"/>
        <v>280.45000000000005</v>
      </c>
      <c r="G225">
        <f t="shared" si="19"/>
        <v>380.7</v>
      </c>
      <c r="H225">
        <f>VLOOKUP(A225, Call!A:I, 9, FALSE)</f>
        <v>0.9285714285714286</v>
      </c>
      <c r="I225">
        <f>VLOOKUP(A225, Call!A:J, 10, FALSE)</f>
        <v>7.1428571428571425E-2</v>
      </c>
      <c r="J225">
        <f t="shared" si="20"/>
        <v>287.61071428571432</v>
      </c>
      <c r="K225">
        <f t="shared" si="21"/>
        <v>-27.789285714285654</v>
      </c>
      <c r="L225">
        <f t="shared" si="22"/>
        <v>-8.8108071383277281E-2</v>
      </c>
      <c r="M225">
        <f t="shared" si="23"/>
        <v>101.35357142857146</v>
      </c>
    </row>
    <row r="226" spans="1:13" x14ac:dyDescent="0.25">
      <c r="A226" s="1">
        <v>45985</v>
      </c>
      <c r="B226">
        <f>VLOOKUP(A226, Call!A:P, 16, FALSE)</f>
        <v>127.4</v>
      </c>
      <c r="C226">
        <f>VLOOKUP(A226, Put!A:P, 16, FALSE)</f>
        <v>107.35</v>
      </c>
      <c r="D226">
        <f>VLOOKUP(A226, Call!A:W, 23, FALSE)</f>
        <v>189</v>
      </c>
      <c r="E226">
        <f>VLOOKUP(A226, Put!A:W, 23, FALSE)</f>
        <v>146.39999999999998</v>
      </c>
      <c r="F226">
        <f t="shared" si="18"/>
        <v>234.75</v>
      </c>
      <c r="G226">
        <f t="shared" si="19"/>
        <v>335.4</v>
      </c>
      <c r="H226">
        <f>VLOOKUP(A226, Call!A:I, 9, FALSE)</f>
        <v>0.8214285714285714</v>
      </c>
      <c r="I226">
        <f>VLOOKUP(A226, Call!A:J, 10, FALSE)</f>
        <v>0.17857142857142858</v>
      </c>
      <c r="J226">
        <f t="shared" si="20"/>
        <v>252.72321428571428</v>
      </c>
      <c r="K226">
        <f t="shared" si="21"/>
        <v>-34.887500000000045</v>
      </c>
      <c r="L226">
        <f t="shared" si="22"/>
        <v>-0.12130111385677579</v>
      </c>
      <c r="M226">
        <f t="shared" si="23"/>
        <v>66.466071428571411</v>
      </c>
    </row>
    <row r="227" spans="1:13" x14ac:dyDescent="0.25">
      <c r="A227" s="1">
        <v>45986</v>
      </c>
      <c r="B227">
        <f>VLOOKUP(A227, Call!A:P, 16, FALSE)</f>
        <v>112.2</v>
      </c>
      <c r="C227">
        <f>VLOOKUP(A227, Put!A:P, 16, FALSE)</f>
        <v>96.6</v>
      </c>
      <c r="D227">
        <f>VLOOKUP(A227, Call!A:W, 23, FALSE)</f>
        <v>174.45</v>
      </c>
      <c r="E227">
        <f>VLOOKUP(A227, Put!A:W, 23, FALSE)</f>
        <v>136.30000000000001</v>
      </c>
      <c r="F227">
        <f t="shared" si="18"/>
        <v>208.8</v>
      </c>
      <c r="G227">
        <f t="shared" si="19"/>
        <v>310.75</v>
      </c>
      <c r="H227">
        <f>VLOOKUP(A227, Call!A:I, 9, FALSE)</f>
        <v>0.7857142857142857</v>
      </c>
      <c r="I227">
        <f>VLOOKUP(A227, Call!A:J, 10, FALSE)</f>
        <v>0.21428571428571427</v>
      </c>
      <c r="J227">
        <f t="shared" si="20"/>
        <v>230.64642857142854</v>
      </c>
      <c r="K227">
        <f t="shared" si="21"/>
        <v>-22.076785714285734</v>
      </c>
      <c r="L227">
        <f t="shared" si="22"/>
        <v>-8.7355590885002735E-2</v>
      </c>
      <c r="M227">
        <f t="shared" si="23"/>
        <v>44.389285714285677</v>
      </c>
    </row>
    <row r="228" spans="1:13" x14ac:dyDescent="0.25">
      <c r="A228" s="1">
        <v>45987</v>
      </c>
      <c r="B228">
        <f>VLOOKUP(A228, Call!A:P, 16, FALSE)</f>
        <v>103.65</v>
      </c>
      <c r="C228">
        <f>VLOOKUP(A228, Put!A:P, 16, FALSE)</f>
        <v>88.65</v>
      </c>
      <c r="D228">
        <f>VLOOKUP(A228, Call!A:W, 23, FALSE)</f>
        <v>167.15</v>
      </c>
      <c r="E228">
        <f>VLOOKUP(A228, Put!A:W, 23, FALSE)</f>
        <v>129.55000000000001</v>
      </c>
      <c r="F228">
        <f t="shared" si="18"/>
        <v>192.3</v>
      </c>
      <c r="G228">
        <f t="shared" si="19"/>
        <v>296.70000000000005</v>
      </c>
      <c r="H228">
        <f>VLOOKUP(A228, Call!A:I, 9, FALSE)</f>
        <v>0.75</v>
      </c>
      <c r="I228">
        <f>VLOOKUP(A228, Call!A:J, 10, FALSE)</f>
        <v>0.25</v>
      </c>
      <c r="J228">
        <f t="shared" si="20"/>
        <v>218.40000000000003</v>
      </c>
      <c r="K228">
        <f t="shared" si="21"/>
        <v>-12.24642857142851</v>
      </c>
      <c r="L228">
        <f t="shared" si="22"/>
        <v>-5.3096111859524987E-2</v>
      </c>
      <c r="M228">
        <f t="shared" si="23"/>
        <v>32.142857142857167</v>
      </c>
    </row>
    <row r="229" spans="1:13" x14ac:dyDescent="0.25">
      <c r="A229" s="1">
        <v>45989</v>
      </c>
      <c r="B229">
        <f>VLOOKUP(A229, Call!A:P, 16, FALSE)</f>
        <v>92.75</v>
      </c>
      <c r="C229">
        <f>VLOOKUP(A229, Put!A:P, 16, FALSE)</f>
        <v>85.3</v>
      </c>
      <c r="D229">
        <f>VLOOKUP(A229, Call!A:W, 23, FALSE)</f>
        <v>156</v>
      </c>
      <c r="E229">
        <f>VLOOKUP(A229, Put!A:W, 23, FALSE)</f>
        <v>125.85</v>
      </c>
      <c r="F229">
        <f t="shared" si="18"/>
        <v>178.05</v>
      </c>
      <c r="G229">
        <f t="shared" si="19"/>
        <v>281.85000000000002</v>
      </c>
      <c r="H229">
        <f>VLOOKUP(A229, Call!A:I, 9, FALSE)</f>
        <v>0.6785714285714286</v>
      </c>
      <c r="I229">
        <f>VLOOKUP(A229, Call!A:J, 10, FALSE)</f>
        <v>0.32142857142857145</v>
      </c>
      <c r="J229">
        <f t="shared" si="20"/>
        <v>211.41428571428574</v>
      </c>
      <c r="K229">
        <f t="shared" si="21"/>
        <v>-6.9857142857142946</v>
      </c>
      <c r="L229">
        <f t="shared" si="22"/>
        <v>-3.1985871271585593E-2</v>
      </c>
      <c r="M229">
        <f t="shared" si="23"/>
        <v>25.157142857142873</v>
      </c>
    </row>
    <row r="230" spans="1:13" x14ac:dyDescent="0.25">
      <c r="A230" s="1">
        <v>45992</v>
      </c>
      <c r="B230">
        <f>VLOOKUP(A230, Call!A:P, 16, FALSE)</f>
        <v>93.5</v>
      </c>
      <c r="C230">
        <f>VLOOKUP(A230, Put!A:P, 16, FALSE)</f>
        <v>81.650000000000006</v>
      </c>
      <c r="D230">
        <f>VLOOKUP(A230, Call!A:W, 23, FALSE)</f>
        <v>157.94999999999999</v>
      </c>
      <c r="E230">
        <f>VLOOKUP(A230, Put!A:W, 23, FALSE)</f>
        <v>123.75</v>
      </c>
      <c r="F230">
        <f t="shared" si="18"/>
        <v>175.15</v>
      </c>
      <c r="G230">
        <f t="shared" si="19"/>
        <v>281.7</v>
      </c>
      <c r="H230">
        <f>VLOOKUP(A230, Call!A:I, 9, FALSE)</f>
        <v>0.5714285714285714</v>
      </c>
      <c r="I230">
        <f>VLOOKUP(A230, Call!A:J, 10, FALSE)</f>
        <v>0.42857142857142855</v>
      </c>
      <c r="J230">
        <f t="shared" si="20"/>
        <v>220.81428571428569</v>
      </c>
      <c r="K230">
        <f t="shared" si="21"/>
        <v>9.3999999999999488</v>
      </c>
      <c r="L230">
        <f t="shared" si="22"/>
        <v>4.446246367997813E-2</v>
      </c>
      <c r="M230">
        <f t="shared" si="23"/>
        <v>34.557142857142821</v>
      </c>
    </row>
    <row r="231" spans="1:13" x14ac:dyDescent="0.25">
      <c r="A231" s="1">
        <v>45993</v>
      </c>
      <c r="B231">
        <f>VLOOKUP(A231, Call!A:P, 16, FALSE)</f>
        <v>88.25</v>
      </c>
      <c r="C231">
        <f>VLOOKUP(A231, Put!A:P, 16, FALSE)</f>
        <v>75.650000000000006</v>
      </c>
      <c r="D231">
        <f>VLOOKUP(A231, Call!A:W, 23, FALSE)</f>
        <v>154.35</v>
      </c>
      <c r="E231">
        <f>VLOOKUP(A231, Put!A:W, 23, FALSE)</f>
        <v>119.45</v>
      </c>
      <c r="F231">
        <f t="shared" si="18"/>
        <v>163.9</v>
      </c>
      <c r="G231">
        <f t="shared" si="19"/>
        <v>273.8</v>
      </c>
      <c r="H231">
        <f>VLOOKUP(A231, Call!A:I, 9, FALSE)</f>
        <v>0.5357142857142857</v>
      </c>
      <c r="I231">
        <f>VLOOKUP(A231, Call!A:J, 10, FALSE)</f>
        <v>0.4642857142857143</v>
      </c>
      <c r="J231">
        <f t="shared" si="20"/>
        <v>214.92500000000001</v>
      </c>
      <c r="K231">
        <f t="shared" si="21"/>
        <v>-5.8892857142856769</v>
      </c>
      <c r="L231">
        <f t="shared" si="22"/>
        <v>-2.6670764055120491E-2</v>
      </c>
      <c r="M231">
        <f t="shared" si="23"/>
        <v>28.667857142857144</v>
      </c>
    </row>
    <row r="232" spans="1:13" x14ac:dyDescent="0.25">
      <c r="A232" s="1">
        <v>45994</v>
      </c>
      <c r="B232">
        <f>VLOOKUP(A232, Call!A:P, 16, FALSE)</f>
        <v>84.15</v>
      </c>
      <c r="C232">
        <f>VLOOKUP(A232, Put!A:P, 16, FALSE)</f>
        <v>69.449999999999989</v>
      </c>
      <c r="D232">
        <f>VLOOKUP(A232, Call!A:W, 23, FALSE)</f>
        <v>151.5</v>
      </c>
      <c r="E232">
        <f>VLOOKUP(A232, Put!A:W, 23, FALSE)</f>
        <v>114.4</v>
      </c>
      <c r="F232">
        <f t="shared" si="18"/>
        <v>153.6</v>
      </c>
      <c r="G232">
        <f t="shared" si="19"/>
        <v>265.89999999999998</v>
      </c>
      <c r="H232">
        <f>VLOOKUP(A232, Call!A:I, 9, FALSE)</f>
        <v>0.5</v>
      </c>
      <c r="I232">
        <f>VLOOKUP(A232, Call!A:J, 10, FALSE)</f>
        <v>0.5</v>
      </c>
      <c r="J232">
        <f t="shared" si="20"/>
        <v>209.75</v>
      </c>
      <c r="K232">
        <f t="shared" si="21"/>
        <v>-5.1750000000000114</v>
      </c>
      <c r="L232">
        <f t="shared" si="22"/>
        <v>-2.4078166802372972E-2</v>
      </c>
      <c r="M232">
        <f t="shared" si="23"/>
        <v>23.492857142857133</v>
      </c>
    </row>
    <row r="233" spans="1:13" x14ac:dyDescent="0.25">
      <c r="A233" s="1">
        <v>45995</v>
      </c>
      <c r="B233">
        <f>VLOOKUP(A233, Call!A:P, 16, FALSE)</f>
        <v>77.2</v>
      </c>
      <c r="C233">
        <f>VLOOKUP(A233, Put!A:P, 16, FALSE)</f>
        <v>66.45</v>
      </c>
      <c r="D233">
        <f>VLOOKUP(A233, Call!A:W, 23, FALSE)</f>
        <v>144.44999999999999</v>
      </c>
      <c r="E233">
        <f>VLOOKUP(A233, Put!A:W, 23, FALSE)</f>
        <v>111.55000000000001</v>
      </c>
      <c r="F233">
        <f t="shared" si="18"/>
        <v>143.65</v>
      </c>
      <c r="G233">
        <f t="shared" si="19"/>
        <v>256</v>
      </c>
      <c r="H233">
        <f>VLOOKUP(A233, Call!A:I, 9, FALSE)</f>
        <v>0.4642857142857143</v>
      </c>
      <c r="I233">
        <f>VLOOKUP(A233, Call!A:J, 10, FALSE)</f>
        <v>0.5357142857142857</v>
      </c>
      <c r="J233">
        <f t="shared" si="20"/>
        <v>203.83750000000001</v>
      </c>
      <c r="K233">
        <f t="shared" si="21"/>
        <v>-5.9124999999999943</v>
      </c>
      <c r="L233">
        <f t="shared" si="22"/>
        <v>-2.818831942789032E-2</v>
      </c>
      <c r="M233">
        <f t="shared" si="23"/>
        <v>17.580357142857139</v>
      </c>
    </row>
    <row r="234" spans="1:13" x14ac:dyDescent="0.25">
      <c r="A234" s="1">
        <v>45996</v>
      </c>
      <c r="B234">
        <f>VLOOKUP(A234, Call!A:P, 16, FALSE)</f>
        <v>71.75</v>
      </c>
      <c r="C234">
        <f>VLOOKUP(A234, Put!A:P, 16, FALSE)</f>
        <v>62.35</v>
      </c>
      <c r="D234">
        <f>VLOOKUP(A234, Call!A:W, 23, FALSE)</f>
        <v>139.85</v>
      </c>
      <c r="E234">
        <f>VLOOKUP(A234, Put!A:W, 23, FALSE)</f>
        <v>108.05000000000001</v>
      </c>
      <c r="F234">
        <f t="shared" si="18"/>
        <v>134.1</v>
      </c>
      <c r="G234">
        <f t="shared" si="19"/>
        <v>247.9</v>
      </c>
      <c r="H234">
        <f>VLOOKUP(A234, Call!A:I, 9, FALSE)</f>
        <v>0.42857142857142855</v>
      </c>
      <c r="I234">
        <f>VLOOKUP(A234, Call!A:J, 10, FALSE)</f>
        <v>0.5714285714285714</v>
      </c>
      <c r="J234">
        <f t="shared" si="20"/>
        <v>199.12857142857141</v>
      </c>
      <c r="K234">
        <f t="shared" si="21"/>
        <v>-4.7089285714286007</v>
      </c>
      <c r="L234">
        <f t="shared" si="22"/>
        <v>-2.3101385031844487E-2</v>
      </c>
      <c r="M234">
        <f t="shared" si="23"/>
        <v>12.871428571428538</v>
      </c>
    </row>
    <row r="235" spans="1:13" x14ac:dyDescent="0.25">
      <c r="A235" s="1">
        <v>45999</v>
      </c>
      <c r="B235">
        <f>VLOOKUP(A235, Call!A:P, 16, FALSE)</f>
        <v>76.599999999999994</v>
      </c>
      <c r="C235">
        <f>VLOOKUP(A235, Put!A:P, 16, FALSE)</f>
        <v>57.35</v>
      </c>
      <c r="D235">
        <f>VLOOKUP(A235, Call!A:W, 23, FALSE)</f>
        <v>146</v>
      </c>
      <c r="E235">
        <f>VLOOKUP(A235, Put!A:W, 23, FALSE)</f>
        <v>105.1</v>
      </c>
      <c r="F235">
        <f t="shared" si="18"/>
        <v>133.94999999999999</v>
      </c>
      <c r="G235">
        <f t="shared" si="19"/>
        <v>251.1</v>
      </c>
      <c r="H235">
        <f>VLOOKUP(A235, Call!A:I, 9, FALSE)</f>
        <v>0.32142857142857145</v>
      </c>
      <c r="I235">
        <f>VLOOKUP(A235, Call!A:J, 10, FALSE)</f>
        <v>0.6785714285714286</v>
      </c>
      <c r="J235">
        <f t="shared" si="20"/>
        <v>213.44464285714284</v>
      </c>
      <c r="K235">
        <f t="shared" si="21"/>
        <v>14.316071428571433</v>
      </c>
      <c r="L235">
        <f t="shared" si="22"/>
        <v>7.1893607862830944E-2</v>
      </c>
      <c r="M235">
        <f t="shared" si="23"/>
        <v>27.187499999999972</v>
      </c>
    </row>
    <row r="236" spans="1:13" x14ac:dyDescent="0.25">
      <c r="A236" s="1">
        <v>46000</v>
      </c>
      <c r="B236">
        <f>VLOOKUP(A236, Call!A:P, 16, FALSE)</f>
        <v>67.25</v>
      </c>
      <c r="C236">
        <f>VLOOKUP(A236, Put!A:P, 16, FALSE)</f>
        <v>60.900000000000006</v>
      </c>
      <c r="D236">
        <f>VLOOKUP(A236, Call!A:W, 23, FALSE)</f>
        <v>137.94999999999999</v>
      </c>
      <c r="E236">
        <f>VLOOKUP(A236, Put!A:W, 23, FALSE)</f>
        <v>109.8</v>
      </c>
      <c r="F236">
        <f t="shared" si="18"/>
        <v>128.15</v>
      </c>
      <c r="G236">
        <f t="shared" si="19"/>
        <v>247.75</v>
      </c>
      <c r="H236">
        <f>VLOOKUP(A236, Call!A:I, 9, FALSE)</f>
        <v>0.2857142857142857</v>
      </c>
      <c r="I236">
        <f>VLOOKUP(A236, Call!A:J, 10, FALSE)</f>
        <v>0.7142857142857143</v>
      </c>
      <c r="J236">
        <f t="shared" si="20"/>
        <v>213.57857142857142</v>
      </c>
      <c r="K236">
        <f t="shared" si="21"/>
        <v>0.13392857142858361</v>
      </c>
      <c r="L236">
        <f t="shared" si="22"/>
        <v>6.2746279145652376E-4</v>
      </c>
      <c r="M236">
        <f t="shared" si="23"/>
        <v>27.321428571428555</v>
      </c>
    </row>
    <row r="237" spans="1:13" x14ac:dyDescent="0.25">
      <c r="A237" s="1">
        <v>46001</v>
      </c>
      <c r="B237">
        <f>VLOOKUP(A237, Call!A:P, 16, FALSE)</f>
        <v>59.05</v>
      </c>
      <c r="C237">
        <f>VLOOKUP(A237, Put!A:P, 16, FALSE)</f>
        <v>51</v>
      </c>
      <c r="D237">
        <f>VLOOKUP(A237, Call!A:W, 23, FALSE)</f>
        <v>129.55000000000001</v>
      </c>
      <c r="E237">
        <f>VLOOKUP(A237, Put!A:W, 23, FALSE)</f>
        <v>99.9</v>
      </c>
      <c r="F237">
        <f t="shared" si="18"/>
        <v>110.05</v>
      </c>
      <c r="G237">
        <f t="shared" si="19"/>
        <v>229.45000000000002</v>
      </c>
      <c r="H237">
        <f>VLOOKUP(A237, Call!A:I, 9, FALSE)</f>
        <v>0.25</v>
      </c>
      <c r="I237">
        <f>VLOOKUP(A237, Call!A:J, 10, FALSE)</f>
        <v>0.75</v>
      </c>
      <c r="J237">
        <f t="shared" si="20"/>
        <v>199.6</v>
      </c>
      <c r="K237">
        <f t="shared" si="21"/>
        <v>-13.978571428571428</v>
      </c>
      <c r="L237">
        <f t="shared" si="22"/>
        <v>-6.5449316076385405E-2</v>
      </c>
      <c r="M237">
        <f t="shared" si="23"/>
        <v>13.342857142857127</v>
      </c>
    </row>
    <row r="238" spans="1:13" x14ac:dyDescent="0.25">
      <c r="A238" s="1">
        <v>46002</v>
      </c>
      <c r="B238">
        <f>VLOOKUP(A238, Call!A:P, 16, FALSE)</f>
        <v>59.4</v>
      </c>
      <c r="C238">
        <f>VLOOKUP(A238, Put!A:P, 16, FALSE)</f>
        <v>34.549999999999997</v>
      </c>
      <c r="D238">
        <f>VLOOKUP(A238, Call!A:W, 23, FALSE)</f>
        <v>132.6</v>
      </c>
      <c r="E238">
        <f>VLOOKUP(A238, Put!A:W, 23, FALSE)</f>
        <v>85.75</v>
      </c>
      <c r="F238">
        <f t="shared" si="18"/>
        <v>93.949999999999989</v>
      </c>
      <c r="G238">
        <f t="shared" si="19"/>
        <v>218.35</v>
      </c>
      <c r="H238">
        <f>VLOOKUP(A238, Call!A:I, 9, FALSE)</f>
        <v>0.21428571428571427</v>
      </c>
      <c r="I238">
        <f>VLOOKUP(A238, Call!A:J, 10, FALSE)</f>
        <v>0.7857142857142857</v>
      </c>
      <c r="J238">
        <f t="shared" si="20"/>
        <v>191.69285714285712</v>
      </c>
      <c r="K238">
        <f t="shared" si="21"/>
        <v>-7.9071428571428726</v>
      </c>
      <c r="L238">
        <f t="shared" si="22"/>
        <v>-3.9614944174062486E-2</v>
      </c>
      <c r="M238">
        <f t="shared" si="23"/>
        <v>5.4357142857142549</v>
      </c>
    </row>
    <row r="239" spans="1:13" x14ac:dyDescent="0.25">
      <c r="A239" s="1">
        <v>46003</v>
      </c>
      <c r="B239">
        <f>VLOOKUP(A239, Call!A:P, 16, FALSE)</f>
        <v>51</v>
      </c>
      <c r="C239">
        <f>VLOOKUP(A239, Put!A:P, 16, FALSE)</f>
        <v>42.55</v>
      </c>
      <c r="D239">
        <f>VLOOKUP(A239, Call!A:W, 23, FALSE)</f>
        <v>124.7</v>
      </c>
      <c r="E239">
        <f>VLOOKUP(A239, Put!A:W, 23, FALSE)</f>
        <v>93.55</v>
      </c>
      <c r="F239">
        <f t="shared" si="18"/>
        <v>93.55</v>
      </c>
      <c r="G239">
        <f t="shared" si="19"/>
        <v>218.25</v>
      </c>
      <c r="H239">
        <f>VLOOKUP(A239, Call!A:I, 9, FALSE)</f>
        <v>0.17857142857142858</v>
      </c>
      <c r="I239">
        <f>VLOOKUP(A239, Call!A:J, 10, FALSE)</f>
        <v>0.8214285714285714</v>
      </c>
      <c r="J239">
        <f t="shared" si="20"/>
        <v>195.98214285714283</v>
      </c>
      <c r="K239">
        <f t="shared" si="21"/>
        <v>4.289285714285711</v>
      </c>
      <c r="L239">
        <f t="shared" si="22"/>
        <v>2.2375824421507606E-2</v>
      </c>
      <c r="M239">
        <f t="shared" si="23"/>
        <v>9.7249999999999659</v>
      </c>
    </row>
    <row r="240" spans="1:13" x14ac:dyDescent="0.25">
      <c r="A240" s="1">
        <v>46006</v>
      </c>
      <c r="B240">
        <f>VLOOKUP(A240, Call!A:P, 16, FALSE)</f>
        <v>44.650000000000006</v>
      </c>
      <c r="C240">
        <f>VLOOKUP(A240, Put!A:P, 16, FALSE)</f>
        <v>35.75</v>
      </c>
      <c r="D240">
        <f>VLOOKUP(A240, Call!A:W, 23, FALSE)</f>
        <v>122.05</v>
      </c>
      <c r="E240">
        <f>VLOOKUP(A240, Put!A:W, 23, FALSE)</f>
        <v>90.7</v>
      </c>
      <c r="F240">
        <f t="shared" si="18"/>
        <v>80.400000000000006</v>
      </c>
      <c r="G240">
        <f t="shared" si="19"/>
        <v>212.75</v>
      </c>
      <c r="H240">
        <f>VLOOKUP(A240, Call!A:I, 9, FALSE)</f>
        <v>7.1428571428571425E-2</v>
      </c>
      <c r="I240">
        <f>VLOOKUP(A240, Call!A:J, 10, FALSE)</f>
        <v>0.9285714285714286</v>
      </c>
      <c r="J240">
        <f t="shared" si="20"/>
        <v>203.29642857142858</v>
      </c>
      <c r="K240">
        <f t="shared" si="21"/>
        <v>7.3142857142857451</v>
      </c>
      <c r="L240">
        <f t="shared" si="22"/>
        <v>3.7321184510250731E-2</v>
      </c>
      <c r="M240">
        <f t="shared" si="23"/>
        <v>17.039285714285711</v>
      </c>
    </row>
    <row r="241" spans="1:13" x14ac:dyDescent="0.25">
      <c r="A241" s="1">
        <v>46007</v>
      </c>
      <c r="B241">
        <f>VLOOKUP(A241, Call!A:P, 16, FALSE)</f>
        <v>29.75</v>
      </c>
      <c r="C241">
        <f>VLOOKUP(A241, Put!A:P, 16, FALSE)</f>
        <v>36.549999999999997</v>
      </c>
      <c r="D241">
        <f>VLOOKUP(A241, Call!A:W, 23, FALSE)</f>
        <v>110.19999999999999</v>
      </c>
      <c r="E241">
        <f>VLOOKUP(A241, Put!A:W, 23, FALSE)</f>
        <v>96.199999999999989</v>
      </c>
      <c r="F241">
        <f t="shared" si="18"/>
        <v>66.3</v>
      </c>
      <c r="G241">
        <f t="shared" si="19"/>
        <v>206.39999999999998</v>
      </c>
      <c r="H241">
        <f>VLOOKUP(A241, Call!A:I, 9, FALSE)</f>
        <v>3.5714285714285712E-2</v>
      </c>
      <c r="I241">
        <f>VLOOKUP(A241, Call!A:J, 10, FALSE)</f>
        <v>0.9642857142857143</v>
      </c>
      <c r="J241">
        <f t="shared" si="20"/>
        <v>201.39642857142854</v>
      </c>
      <c r="K241">
        <f t="shared" si="21"/>
        <v>-1.9000000000000341</v>
      </c>
      <c r="L241">
        <f t="shared" si="22"/>
        <v>-9.345958575619864E-3</v>
      </c>
      <c r="M241">
        <f t="shared" si="23"/>
        <v>15.139285714285677</v>
      </c>
    </row>
    <row r="242" spans="1:13" x14ac:dyDescent="0.25">
      <c r="A242" s="1">
        <v>46008</v>
      </c>
      <c r="B242">
        <f>VLOOKUP(A242, Call!A:P, 16, FALSE)</f>
        <v>40.85</v>
      </c>
      <c r="C242">
        <f>VLOOKUP(A242, Put!A:P, 16, FALSE)</f>
        <v>26.85</v>
      </c>
      <c r="D242">
        <f>VLOOKUP(A242, Call!A:W, 23, FALSE)</f>
        <v>129.05000000000001</v>
      </c>
      <c r="E242">
        <f>VLOOKUP(A242, Put!A:W, 23, FALSE)</f>
        <v>96.35</v>
      </c>
      <c r="F242">
        <f t="shared" si="18"/>
        <v>67.7</v>
      </c>
      <c r="G242">
        <f t="shared" si="19"/>
        <v>225.4</v>
      </c>
      <c r="H242">
        <f>VLOOKUP(A242, Call!A:I, 9, FALSE)</f>
        <v>0</v>
      </c>
      <c r="I242">
        <f>VLOOKUP(A242, Call!A:J, 10, FALSE)</f>
        <v>1</v>
      </c>
      <c r="J242">
        <f t="shared" si="20"/>
        <v>225.4</v>
      </c>
      <c r="K242">
        <f t="shared" si="21"/>
        <v>24.003571428571462</v>
      </c>
      <c r="L242">
        <f t="shared" si="22"/>
        <v>0.11918568565905925</v>
      </c>
      <c r="M242">
        <f t="shared" si="23"/>
        <v>39.142857142857139</v>
      </c>
    </row>
    <row r="243" spans="1:13" x14ac:dyDescent="0.25">
      <c r="A243" s="1">
        <v>46009</v>
      </c>
      <c r="B243">
        <f>VLOOKUP(A243, Call!A:P, 16, FALSE)</f>
        <v>13.35</v>
      </c>
      <c r="C243">
        <f>VLOOKUP(A243, Put!A:P, 16, FALSE)</f>
        <v>17.75</v>
      </c>
      <c r="D243">
        <f>VLOOKUP(A243, Call!A:W, 23, FALSE)</f>
        <v>108.55000000000001</v>
      </c>
      <c r="E243">
        <f>VLOOKUP(A243, Put!A:W, 23, FALSE)</f>
        <v>94.75</v>
      </c>
      <c r="F243">
        <f t="shared" si="18"/>
        <v>31.1</v>
      </c>
      <c r="G243">
        <f t="shared" si="19"/>
        <v>203.3</v>
      </c>
      <c r="H243">
        <f>VLOOKUP(A243, Call!A:I, 9, FALSE)</f>
        <v>0</v>
      </c>
      <c r="I243">
        <f>VLOOKUP(A243, Call!A:J, 10, FALSE)</f>
        <v>1</v>
      </c>
      <c r="J243">
        <f t="shared" si="20"/>
        <v>203.3</v>
      </c>
      <c r="K243">
        <f t="shared" si="21"/>
        <v>-22.099999999999994</v>
      </c>
      <c r="L243">
        <f t="shared" si="22"/>
        <v>-9.8047914818101128E-2</v>
      </c>
      <c r="M243">
        <f t="shared" si="23"/>
        <v>17.042857142857144</v>
      </c>
    </row>
    <row r="244" spans="1:13" x14ac:dyDescent="0.25">
      <c r="A244" s="1">
        <v>46010</v>
      </c>
      <c r="B244">
        <f>VLOOKUP(A244, Call!A:P, 16, FALSE)</f>
        <v>99.800000000000011</v>
      </c>
      <c r="C244">
        <f>VLOOKUP(A244, Put!A:P, 16, FALSE)</f>
        <v>76.400000000000006</v>
      </c>
      <c r="D244">
        <f>VLOOKUP(A244, Call!A:W, 23, FALSE)</f>
        <v>169.7</v>
      </c>
      <c r="E244">
        <f>VLOOKUP(A244, Put!A:W, 23, FALSE)</f>
        <v>126.95</v>
      </c>
      <c r="F244">
        <f t="shared" si="18"/>
        <v>176.20000000000002</v>
      </c>
      <c r="G244">
        <f t="shared" si="19"/>
        <v>296.64999999999998</v>
      </c>
      <c r="H244">
        <f>VLOOKUP(A244, Call!A:I, 9, FALSE)</f>
        <v>0.94285714285714284</v>
      </c>
      <c r="I244">
        <f>VLOOKUP(A244, Call!A:J, 10, FALSE)</f>
        <v>5.7142857142857141E-2</v>
      </c>
      <c r="J244">
        <f t="shared" si="20"/>
        <v>183.08285714285716</v>
      </c>
      <c r="K244">
        <f t="shared" si="21"/>
        <v>-20.217142857142846</v>
      </c>
      <c r="L244">
        <f t="shared" si="22"/>
        <v>-9.9444873866910213E-2</v>
      </c>
      <c r="M244">
        <f t="shared" si="23"/>
        <v>-3.1742857142857019</v>
      </c>
    </row>
    <row r="245" spans="1:13" x14ac:dyDescent="0.25">
      <c r="A245" s="1">
        <v>46013</v>
      </c>
      <c r="B245">
        <f>VLOOKUP(A245, Call!A:P, 16, FALSE)</f>
        <v>85.800000000000011</v>
      </c>
      <c r="C245">
        <f>VLOOKUP(A245, Put!A:P, 16, FALSE)</f>
        <v>70.550000000000011</v>
      </c>
      <c r="D245">
        <f>VLOOKUP(A245, Call!A:W, 23, FALSE)</f>
        <v>157.30000000000001</v>
      </c>
      <c r="E245">
        <f>VLOOKUP(A245, Put!A:W, 23, FALSE)</f>
        <v>122.2</v>
      </c>
      <c r="F245">
        <f t="shared" si="18"/>
        <v>156.35000000000002</v>
      </c>
      <c r="G245">
        <f t="shared" si="19"/>
        <v>279.5</v>
      </c>
      <c r="H245">
        <f>VLOOKUP(A245, Call!A:I, 9, FALSE)</f>
        <v>0.8571428571428571</v>
      </c>
      <c r="I245">
        <f>VLOOKUP(A245, Call!A:J, 10, FALSE)</f>
        <v>0.14285714285714285</v>
      </c>
      <c r="J245">
        <f t="shared" si="20"/>
        <v>173.94285714285715</v>
      </c>
      <c r="K245">
        <f t="shared" si="21"/>
        <v>-9.1400000000000148</v>
      </c>
      <c r="L245">
        <f t="shared" si="22"/>
        <v>-4.9922751603489517E-2</v>
      </c>
      <c r="M245">
        <f t="shared" si="23"/>
        <v>-12.314285714285717</v>
      </c>
    </row>
    <row r="246" spans="1:13" x14ac:dyDescent="0.25">
      <c r="A246" s="1">
        <v>46014</v>
      </c>
      <c r="B246">
        <f>VLOOKUP(A246, Call!A:P, 16, FALSE)</f>
        <v>81.050000000000011</v>
      </c>
      <c r="C246">
        <f>VLOOKUP(A246, Put!A:P, 16, FALSE)</f>
        <v>68.8</v>
      </c>
      <c r="D246">
        <f>VLOOKUP(A246, Call!A:W, 23, FALSE)</f>
        <v>154.80000000000001</v>
      </c>
      <c r="E246">
        <f>VLOOKUP(A246, Put!A:W, 23, FALSE)</f>
        <v>122.3</v>
      </c>
      <c r="F246">
        <f t="shared" si="18"/>
        <v>149.85000000000002</v>
      </c>
      <c r="G246">
        <f t="shared" si="19"/>
        <v>277.10000000000002</v>
      </c>
      <c r="H246">
        <f>VLOOKUP(A246, Call!A:I, 9, FALSE)</f>
        <v>0.82857142857142863</v>
      </c>
      <c r="I246">
        <f>VLOOKUP(A246, Call!A:J, 10, FALSE)</f>
        <v>0.17142857142857143</v>
      </c>
      <c r="J246">
        <f t="shared" si="20"/>
        <v>171.66428571428574</v>
      </c>
      <c r="K246">
        <f t="shared" si="21"/>
        <v>-2.2785714285714107</v>
      </c>
      <c r="L246">
        <f t="shared" si="22"/>
        <v>-1.3099540078843524E-2</v>
      </c>
      <c r="M246">
        <f t="shared" si="23"/>
        <v>-14.592857142857127</v>
      </c>
    </row>
    <row r="247" spans="1:13" x14ac:dyDescent="0.25">
      <c r="A247" s="1">
        <v>46015</v>
      </c>
      <c r="B247">
        <f>VLOOKUP(A247, Call!A:P, 16, FALSE)</f>
        <v>78.45</v>
      </c>
      <c r="C247">
        <f>VLOOKUP(A247, Put!A:P, 16, FALSE)</f>
        <v>64.199999999999989</v>
      </c>
      <c r="D247">
        <f>VLOOKUP(A247, Call!A:W, 23, FALSE)</f>
        <v>154.14999999999998</v>
      </c>
      <c r="E247">
        <f>VLOOKUP(A247, Put!A:W, 23, FALSE)</f>
        <v>119.65</v>
      </c>
      <c r="F247">
        <f t="shared" si="18"/>
        <v>142.64999999999998</v>
      </c>
      <c r="G247">
        <f t="shared" si="19"/>
        <v>273.79999999999995</v>
      </c>
      <c r="H247">
        <f>VLOOKUP(A247, Call!A:I, 9, FALSE)</f>
        <v>0.8</v>
      </c>
      <c r="I247">
        <f>VLOOKUP(A247, Call!A:J, 10, FALSE)</f>
        <v>0.2</v>
      </c>
      <c r="J247">
        <f t="shared" si="20"/>
        <v>168.88</v>
      </c>
      <c r="K247">
        <f t="shared" si="21"/>
        <v>-2.784285714285744</v>
      </c>
      <c r="L247">
        <f t="shared" si="22"/>
        <v>-1.6219365039737199E-2</v>
      </c>
      <c r="M247">
        <f t="shared" si="23"/>
        <v>-17.377142857142871</v>
      </c>
    </row>
    <row r="248" spans="1:13" x14ac:dyDescent="0.25">
      <c r="A248" s="1">
        <v>46017</v>
      </c>
      <c r="B248">
        <f>VLOOKUP(A248, Call!A:P, 16, FALSE)</f>
        <v>72.650000000000006</v>
      </c>
      <c r="C248">
        <f>VLOOKUP(A248, Put!A:P, 16, FALSE)</f>
        <v>61.6</v>
      </c>
      <c r="D248">
        <f>VLOOKUP(A248, Call!A:W, 23, FALSE)</f>
        <v>150.19999999999999</v>
      </c>
      <c r="E248">
        <f>VLOOKUP(A248, Put!A:W, 23, FALSE)</f>
        <v>119</v>
      </c>
      <c r="F248">
        <f t="shared" si="18"/>
        <v>134.25</v>
      </c>
      <c r="G248">
        <f t="shared" si="19"/>
        <v>269.2</v>
      </c>
      <c r="H248">
        <f>VLOOKUP(A248, Call!A:I, 9, FALSE)</f>
        <v>0.74285714285714288</v>
      </c>
      <c r="I248">
        <f>VLOOKUP(A248, Call!A:J, 10, FALSE)</f>
        <v>0.25714285714285712</v>
      </c>
      <c r="J248">
        <f t="shared" si="20"/>
        <v>168.95142857142855</v>
      </c>
      <c r="K248">
        <f t="shared" si="21"/>
        <v>7.1428571428555188E-2</v>
      </c>
      <c r="L248">
        <f t="shared" si="22"/>
        <v>4.2295459159495018E-4</v>
      </c>
      <c r="M248">
        <f t="shared" si="23"/>
        <v>-17.305714285714316</v>
      </c>
    </row>
    <row r="249" spans="1:13" x14ac:dyDescent="0.25">
      <c r="A249" s="1">
        <v>46020</v>
      </c>
      <c r="B249">
        <f>VLOOKUP(A249, Call!A:P, 16, FALSE)</f>
        <v>73.300000000000011</v>
      </c>
      <c r="C249">
        <f>VLOOKUP(A249, Put!A:P, 16, FALSE)</f>
        <v>57.400000000000006</v>
      </c>
      <c r="D249">
        <f>VLOOKUP(A249, Call!A:W, 23, FALSE)</f>
        <v>150.39999999999998</v>
      </c>
      <c r="E249">
        <f>VLOOKUP(A249, Put!A:W, 23, FALSE)</f>
        <v>114.55</v>
      </c>
      <c r="F249">
        <f t="shared" si="18"/>
        <v>130.70000000000002</v>
      </c>
      <c r="G249">
        <f t="shared" si="19"/>
        <v>264.95</v>
      </c>
      <c r="H249">
        <f>VLOOKUP(A249, Call!A:I, 9, FALSE)</f>
        <v>0.65714285714285714</v>
      </c>
      <c r="I249">
        <f>VLOOKUP(A249, Call!A:J, 10, FALSE)</f>
        <v>0.34285714285714286</v>
      </c>
      <c r="J249">
        <f t="shared" si="20"/>
        <v>176.72857142857146</v>
      </c>
      <c r="K249">
        <f t="shared" si="21"/>
        <v>7.7771428571429055</v>
      </c>
      <c r="L249">
        <f t="shared" si="22"/>
        <v>4.6031826560465686E-2</v>
      </c>
      <c r="M249">
        <f t="shared" si="23"/>
        <v>-9.5285714285714107</v>
      </c>
    </row>
    <row r="250" spans="1:13" x14ac:dyDescent="0.25">
      <c r="A250" s="1">
        <v>46021</v>
      </c>
      <c r="B250">
        <f>VLOOKUP(A250, Call!A:P, 16, FALSE)</f>
        <v>71.099999999999994</v>
      </c>
      <c r="C250">
        <f>VLOOKUP(A250, Put!A:P, 16, FALSE)</f>
        <v>56.25</v>
      </c>
      <c r="D250">
        <f>VLOOKUP(A250, Call!A:W, 23, FALSE)</f>
        <v>148.5</v>
      </c>
      <c r="E250">
        <f>VLOOKUP(A250, Put!A:W, 23, FALSE)</f>
        <v>113.8</v>
      </c>
      <c r="F250">
        <f t="shared" si="18"/>
        <v>127.35</v>
      </c>
      <c r="G250">
        <f t="shared" si="19"/>
        <v>262.3</v>
      </c>
      <c r="H250">
        <f>VLOOKUP(A250, Call!A:I, 9, FALSE)</f>
        <v>0.62857142857142856</v>
      </c>
      <c r="I250">
        <f>VLOOKUP(A250, Call!A:J, 10, FALSE)</f>
        <v>0.37142857142857144</v>
      </c>
      <c r="J250">
        <f t="shared" si="20"/>
        <v>177.47428571428571</v>
      </c>
      <c r="K250">
        <f t="shared" si="21"/>
        <v>0.74571428571425713</v>
      </c>
      <c r="L250">
        <f t="shared" si="22"/>
        <v>4.2195457117450482E-3</v>
      </c>
      <c r="M250">
        <f t="shared" si="23"/>
        <v>-8.7828571428571536</v>
      </c>
    </row>
    <row r="251" spans="1:13" x14ac:dyDescent="0.25">
      <c r="A251" s="1">
        <v>46022</v>
      </c>
      <c r="B251">
        <f>VLOOKUP(A251, Call!A:P, 16, FALSE)</f>
        <v>72.150000000000006</v>
      </c>
      <c r="C251">
        <f>VLOOKUP(A251, Put!A:P, 16, FALSE)</f>
        <v>58.35</v>
      </c>
      <c r="D251">
        <f>VLOOKUP(A251, Call!A:W, 23, FALSE)</f>
        <v>148.10000000000002</v>
      </c>
      <c r="E251">
        <f>VLOOKUP(A251, Put!A:W, 23, FALSE)</f>
        <v>115</v>
      </c>
      <c r="F251">
        <f t="shared" si="18"/>
        <v>130.5</v>
      </c>
      <c r="G251">
        <f t="shared" si="19"/>
        <v>263.10000000000002</v>
      </c>
      <c r="H251">
        <f>VLOOKUP(A251, Call!A:I, 9, FALSE)</f>
        <v>0.6</v>
      </c>
      <c r="I251">
        <f>VLOOKUP(A251, Call!A:J, 10, FALSE)</f>
        <v>0.4</v>
      </c>
      <c r="J251">
        <f t="shared" si="20"/>
        <v>183.54000000000002</v>
      </c>
      <c r="K251">
        <f t="shared" si="21"/>
        <v>6.0657142857143072</v>
      </c>
      <c r="L251">
        <f t="shared" si="22"/>
        <v>3.4177989567905333E-2</v>
      </c>
      <c r="M251">
        <f t="shared" si="23"/>
        <v>-2.7171428571428464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A1C4-74C4-423E-B794-8EBA4E15ED02}">
  <dimension ref="A1:J251"/>
  <sheetViews>
    <sheetView workbookViewId="0">
      <selection activeCell="O11" sqref="O11"/>
    </sheetView>
  </sheetViews>
  <sheetFormatPr defaultRowHeight="15" x14ac:dyDescent="0.25"/>
  <cols>
    <col min="1" max="1" width="10.42578125" style="1" bestFit="1" customWidth="1"/>
    <col min="2" max="2" width="20.140625" bestFit="1" customWidth="1"/>
    <col min="3" max="3" width="10" bestFit="1" customWidth="1"/>
    <col min="4" max="4" width="17.42578125" bestFit="1" customWidth="1"/>
    <col min="5" max="5" width="10.85546875" bestFit="1" customWidth="1"/>
    <col min="6" max="6" width="9" style="8"/>
    <col min="7" max="7" width="12" bestFit="1" customWidth="1"/>
    <col min="8" max="8" width="12.7109375" bestFit="1" customWidth="1"/>
    <col min="9" max="9" width="13.28515625" bestFit="1" customWidth="1"/>
    <col min="10" max="10" width="12.7109375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826</v>
      </c>
      <c r="E1" t="s">
        <v>828</v>
      </c>
      <c r="F1" s="8" t="s">
        <v>829</v>
      </c>
      <c r="G1" s="10" t="s">
        <v>830</v>
      </c>
      <c r="H1" s="11" t="s">
        <v>832</v>
      </c>
      <c r="I1" s="9" t="s">
        <v>831</v>
      </c>
      <c r="J1" s="7" t="s">
        <v>833</v>
      </c>
    </row>
    <row r="2" spans="1:10" x14ac:dyDescent="0.25">
      <c r="A2" s="1">
        <v>45659</v>
      </c>
      <c r="B2">
        <v>5868.55</v>
      </c>
      <c r="C2">
        <v>5870</v>
      </c>
      <c r="D2">
        <v>0.144062143</v>
      </c>
      <c r="E2">
        <v>4.2911999999999999E-2</v>
      </c>
      <c r="F2" s="8">
        <f>30/365</f>
        <v>8.2191780821917804E-2</v>
      </c>
      <c r="G2">
        <f>_xlfn.NORM.S.DIST((LN(B2/C2)+(E2+0.5*(D2)^2)*F2)/(D2*SQRT(F2)),TRUE)</f>
        <v>0.53985408725029349</v>
      </c>
      <c r="H2">
        <f>G2-1</f>
        <v>-0.46014591274970651</v>
      </c>
      <c r="I2">
        <f>G2+H2</f>
        <v>7.9708174500586981E-2</v>
      </c>
      <c r="J2">
        <f>-I2</f>
        <v>-7.9708174500586981E-2</v>
      </c>
    </row>
    <row r="3" spans="1:10" x14ac:dyDescent="0.25">
      <c r="A3" s="1">
        <v>45660</v>
      </c>
      <c r="B3">
        <v>5942.47</v>
      </c>
      <c r="C3">
        <v>5940</v>
      </c>
      <c r="D3">
        <v>0.127562429</v>
      </c>
      <c r="E3">
        <v>4.2625999999999997E-2</v>
      </c>
      <c r="F3" s="8">
        <f t="shared" ref="F3:F66" si="0">30/365</f>
        <v>8.2191780821917804E-2</v>
      </c>
      <c r="G3">
        <f t="shared" ref="G3:G66" si="1">_xlfn.NORM.S.DIST((LN(B3/C3)+(E3+0.5*(D3)^2)*F3)/(D3*SQRT(F3)),TRUE)</f>
        <v>0.54991776850546825</v>
      </c>
      <c r="H3">
        <f t="shared" ref="H3:H66" si="2">G3-1</f>
        <v>-0.45008223149453175</v>
      </c>
      <c r="I3">
        <f t="shared" ref="I3:I66" si="3">G3+H3</f>
        <v>9.9835537010936504E-2</v>
      </c>
      <c r="J3">
        <f t="shared" ref="J3:J66" si="4">-I3</f>
        <v>-9.9835537010936504E-2</v>
      </c>
    </row>
    <row r="4" spans="1:10" x14ac:dyDescent="0.25">
      <c r="A4" s="1">
        <v>45663</v>
      </c>
      <c r="B4">
        <v>5975.38</v>
      </c>
      <c r="C4">
        <v>5975</v>
      </c>
      <c r="D4">
        <v>0.128181714</v>
      </c>
      <c r="E4">
        <v>4.3105999999999998E-2</v>
      </c>
      <c r="F4" s="8">
        <f t="shared" si="0"/>
        <v>8.2191780821917804E-2</v>
      </c>
      <c r="G4">
        <f t="shared" si="1"/>
        <v>0.54637807502478464</v>
      </c>
      <c r="H4">
        <f t="shared" si="2"/>
        <v>-0.45362192497521536</v>
      </c>
      <c r="I4">
        <f t="shared" si="3"/>
        <v>9.2756150049569275E-2</v>
      </c>
      <c r="J4">
        <f t="shared" si="4"/>
        <v>-9.2756150049569275E-2</v>
      </c>
    </row>
    <row r="5" spans="1:10" x14ac:dyDescent="0.25">
      <c r="A5" s="1">
        <v>45664</v>
      </c>
      <c r="B5">
        <v>5909.03</v>
      </c>
      <c r="C5">
        <v>5910</v>
      </c>
      <c r="D5">
        <v>0.145198571</v>
      </c>
      <c r="E5">
        <v>4.3023999999999993E-2</v>
      </c>
      <c r="F5" s="8">
        <f t="shared" si="0"/>
        <v>8.2191780821917804E-2</v>
      </c>
      <c r="G5">
        <f t="shared" si="1"/>
        <v>0.54055033269140773</v>
      </c>
      <c r="H5">
        <f t="shared" si="2"/>
        <v>-0.45944966730859227</v>
      </c>
      <c r="I5">
        <f t="shared" si="3"/>
        <v>8.1100665382815462E-2</v>
      </c>
      <c r="J5">
        <f t="shared" si="4"/>
        <v>-8.1100665382815462E-2</v>
      </c>
    </row>
    <row r="6" spans="1:10" x14ac:dyDescent="0.25">
      <c r="A6" s="1">
        <v>45665</v>
      </c>
      <c r="B6">
        <v>5918.25</v>
      </c>
      <c r="C6">
        <v>5920</v>
      </c>
      <c r="D6">
        <v>0.14439099999999999</v>
      </c>
      <c r="E6">
        <v>4.2942000000000001E-2</v>
      </c>
      <c r="F6" s="8">
        <f t="shared" si="0"/>
        <v>8.2191780821917804E-2</v>
      </c>
      <c r="G6">
        <f t="shared" si="1"/>
        <v>0.5393585574566595</v>
      </c>
      <c r="H6">
        <f t="shared" si="2"/>
        <v>-0.4606414425433405</v>
      </c>
      <c r="I6">
        <f t="shared" si="3"/>
        <v>7.8717114913319008E-2</v>
      </c>
      <c r="J6">
        <f t="shared" si="4"/>
        <v>-7.8717114913319008E-2</v>
      </c>
    </row>
    <row r="7" spans="1:10" x14ac:dyDescent="0.25">
      <c r="A7" s="1">
        <v>45667</v>
      </c>
      <c r="B7">
        <v>5827.04</v>
      </c>
      <c r="C7">
        <v>5825</v>
      </c>
      <c r="D7">
        <v>0.15886814299999999</v>
      </c>
      <c r="E7">
        <v>4.2830000000000007E-2</v>
      </c>
      <c r="F7" s="8">
        <f t="shared" si="0"/>
        <v>8.2191780821917804E-2</v>
      </c>
      <c r="G7">
        <f t="shared" si="1"/>
        <v>0.54290351747804388</v>
      </c>
      <c r="H7">
        <f t="shared" si="2"/>
        <v>-0.45709648252195612</v>
      </c>
      <c r="I7">
        <f t="shared" si="3"/>
        <v>8.5807034956087769E-2</v>
      </c>
      <c r="J7">
        <f t="shared" si="4"/>
        <v>-8.5807034956087769E-2</v>
      </c>
    </row>
    <row r="8" spans="1:10" x14ac:dyDescent="0.25">
      <c r="A8" s="1">
        <v>45670</v>
      </c>
      <c r="B8">
        <v>5836.22</v>
      </c>
      <c r="C8">
        <v>5835</v>
      </c>
      <c r="D8">
        <v>0.15632428600000001</v>
      </c>
      <c r="E8">
        <v>4.3055000000000003E-2</v>
      </c>
      <c r="F8" s="8">
        <f t="shared" si="0"/>
        <v>8.2191780821917804E-2</v>
      </c>
      <c r="G8">
        <f t="shared" si="1"/>
        <v>0.54222229271771227</v>
      </c>
      <c r="H8">
        <f t="shared" si="2"/>
        <v>-0.45777770728228773</v>
      </c>
      <c r="I8">
        <f t="shared" si="3"/>
        <v>8.4444585435424546E-2</v>
      </c>
      <c r="J8">
        <f t="shared" si="4"/>
        <v>-8.4444585435424546E-2</v>
      </c>
    </row>
    <row r="9" spans="1:10" x14ac:dyDescent="0.25">
      <c r="A9" s="1">
        <v>45671</v>
      </c>
      <c r="B9">
        <v>5842.91</v>
      </c>
      <c r="C9">
        <v>5845</v>
      </c>
      <c r="D9">
        <v>0.158039714</v>
      </c>
      <c r="E9">
        <v>4.2998000000000001E-2</v>
      </c>
      <c r="F9" s="8">
        <f t="shared" si="0"/>
        <v>8.2191780821917804E-2</v>
      </c>
      <c r="G9">
        <f t="shared" si="1"/>
        <v>0.53695339041302292</v>
      </c>
      <c r="H9">
        <f t="shared" si="2"/>
        <v>-0.46304660958697708</v>
      </c>
      <c r="I9">
        <f t="shared" si="3"/>
        <v>7.3906780826045848E-2</v>
      </c>
      <c r="J9">
        <f t="shared" si="4"/>
        <v>-7.3906780826045848E-2</v>
      </c>
    </row>
    <row r="10" spans="1:10" x14ac:dyDescent="0.25">
      <c r="A10" s="1">
        <v>45672</v>
      </c>
      <c r="B10">
        <v>5949.91</v>
      </c>
      <c r="C10">
        <v>5950</v>
      </c>
      <c r="D10">
        <v>0.12720799999999999</v>
      </c>
      <c r="E10">
        <v>4.2916999999999997E-2</v>
      </c>
      <c r="F10" s="8">
        <f t="shared" si="0"/>
        <v>8.2191780821917804E-2</v>
      </c>
      <c r="G10">
        <f t="shared" si="1"/>
        <v>0.54559623842051708</v>
      </c>
      <c r="H10">
        <f t="shared" si="2"/>
        <v>-0.45440376157948292</v>
      </c>
      <c r="I10">
        <f t="shared" si="3"/>
        <v>9.1192476841034154E-2</v>
      </c>
      <c r="J10">
        <f t="shared" si="4"/>
        <v>-9.1192476841034154E-2</v>
      </c>
    </row>
    <row r="11" spans="1:10" x14ac:dyDescent="0.25">
      <c r="A11" s="1">
        <v>45673</v>
      </c>
      <c r="B11">
        <v>5937.34</v>
      </c>
      <c r="C11">
        <v>5935</v>
      </c>
      <c r="D11">
        <v>0.12544928599999999</v>
      </c>
      <c r="E11">
        <v>4.2962999999999994E-2</v>
      </c>
      <c r="F11" s="8">
        <f t="shared" si="0"/>
        <v>8.2191780821917804E-2</v>
      </c>
      <c r="G11">
        <f t="shared" si="1"/>
        <v>0.55058005416732569</v>
      </c>
      <c r="H11">
        <f t="shared" si="2"/>
        <v>-0.44941994583267431</v>
      </c>
      <c r="I11">
        <f t="shared" si="3"/>
        <v>0.10116010833465139</v>
      </c>
      <c r="J11">
        <f t="shared" si="4"/>
        <v>-0.10116010833465139</v>
      </c>
    </row>
    <row r="12" spans="1:10" x14ac:dyDescent="0.25">
      <c r="A12" s="1">
        <v>45674</v>
      </c>
      <c r="B12">
        <v>5996.66</v>
      </c>
      <c r="C12">
        <v>5995</v>
      </c>
      <c r="D12">
        <v>0.12961500000000001</v>
      </c>
      <c r="E12">
        <v>4.3004000000000001E-2</v>
      </c>
      <c r="F12" s="8">
        <f t="shared" si="0"/>
        <v>8.2191780821917804E-2</v>
      </c>
      <c r="G12">
        <f t="shared" si="1"/>
        <v>0.54821365349588969</v>
      </c>
      <c r="H12">
        <f t="shared" si="2"/>
        <v>-0.45178634650411031</v>
      </c>
      <c r="I12">
        <f t="shared" si="3"/>
        <v>9.6427306991779371E-2</v>
      </c>
      <c r="J12">
        <f t="shared" si="4"/>
        <v>-9.6427306991779371E-2</v>
      </c>
    </row>
    <row r="13" spans="1:10" x14ac:dyDescent="0.25">
      <c r="A13" s="1">
        <v>45678</v>
      </c>
      <c r="B13">
        <v>6049.24</v>
      </c>
      <c r="C13">
        <v>6050</v>
      </c>
      <c r="D13">
        <v>0.11738</v>
      </c>
      <c r="E13">
        <v>4.2998000000000001E-2</v>
      </c>
      <c r="F13" s="8">
        <f t="shared" si="0"/>
        <v>8.2191780821917804E-2</v>
      </c>
      <c r="G13">
        <f t="shared" si="1"/>
        <v>0.54701048201613101</v>
      </c>
      <c r="H13">
        <f t="shared" si="2"/>
        <v>-0.45298951798386899</v>
      </c>
      <c r="I13">
        <f t="shared" si="3"/>
        <v>9.4020964032262011E-2</v>
      </c>
      <c r="J13">
        <f t="shared" si="4"/>
        <v>-9.4020964032262011E-2</v>
      </c>
    </row>
    <row r="14" spans="1:10" x14ac:dyDescent="0.25">
      <c r="A14" s="1">
        <v>45679</v>
      </c>
      <c r="B14">
        <v>6086.37</v>
      </c>
      <c r="C14">
        <v>6085</v>
      </c>
      <c r="D14">
        <v>0.11523</v>
      </c>
      <c r="E14">
        <v>4.3095000000000001E-2</v>
      </c>
      <c r="F14" s="8">
        <f t="shared" si="0"/>
        <v>8.2191780821917804E-2</v>
      </c>
      <c r="G14">
        <f t="shared" si="1"/>
        <v>0.55193517963124084</v>
      </c>
      <c r="H14">
        <f t="shared" si="2"/>
        <v>-0.44806482036875916</v>
      </c>
      <c r="I14">
        <f t="shared" si="3"/>
        <v>0.10387035926248167</v>
      </c>
      <c r="J14">
        <f t="shared" si="4"/>
        <v>-0.10387035926248167</v>
      </c>
    </row>
    <row r="15" spans="1:10" x14ac:dyDescent="0.25">
      <c r="A15" s="1">
        <v>45680</v>
      </c>
      <c r="B15">
        <v>6118.71</v>
      </c>
      <c r="C15">
        <v>6120</v>
      </c>
      <c r="D15">
        <v>0.114350893</v>
      </c>
      <c r="E15">
        <v>4.3090000000000003E-2</v>
      </c>
      <c r="F15" s="8">
        <f t="shared" si="0"/>
        <v>8.2191780821917804E-2</v>
      </c>
      <c r="G15">
        <f t="shared" si="1"/>
        <v>0.54696343131304881</v>
      </c>
      <c r="H15">
        <f t="shared" si="2"/>
        <v>-0.45303656868695119</v>
      </c>
      <c r="I15">
        <f t="shared" si="3"/>
        <v>9.3926862626097618E-2</v>
      </c>
      <c r="J15">
        <f t="shared" si="4"/>
        <v>-9.3926862626097618E-2</v>
      </c>
    </row>
    <row r="16" spans="1:10" x14ac:dyDescent="0.25">
      <c r="A16" s="1">
        <v>45681</v>
      </c>
      <c r="B16">
        <v>6101.24</v>
      </c>
      <c r="C16">
        <v>6100</v>
      </c>
      <c r="D16">
        <v>0.11493</v>
      </c>
      <c r="E16">
        <v>4.3186999999999996E-2</v>
      </c>
      <c r="F16" s="8">
        <f t="shared" si="0"/>
        <v>8.2191780821917804E-2</v>
      </c>
      <c r="G16">
        <f t="shared" si="1"/>
        <v>0.55186425417917251</v>
      </c>
      <c r="H16">
        <f t="shared" si="2"/>
        <v>-0.44813574582082749</v>
      </c>
      <c r="I16">
        <f t="shared" si="3"/>
        <v>0.10372850835834502</v>
      </c>
      <c r="J16">
        <f t="shared" si="4"/>
        <v>-0.10372850835834502</v>
      </c>
    </row>
    <row r="17" spans="1:10" x14ac:dyDescent="0.25">
      <c r="A17" s="1">
        <v>45684</v>
      </c>
      <c r="B17">
        <v>6012.28</v>
      </c>
      <c r="C17">
        <v>6010</v>
      </c>
      <c r="D17">
        <v>0.139041786</v>
      </c>
      <c r="E17">
        <v>4.3232999999999994E-2</v>
      </c>
      <c r="F17" s="8">
        <f t="shared" si="0"/>
        <v>8.2191780821917804E-2</v>
      </c>
      <c r="G17">
        <f t="shared" si="1"/>
        <v>0.54719935672339037</v>
      </c>
      <c r="H17">
        <f t="shared" si="2"/>
        <v>-0.45280064327660963</v>
      </c>
      <c r="I17">
        <f t="shared" si="3"/>
        <v>9.4398713446780746E-2</v>
      </c>
      <c r="J17">
        <f t="shared" si="4"/>
        <v>-9.4398713446780746E-2</v>
      </c>
    </row>
    <row r="18" spans="1:10" x14ac:dyDescent="0.25">
      <c r="A18" s="1">
        <v>45685</v>
      </c>
      <c r="B18">
        <v>6067.7</v>
      </c>
      <c r="C18">
        <v>6070</v>
      </c>
      <c r="D18">
        <v>0.12704499999999999</v>
      </c>
      <c r="E18">
        <v>4.3278999999999998E-2</v>
      </c>
      <c r="F18" s="8">
        <f t="shared" si="0"/>
        <v>8.2191780821917804E-2</v>
      </c>
      <c r="G18">
        <f t="shared" si="1"/>
        <v>0.54199856387735323</v>
      </c>
      <c r="H18">
        <f t="shared" si="2"/>
        <v>-0.45800143612264677</v>
      </c>
      <c r="I18">
        <f t="shared" si="3"/>
        <v>8.3997127754706469E-2</v>
      </c>
      <c r="J18">
        <f t="shared" si="4"/>
        <v>-8.3997127754706469E-2</v>
      </c>
    </row>
    <row r="19" spans="1:10" x14ac:dyDescent="0.25">
      <c r="A19" s="1">
        <v>45686</v>
      </c>
      <c r="B19">
        <v>6039.31</v>
      </c>
      <c r="C19">
        <v>6040</v>
      </c>
      <c r="D19">
        <v>0.13197125000000001</v>
      </c>
      <c r="E19">
        <v>4.3274E-2</v>
      </c>
      <c r="F19" s="8">
        <f t="shared" si="0"/>
        <v>8.2191780821917804E-2</v>
      </c>
      <c r="G19">
        <f t="shared" si="1"/>
        <v>0.54375776155263589</v>
      </c>
      <c r="H19">
        <f t="shared" si="2"/>
        <v>-0.45624223844736411</v>
      </c>
      <c r="I19">
        <f t="shared" si="3"/>
        <v>8.7515523105271775E-2</v>
      </c>
      <c r="J19">
        <f t="shared" si="4"/>
        <v>-8.7515523105271775E-2</v>
      </c>
    </row>
    <row r="20" spans="1:10" x14ac:dyDescent="0.25">
      <c r="A20" s="1">
        <v>45687</v>
      </c>
      <c r="B20">
        <v>6071.17</v>
      </c>
      <c r="C20">
        <v>6070</v>
      </c>
      <c r="D20">
        <v>0.12592214299999999</v>
      </c>
      <c r="E20">
        <v>4.3166999999999997E-2</v>
      </c>
      <c r="F20" s="8">
        <f t="shared" si="0"/>
        <v>8.2191780821917804E-2</v>
      </c>
      <c r="G20">
        <f t="shared" si="1"/>
        <v>0.54841935862320312</v>
      </c>
      <c r="H20">
        <f t="shared" si="2"/>
        <v>-0.45158064137679688</v>
      </c>
      <c r="I20">
        <f t="shared" si="3"/>
        <v>9.6838717246406247E-2</v>
      </c>
      <c r="J20">
        <f t="shared" si="4"/>
        <v>-9.6838717246406247E-2</v>
      </c>
    </row>
    <row r="21" spans="1:10" x14ac:dyDescent="0.25">
      <c r="A21" s="1">
        <v>45688</v>
      </c>
      <c r="B21">
        <v>6040.53</v>
      </c>
      <c r="C21">
        <v>6040</v>
      </c>
      <c r="D21">
        <v>0.134197857</v>
      </c>
      <c r="E21">
        <v>4.2830000000000007E-2</v>
      </c>
      <c r="F21" s="8">
        <f t="shared" si="0"/>
        <v>8.2191780821917804E-2</v>
      </c>
      <c r="G21">
        <f t="shared" si="1"/>
        <v>0.54499122121188837</v>
      </c>
      <c r="H21">
        <f t="shared" si="2"/>
        <v>-0.45500877878811163</v>
      </c>
      <c r="I21">
        <f t="shared" si="3"/>
        <v>8.9982442423776732E-2</v>
      </c>
      <c r="J21">
        <f t="shared" si="4"/>
        <v>-8.9982442423776732E-2</v>
      </c>
    </row>
    <row r="22" spans="1:10" x14ac:dyDescent="0.25">
      <c r="A22" s="1">
        <v>45691</v>
      </c>
      <c r="B22">
        <v>5994.57</v>
      </c>
      <c r="C22">
        <v>5995</v>
      </c>
      <c r="D22">
        <v>0.14871928600000001</v>
      </c>
      <c r="E22">
        <v>4.3156999999999994E-2</v>
      </c>
      <c r="F22" s="8">
        <f t="shared" si="0"/>
        <v>8.2191780821917804E-2</v>
      </c>
      <c r="G22">
        <f t="shared" si="1"/>
        <v>0.5409514834596505</v>
      </c>
      <c r="H22">
        <f t="shared" si="2"/>
        <v>-0.4590485165403495</v>
      </c>
      <c r="I22">
        <f t="shared" si="3"/>
        <v>8.190296691930099E-2</v>
      </c>
      <c r="J22">
        <f t="shared" si="4"/>
        <v>-8.190296691930099E-2</v>
      </c>
    </row>
    <row r="23" spans="1:10" x14ac:dyDescent="0.25">
      <c r="A23" s="1">
        <v>45692</v>
      </c>
      <c r="B23">
        <v>6037.88</v>
      </c>
      <c r="C23">
        <v>6040</v>
      </c>
      <c r="D23">
        <v>0.13462089299999999</v>
      </c>
      <c r="E23">
        <v>4.3075000000000002E-2</v>
      </c>
      <c r="F23" s="8">
        <f t="shared" si="0"/>
        <v>8.2191780821917804E-2</v>
      </c>
      <c r="G23">
        <f t="shared" si="1"/>
        <v>0.54059572507668352</v>
      </c>
      <c r="H23">
        <f t="shared" si="2"/>
        <v>-0.45940427492331648</v>
      </c>
      <c r="I23">
        <f t="shared" si="3"/>
        <v>8.119145015336704E-2</v>
      </c>
      <c r="J23">
        <f t="shared" si="4"/>
        <v>-8.119145015336704E-2</v>
      </c>
    </row>
    <row r="24" spans="1:10" x14ac:dyDescent="0.25">
      <c r="A24" s="1">
        <v>45693</v>
      </c>
      <c r="B24">
        <v>6061.48</v>
      </c>
      <c r="C24">
        <v>6060</v>
      </c>
      <c r="D24">
        <v>0.126805</v>
      </c>
      <c r="E24">
        <v>4.2942000000000001E-2</v>
      </c>
      <c r="F24" s="8">
        <f t="shared" si="0"/>
        <v>8.2191780821917804E-2</v>
      </c>
      <c r="G24">
        <f t="shared" si="1"/>
        <v>0.54854291398973287</v>
      </c>
      <c r="H24">
        <f t="shared" si="2"/>
        <v>-0.45145708601026713</v>
      </c>
      <c r="I24">
        <f t="shared" si="3"/>
        <v>9.7085827979465744E-2</v>
      </c>
      <c r="J24">
        <f t="shared" si="4"/>
        <v>-9.7085827979465744E-2</v>
      </c>
    </row>
    <row r="25" spans="1:10" x14ac:dyDescent="0.25">
      <c r="A25" s="1">
        <v>45694</v>
      </c>
      <c r="B25">
        <v>6083.57</v>
      </c>
      <c r="C25">
        <v>6085</v>
      </c>
      <c r="D25">
        <v>0.12069160700000001</v>
      </c>
      <c r="E25">
        <v>4.3038999999999994E-2</v>
      </c>
      <c r="F25" s="8">
        <f t="shared" si="0"/>
        <v>8.2191780821917804E-2</v>
      </c>
      <c r="G25">
        <f t="shared" si="1"/>
        <v>0.54488282358253248</v>
      </c>
      <c r="H25">
        <f t="shared" si="2"/>
        <v>-0.45511717641746752</v>
      </c>
      <c r="I25">
        <f t="shared" si="3"/>
        <v>8.9765647165064966E-2</v>
      </c>
      <c r="J25">
        <f t="shared" si="4"/>
        <v>-8.9765647165064966E-2</v>
      </c>
    </row>
    <row r="26" spans="1:10" x14ac:dyDescent="0.25">
      <c r="A26" s="1">
        <v>45695</v>
      </c>
      <c r="B26">
        <v>6025.99</v>
      </c>
      <c r="C26">
        <v>6025</v>
      </c>
      <c r="D26">
        <v>0.13179571400000001</v>
      </c>
      <c r="E26">
        <v>4.3009000000000006E-2</v>
      </c>
      <c r="F26" s="8">
        <f t="shared" si="0"/>
        <v>8.2191780821917804E-2</v>
      </c>
      <c r="G26">
        <f t="shared" si="1"/>
        <v>0.54648947375355839</v>
      </c>
      <c r="H26">
        <f t="shared" si="2"/>
        <v>-0.45351052624644161</v>
      </c>
      <c r="I26">
        <f t="shared" si="3"/>
        <v>9.2978947507116771E-2</v>
      </c>
      <c r="J26">
        <f t="shared" si="4"/>
        <v>-9.2978947507116771E-2</v>
      </c>
    </row>
    <row r="27" spans="1:10" x14ac:dyDescent="0.25">
      <c r="A27" s="1">
        <v>45698</v>
      </c>
      <c r="B27">
        <v>6066.44</v>
      </c>
      <c r="C27">
        <v>6065</v>
      </c>
      <c r="D27">
        <v>0.12051392900000001</v>
      </c>
      <c r="E27">
        <v>4.3284000000000003E-2</v>
      </c>
      <c r="F27" s="8">
        <f t="shared" si="0"/>
        <v>8.2191780821917804E-2</v>
      </c>
      <c r="G27">
        <f t="shared" si="1"/>
        <v>0.55057521596859571</v>
      </c>
      <c r="H27">
        <f t="shared" si="2"/>
        <v>-0.44942478403140429</v>
      </c>
      <c r="I27">
        <f t="shared" si="3"/>
        <v>0.10115043193719142</v>
      </c>
      <c r="J27">
        <f t="shared" si="4"/>
        <v>-0.10115043193719142</v>
      </c>
    </row>
    <row r="28" spans="1:10" x14ac:dyDescent="0.25">
      <c r="A28" s="1">
        <v>45699</v>
      </c>
      <c r="B28">
        <v>6068.5</v>
      </c>
      <c r="C28">
        <v>6070</v>
      </c>
      <c r="D28">
        <v>0.121287857</v>
      </c>
      <c r="E28">
        <v>4.3278999999999998E-2</v>
      </c>
      <c r="F28" s="8">
        <f t="shared" si="0"/>
        <v>8.2191780821917804E-2</v>
      </c>
      <c r="G28">
        <f t="shared" si="1"/>
        <v>0.54481746864043901</v>
      </c>
      <c r="H28">
        <f t="shared" si="2"/>
        <v>-0.45518253135956099</v>
      </c>
      <c r="I28">
        <f t="shared" si="3"/>
        <v>8.9634937280878013E-2</v>
      </c>
      <c r="J28">
        <f t="shared" si="4"/>
        <v>-8.9634937280878013E-2</v>
      </c>
    </row>
    <row r="29" spans="1:10" x14ac:dyDescent="0.25">
      <c r="A29" s="1">
        <v>45700</v>
      </c>
      <c r="B29">
        <v>6051.97</v>
      </c>
      <c r="C29">
        <v>6050</v>
      </c>
      <c r="D29">
        <v>0.12540499999999999</v>
      </c>
      <c r="E29">
        <v>4.3274E-2</v>
      </c>
      <c r="F29" s="8">
        <f t="shared" si="0"/>
        <v>8.2191780821917804E-2</v>
      </c>
      <c r="G29">
        <f t="shared" si="1"/>
        <v>0.55011874046950737</v>
      </c>
      <c r="H29">
        <f t="shared" si="2"/>
        <v>-0.44988125953049263</v>
      </c>
      <c r="I29">
        <f t="shared" si="3"/>
        <v>0.10023748093901474</v>
      </c>
      <c r="J29">
        <f t="shared" si="4"/>
        <v>-0.10023748093901474</v>
      </c>
    </row>
    <row r="30" spans="1:10" x14ac:dyDescent="0.25">
      <c r="A30" s="1">
        <v>45701</v>
      </c>
      <c r="B30">
        <v>6115.07</v>
      </c>
      <c r="C30">
        <v>6115</v>
      </c>
      <c r="D30">
        <v>0.116072857</v>
      </c>
      <c r="E30">
        <v>4.3243000000000004E-2</v>
      </c>
      <c r="F30" s="8">
        <f t="shared" si="0"/>
        <v>8.2191780821917804E-2</v>
      </c>
      <c r="G30">
        <f t="shared" si="1"/>
        <v>0.54925899949245294</v>
      </c>
      <c r="H30">
        <f t="shared" si="2"/>
        <v>-0.45074100050754706</v>
      </c>
      <c r="I30">
        <f t="shared" si="3"/>
        <v>9.8517998984905875E-2</v>
      </c>
      <c r="J30">
        <f t="shared" si="4"/>
        <v>-9.8517998984905875E-2</v>
      </c>
    </row>
    <row r="31" spans="1:10" x14ac:dyDescent="0.25">
      <c r="A31" s="1">
        <v>45702</v>
      </c>
      <c r="B31">
        <v>6114.63</v>
      </c>
      <c r="C31">
        <v>6115</v>
      </c>
      <c r="D31">
        <v>0.113376607</v>
      </c>
      <c r="E31">
        <v>4.3208000000000003E-2</v>
      </c>
      <c r="F31" s="8">
        <f t="shared" si="0"/>
        <v>8.2191780821917804E-2</v>
      </c>
      <c r="G31">
        <f t="shared" si="1"/>
        <v>0.5492033526437714</v>
      </c>
      <c r="H31">
        <f t="shared" si="2"/>
        <v>-0.4507966473562286</v>
      </c>
      <c r="I31">
        <f t="shared" si="3"/>
        <v>9.8406705287542806E-2</v>
      </c>
      <c r="J31">
        <f t="shared" si="4"/>
        <v>-9.8406705287542806E-2</v>
      </c>
    </row>
    <row r="32" spans="1:10" x14ac:dyDescent="0.25">
      <c r="A32" s="1">
        <v>45706</v>
      </c>
      <c r="B32">
        <v>6129.58</v>
      </c>
      <c r="C32">
        <v>6130</v>
      </c>
      <c r="D32">
        <v>0.113011607</v>
      </c>
      <c r="E32">
        <v>4.3254000000000001E-2</v>
      </c>
      <c r="F32" s="8">
        <f t="shared" si="0"/>
        <v>8.2191780821917804E-2</v>
      </c>
      <c r="G32">
        <f t="shared" si="1"/>
        <v>0.54926829646856734</v>
      </c>
      <c r="H32">
        <f t="shared" si="2"/>
        <v>-0.45073170353143266</v>
      </c>
      <c r="I32">
        <f t="shared" si="3"/>
        <v>9.8536592937134682E-2</v>
      </c>
      <c r="J32">
        <f t="shared" si="4"/>
        <v>-9.8536592937134682E-2</v>
      </c>
    </row>
    <row r="33" spans="1:10" x14ac:dyDescent="0.25">
      <c r="A33" s="1">
        <v>45707</v>
      </c>
      <c r="B33">
        <v>6144.15</v>
      </c>
      <c r="C33">
        <v>6145</v>
      </c>
      <c r="D33">
        <v>0.112015</v>
      </c>
      <c r="E33">
        <v>4.3196999999999999E-2</v>
      </c>
      <c r="F33" s="8">
        <f t="shared" si="0"/>
        <v>8.2191780821917804E-2</v>
      </c>
      <c r="G33">
        <f t="shared" si="1"/>
        <v>0.54867229363800929</v>
      </c>
      <c r="H33">
        <f t="shared" si="2"/>
        <v>-0.45132770636199071</v>
      </c>
      <c r="I33">
        <f t="shared" si="3"/>
        <v>9.7344587276018579E-2</v>
      </c>
      <c r="J33">
        <f t="shared" si="4"/>
        <v>-9.7344587276018579E-2</v>
      </c>
    </row>
    <row r="34" spans="1:10" x14ac:dyDescent="0.25">
      <c r="A34" s="1">
        <v>45708</v>
      </c>
      <c r="B34">
        <v>6117.52</v>
      </c>
      <c r="C34">
        <v>6120</v>
      </c>
      <c r="D34">
        <v>0.11395</v>
      </c>
      <c r="E34">
        <v>4.3140999999999999E-2</v>
      </c>
      <c r="F34" s="8">
        <f t="shared" si="0"/>
        <v>8.2191780821917804E-2</v>
      </c>
      <c r="G34">
        <f t="shared" si="1"/>
        <v>0.54477362727619694</v>
      </c>
      <c r="H34">
        <f t="shared" si="2"/>
        <v>-0.45522637272380306</v>
      </c>
      <c r="I34">
        <f t="shared" si="3"/>
        <v>8.9547254552393873E-2</v>
      </c>
      <c r="J34">
        <f t="shared" si="4"/>
        <v>-8.9547254552393873E-2</v>
      </c>
    </row>
    <row r="35" spans="1:10" x14ac:dyDescent="0.25">
      <c r="A35" s="1">
        <v>45709</v>
      </c>
      <c r="B35">
        <v>6013.13</v>
      </c>
      <c r="C35">
        <v>6015</v>
      </c>
      <c r="D35">
        <v>0.13998296299999999</v>
      </c>
      <c r="E35">
        <v>4.3060000000000001E-2</v>
      </c>
      <c r="F35" s="8">
        <f t="shared" si="0"/>
        <v>8.2191780821917804E-2</v>
      </c>
      <c r="G35">
        <f t="shared" si="1"/>
        <v>0.54002898869237903</v>
      </c>
      <c r="H35">
        <f t="shared" si="2"/>
        <v>-0.45997101130762097</v>
      </c>
      <c r="I35">
        <f t="shared" si="3"/>
        <v>8.0057977384758061E-2</v>
      </c>
      <c r="J35">
        <f t="shared" si="4"/>
        <v>-8.0057977384758061E-2</v>
      </c>
    </row>
    <row r="36" spans="1:10" x14ac:dyDescent="0.25">
      <c r="A36" s="1">
        <v>45712</v>
      </c>
      <c r="B36">
        <v>5983.25</v>
      </c>
      <c r="C36">
        <v>5985</v>
      </c>
      <c r="D36">
        <v>0.14749000000000001</v>
      </c>
      <c r="E36">
        <v>4.308E-2</v>
      </c>
      <c r="F36" s="8">
        <f t="shared" si="0"/>
        <v>8.2191780821917804E-2</v>
      </c>
      <c r="G36">
        <f t="shared" si="1"/>
        <v>0.53901990027967372</v>
      </c>
      <c r="H36">
        <f t="shared" si="2"/>
        <v>-0.46098009972032628</v>
      </c>
      <c r="I36">
        <f t="shared" si="3"/>
        <v>7.803980055934745E-2</v>
      </c>
      <c r="J36">
        <f t="shared" si="4"/>
        <v>-7.803980055934745E-2</v>
      </c>
    </row>
    <row r="37" spans="1:10" x14ac:dyDescent="0.25">
      <c r="A37" s="1">
        <v>45713</v>
      </c>
      <c r="B37">
        <v>5955.25</v>
      </c>
      <c r="C37">
        <v>5955</v>
      </c>
      <c r="D37">
        <v>0.15411</v>
      </c>
      <c r="E37">
        <v>4.2845000000000001E-2</v>
      </c>
      <c r="F37" s="8">
        <f t="shared" si="0"/>
        <v>8.2191780821917804E-2</v>
      </c>
      <c r="G37">
        <f t="shared" si="1"/>
        <v>0.5409176317794544</v>
      </c>
      <c r="H37">
        <f t="shared" si="2"/>
        <v>-0.4590823682205456</v>
      </c>
      <c r="I37">
        <f t="shared" si="3"/>
        <v>8.18352635589088E-2</v>
      </c>
      <c r="J37">
        <f t="shared" si="4"/>
        <v>-8.18352635589088E-2</v>
      </c>
    </row>
    <row r="38" spans="1:10" x14ac:dyDescent="0.25">
      <c r="A38" s="1">
        <v>45714</v>
      </c>
      <c r="B38">
        <v>5956.06</v>
      </c>
      <c r="C38">
        <v>5955</v>
      </c>
      <c r="D38">
        <v>0.15656851899999999</v>
      </c>
      <c r="E38">
        <v>4.2866000000000001E-2</v>
      </c>
      <c r="F38" s="8">
        <f t="shared" si="0"/>
        <v>8.2191780821917804E-2</v>
      </c>
      <c r="G38">
        <f t="shared" si="1"/>
        <v>0.54177247217642854</v>
      </c>
      <c r="H38">
        <f t="shared" si="2"/>
        <v>-0.45822752782357146</v>
      </c>
      <c r="I38">
        <f t="shared" si="3"/>
        <v>8.3544944352857087E-2</v>
      </c>
      <c r="J38">
        <f t="shared" si="4"/>
        <v>-8.3544944352857087E-2</v>
      </c>
    </row>
    <row r="39" spans="1:10" x14ac:dyDescent="0.25">
      <c r="A39" s="1">
        <v>45715</v>
      </c>
      <c r="B39">
        <v>5861.57</v>
      </c>
      <c r="C39">
        <v>5860</v>
      </c>
      <c r="D39">
        <v>0.17633296300000001</v>
      </c>
      <c r="E39">
        <v>4.3038999999999994E-2</v>
      </c>
      <c r="F39" s="8">
        <f t="shared" si="0"/>
        <v>8.2191780821917804E-2</v>
      </c>
      <c r="G39">
        <f t="shared" si="1"/>
        <v>0.54004637933451605</v>
      </c>
      <c r="H39">
        <f t="shared" si="2"/>
        <v>-0.45995362066548395</v>
      </c>
      <c r="I39">
        <f t="shared" si="3"/>
        <v>8.0092758669032094E-2</v>
      </c>
      <c r="J39">
        <f t="shared" si="4"/>
        <v>-8.0092758669032094E-2</v>
      </c>
    </row>
    <row r="40" spans="1:10" x14ac:dyDescent="0.25">
      <c r="A40" s="1">
        <v>45716</v>
      </c>
      <c r="B40">
        <v>5954.5</v>
      </c>
      <c r="C40">
        <v>5955</v>
      </c>
      <c r="D40">
        <v>0.158038333</v>
      </c>
      <c r="E40">
        <v>4.2931999999999998E-2</v>
      </c>
      <c r="F40" s="8">
        <f t="shared" si="0"/>
        <v>8.2191780821917804E-2</v>
      </c>
      <c r="G40">
        <f t="shared" si="1"/>
        <v>0.53930465998591526</v>
      </c>
      <c r="H40">
        <f t="shared" si="2"/>
        <v>-0.46069534001408474</v>
      </c>
      <c r="I40">
        <f t="shared" si="3"/>
        <v>7.8609319971830516E-2</v>
      </c>
      <c r="J40">
        <f t="shared" si="4"/>
        <v>-7.8609319971830516E-2</v>
      </c>
    </row>
    <row r="41" spans="1:10" x14ac:dyDescent="0.25">
      <c r="A41" s="1">
        <v>45719</v>
      </c>
      <c r="B41">
        <v>5849.72</v>
      </c>
      <c r="C41">
        <v>5850</v>
      </c>
      <c r="D41">
        <v>0.18350222199999999</v>
      </c>
      <c r="E41">
        <v>4.3105999999999998E-2</v>
      </c>
      <c r="F41" s="8">
        <f t="shared" si="0"/>
        <v>8.2191780821917804E-2</v>
      </c>
      <c r="G41">
        <f t="shared" si="1"/>
        <v>0.53694502594670801</v>
      </c>
      <c r="H41">
        <f t="shared" si="2"/>
        <v>-0.46305497405329199</v>
      </c>
      <c r="I41">
        <f t="shared" si="3"/>
        <v>7.389005189341602E-2</v>
      </c>
      <c r="J41">
        <f t="shared" si="4"/>
        <v>-7.389005189341602E-2</v>
      </c>
    </row>
    <row r="42" spans="1:10" x14ac:dyDescent="0.25">
      <c r="A42" s="1">
        <v>45720</v>
      </c>
      <c r="B42">
        <v>5778.15</v>
      </c>
      <c r="C42">
        <v>5780</v>
      </c>
      <c r="D42">
        <v>0.19487907400000001</v>
      </c>
      <c r="E42">
        <v>4.3177E-2</v>
      </c>
      <c r="F42" s="8">
        <f t="shared" si="0"/>
        <v>8.2191780821917804E-2</v>
      </c>
      <c r="G42">
        <f t="shared" si="1"/>
        <v>0.53415708734452261</v>
      </c>
      <c r="H42">
        <f t="shared" si="2"/>
        <v>-0.46584291265547739</v>
      </c>
      <c r="I42">
        <f t="shared" si="3"/>
        <v>6.8314174689045215E-2</v>
      </c>
      <c r="J42">
        <f t="shared" si="4"/>
        <v>-6.8314174689045215E-2</v>
      </c>
    </row>
    <row r="43" spans="1:10" x14ac:dyDescent="0.25">
      <c r="A43" s="1">
        <v>45721</v>
      </c>
      <c r="B43">
        <v>5842.63</v>
      </c>
      <c r="C43">
        <v>5845</v>
      </c>
      <c r="D43">
        <v>0.18432185200000001</v>
      </c>
      <c r="E43">
        <v>4.3043999999999999E-2</v>
      </c>
      <c r="F43" s="8">
        <f t="shared" si="0"/>
        <v>8.2191780821917804E-2</v>
      </c>
      <c r="G43">
        <f t="shared" si="1"/>
        <v>0.53414633064669148</v>
      </c>
      <c r="H43">
        <f t="shared" si="2"/>
        <v>-0.46585366935330852</v>
      </c>
      <c r="I43">
        <f t="shared" si="3"/>
        <v>6.8292661293382961E-2</v>
      </c>
      <c r="J43">
        <f t="shared" si="4"/>
        <v>-6.8292661293382961E-2</v>
      </c>
    </row>
    <row r="44" spans="1:10" x14ac:dyDescent="0.25">
      <c r="A44" s="1">
        <v>45722</v>
      </c>
      <c r="B44">
        <v>5738.52</v>
      </c>
      <c r="C44">
        <v>5740</v>
      </c>
      <c r="D44">
        <v>0.21380444400000001</v>
      </c>
      <c r="E44">
        <v>4.3014000000000004E-2</v>
      </c>
      <c r="F44" s="8">
        <f t="shared" si="0"/>
        <v>8.2191780821917804E-2</v>
      </c>
      <c r="G44">
        <f t="shared" si="1"/>
        <v>0.53351889482105064</v>
      </c>
      <c r="H44">
        <f t="shared" si="2"/>
        <v>-0.46648110517894936</v>
      </c>
      <c r="I44">
        <f t="shared" si="3"/>
        <v>6.7037789642101275E-2</v>
      </c>
      <c r="J44">
        <f t="shared" si="4"/>
        <v>-6.7037789642101275E-2</v>
      </c>
    </row>
    <row r="45" spans="1:10" x14ac:dyDescent="0.25">
      <c r="A45" s="1">
        <v>45723</v>
      </c>
      <c r="B45">
        <v>5770.2</v>
      </c>
      <c r="C45">
        <v>5770</v>
      </c>
      <c r="D45">
        <v>0.19796277800000001</v>
      </c>
      <c r="E45">
        <v>4.2855999999999998E-2</v>
      </c>
      <c r="F45" s="8">
        <f t="shared" si="0"/>
        <v>8.2191780821917804E-2</v>
      </c>
      <c r="G45">
        <f t="shared" si="1"/>
        <v>0.5362744323815587</v>
      </c>
      <c r="H45">
        <f t="shared" si="2"/>
        <v>-0.4637255676184413</v>
      </c>
      <c r="I45">
        <f t="shared" si="3"/>
        <v>7.2548864763117393E-2</v>
      </c>
      <c r="J45">
        <f t="shared" si="4"/>
        <v>-7.2548864763117393E-2</v>
      </c>
    </row>
    <row r="46" spans="1:10" x14ac:dyDescent="0.25">
      <c r="A46" s="1">
        <v>45726</v>
      </c>
      <c r="B46">
        <v>5614.56</v>
      </c>
      <c r="C46">
        <v>5615</v>
      </c>
      <c r="D46">
        <v>0.22893074099999999</v>
      </c>
      <c r="E46">
        <v>4.2952999999999998E-2</v>
      </c>
      <c r="F46" s="8">
        <f t="shared" si="0"/>
        <v>8.2191780821917804E-2</v>
      </c>
      <c r="G46">
        <f t="shared" si="1"/>
        <v>0.53403325683449554</v>
      </c>
      <c r="H46">
        <f t="shared" si="2"/>
        <v>-0.46596674316550446</v>
      </c>
      <c r="I46">
        <f t="shared" si="3"/>
        <v>6.806651366899108E-2</v>
      </c>
      <c r="J46">
        <f t="shared" si="4"/>
        <v>-6.806651366899108E-2</v>
      </c>
    </row>
    <row r="47" spans="1:10" x14ac:dyDescent="0.25">
      <c r="A47" s="1">
        <v>45727</v>
      </c>
      <c r="B47">
        <v>5572.07</v>
      </c>
      <c r="C47">
        <v>5570</v>
      </c>
      <c r="D47">
        <v>0.23091055599999999</v>
      </c>
      <c r="E47">
        <v>4.2972999999999997E-2</v>
      </c>
      <c r="F47" s="8">
        <f t="shared" si="0"/>
        <v>8.2191780821917804E-2</v>
      </c>
      <c r="G47">
        <f t="shared" si="1"/>
        <v>0.53667745679386203</v>
      </c>
      <c r="H47">
        <f t="shared" si="2"/>
        <v>-0.46332254320613797</v>
      </c>
      <c r="I47">
        <f t="shared" si="3"/>
        <v>7.3354913587724058E-2</v>
      </c>
      <c r="J47">
        <f t="shared" si="4"/>
        <v>-7.3354913587724058E-2</v>
      </c>
    </row>
    <row r="48" spans="1:10" x14ac:dyDescent="0.25">
      <c r="A48" s="1">
        <v>45728</v>
      </c>
      <c r="B48">
        <v>5599.3</v>
      </c>
      <c r="C48">
        <v>5600</v>
      </c>
      <c r="D48">
        <v>0.20916611099999999</v>
      </c>
      <c r="E48">
        <v>4.2763999999999996E-2</v>
      </c>
      <c r="F48" s="8">
        <f t="shared" si="0"/>
        <v>8.2191780821917804E-2</v>
      </c>
      <c r="G48">
        <f t="shared" si="1"/>
        <v>0.53447043646667713</v>
      </c>
      <c r="H48">
        <f t="shared" si="2"/>
        <v>-0.46552956353332287</v>
      </c>
      <c r="I48">
        <f t="shared" si="3"/>
        <v>6.8940872933354269E-2</v>
      </c>
      <c r="J48">
        <f t="shared" si="4"/>
        <v>-6.8940872933354269E-2</v>
      </c>
    </row>
    <row r="49" spans="1:10" x14ac:dyDescent="0.25">
      <c r="A49" s="1">
        <v>45729</v>
      </c>
      <c r="B49">
        <v>5521.52</v>
      </c>
      <c r="C49">
        <v>5520</v>
      </c>
      <c r="D49">
        <v>0.217734444</v>
      </c>
      <c r="E49">
        <v>4.2809999999999994E-2</v>
      </c>
      <c r="F49" s="8">
        <f t="shared" si="0"/>
        <v>8.2191780821917804E-2</v>
      </c>
      <c r="G49">
        <f t="shared" si="1"/>
        <v>0.53664695856047118</v>
      </c>
      <c r="H49">
        <f t="shared" si="2"/>
        <v>-0.46335304143952882</v>
      </c>
      <c r="I49">
        <f t="shared" si="3"/>
        <v>7.3293917120942353E-2</v>
      </c>
      <c r="J49">
        <f t="shared" si="4"/>
        <v>-7.3293917120942353E-2</v>
      </c>
    </row>
    <row r="50" spans="1:10" x14ac:dyDescent="0.25">
      <c r="A50" s="1">
        <v>45730</v>
      </c>
      <c r="B50">
        <v>5638.94</v>
      </c>
      <c r="C50">
        <v>5640</v>
      </c>
      <c r="D50">
        <v>0.18848388899999999</v>
      </c>
      <c r="E50">
        <v>4.2855999999999998E-2</v>
      </c>
      <c r="F50" s="8">
        <f t="shared" si="0"/>
        <v>8.2191780821917804E-2</v>
      </c>
      <c r="G50">
        <f t="shared" si="1"/>
        <v>0.5353499738894727</v>
      </c>
      <c r="H50">
        <f t="shared" si="2"/>
        <v>-0.4646500261105273</v>
      </c>
      <c r="I50">
        <f t="shared" si="3"/>
        <v>7.0699947778945393E-2</v>
      </c>
      <c r="J50">
        <f t="shared" si="4"/>
        <v>-7.0699947778945393E-2</v>
      </c>
    </row>
    <row r="51" spans="1:10" x14ac:dyDescent="0.25">
      <c r="A51" s="1">
        <v>45733</v>
      </c>
      <c r="B51">
        <v>5675.12</v>
      </c>
      <c r="C51">
        <v>5675</v>
      </c>
      <c r="D51">
        <v>0.175330926</v>
      </c>
      <c r="E51">
        <v>4.3029000000000005E-2</v>
      </c>
      <c r="F51" s="8">
        <f t="shared" si="0"/>
        <v>8.2191780821917804E-2</v>
      </c>
      <c r="G51">
        <f t="shared" si="1"/>
        <v>0.53820481983399893</v>
      </c>
      <c r="H51">
        <f t="shared" si="2"/>
        <v>-0.46179518016600107</v>
      </c>
      <c r="I51">
        <f t="shared" si="3"/>
        <v>7.6409639667997853E-2</v>
      </c>
      <c r="J51">
        <f t="shared" si="4"/>
        <v>-7.6409639667997853E-2</v>
      </c>
    </row>
    <row r="52" spans="1:10" x14ac:dyDescent="0.25">
      <c r="A52" s="1">
        <v>45734</v>
      </c>
      <c r="B52">
        <v>5614.66</v>
      </c>
      <c r="C52">
        <v>5615</v>
      </c>
      <c r="D52">
        <v>0.18795000000000001</v>
      </c>
      <c r="E52">
        <v>4.2972999999999997E-2</v>
      </c>
      <c r="F52" s="8">
        <f t="shared" si="0"/>
        <v>8.2191780821917804E-2</v>
      </c>
      <c r="G52">
        <f t="shared" si="1"/>
        <v>0.53639959831134243</v>
      </c>
      <c r="H52">
        <f t="shared" si="2"/>
        <v>-0.46360040168865757</v>
      </c>
      <c r="I52">
        <f t="shared" si="3"/>
        <v>7.2799196622684859E-2</v>
      </c>
      <c r="J52">
        <f t="shared" si="4"/>
        <v>-7.2799196622684859E-2</v>
      </c>
    </row>
    <row r="53" spans="1:10" x14ac:dyDescent="0.25">
      <c r="A53" s="1">
        <v>45735</v>
      </c>
      <c r="B53">
        <v>5675.29</v>
      </c>
      <c r="C53">
        <v>5675</v>
      </c>
      <c r="D53">
        <v>0.172765</v>
      </c>
      <c r="E53">
        <v>4.2916999999999997E-2</v>
      </c>
      <c r="F53" s="8">
        <f t="shared" si="0"/>
        <v>8.2191780821917804E-2</v>
      </c>
      <c r="G53">
        <f t="shared" si="1"/>
        <v>0.53864254507109344</v>
      </c>
      <c r="H53">
        <f t="shared" si="2"/>
        <v>-0.46135745492890656</v>
      </c>
      <c r="I53">
        <f t="shared" si="3"/>
        <v>7.7285090142186874E-2</v>
      </c>
      <c r="J53">
        <f t="shared" si="4"/>
        <v>-7.7285090142186874E-2</v>
      </c>
    </row>
    <row r="54" spans="1:10" x14ac:dyDescent="0.25">
      <c r="A54" s="1">
        <v>45736</v>
      </c>
      <c r="B54">
        <v>5662.89</v>
      </c>
      <c r="C54">
        <v>5665</v>
      </c>
      <c r="D54">
        <v>0.17236000000000001</v>
      </c>
      <c r="E54">
        <v>4.2861000000000003E-2</v>
      </c>
      <c r="F54" s="8">
        <f t="shared" si="0"/>
        <v>8.2191780821917804E-2</v>
      </c>
      <c r="G54">
        <f t="shared" si="1"/>
        <v>0.53524443297015645</v>
      </c>
      <c r="H54">
        <f t="shared" si="2"/>
        <v>-0.46475556702984355</v>
      </c>
      <c r="I54">
        <f t="shared" si="3"/>
        <v>7.0488865940312895E-2</v>
      </c>
      <c r="J54">
        <f t="shared" si="4"/>
        <v>-7.0488865940312895E-2</v>
      </c>
    </row>
    <row r="55" spans="1:10" x14ac:dyDescent="0.25">
      <c r="A55" s="1">
        <v>45737</v>
      </c>
      <c r="B55">
        <v>5667.56</v>
      </c>
      <c r="C55">
        <v>5670</v>
      </c>
      <c r="D55">
        <v>0.16874603399999999</v>
      </c>
      <c r="E55">
        <v>4.2752999999999999E-2</v>
      </c>
      <c r="F55" s="8">
        <f t="shared" si="0"/>
        <v>8.2191780821917804E-2</v>
      </c>
      <c r="G55">
        <f t="shared" si="1"/>
        <v>0.53503266098296764</v>
      </c>
      <c r="H55">
        <f t="shared" si="2"/>
        <v>-0.46496733901703236</v>
      </c>
      <c r="I55">
        <f t="shared" si="3"/>
        <v>7.006532196593529E-2</v>
      </c>
      <c r="J55">
        <f t="shared" si="4"/>
        <v>-7.006532196593529E-2</v>
      </c>
    </row>
    <row r="56" spans="1:10" x14ac:dyDescent="0.25">
      <c r="A56" s="1">
        <v>45740</v>
      </c>
      <c r="B56">
        <v>5767.57</v>
      </c>
      <c r="C56">
        <v>5770</v>
      </c>
      <c r="D56">
        <v>0.149143793</v>
      </c>
      <c r="E56">
        <v>4.2824999999999995E-2</v>
      </c>
      <c r="F56" s="8">
        <f t="shared" si="0"/>
        <v>8.2191780821917804E-2</v>
      </c>
      <c r="G56">
        <f t="shared" si="1"/>
        <v>0.53738496492589083</v>
      </c>
      <c r="H56">
        <f t="shared" si="2"/>
        <v>-0.46261503507410917</v>
      </c>
      <c r="I56">
        <f t="shared" si="3"/>
        <v>7.4769929851781658E-2</v>
      </c>
      <c r="J56">
        <f t="shared" si="4"/>
        <v>-7.4769929851781658E-2</v>
      </c>
    </row>
    <row r="57" spans="1:10" x14ac:dyDescent="0.25">
      <c r="A57" s="1">
        <v>45741</v>
      </c>
      <c r="B57">
        <v>5776.65</v>
      </c>
      <c r="C57">
        <v>5775</v>
      </c>
      <c r="D57">
        <v>0.147548966</v>
      </c>
      <c r="E57">
        <v>4.2896000000000004E-2</v>
      </c>
      <c r="F57" s="8">
        <f t="shared" si="0"/>
        <v>8.2191780821917804E-2</v>
      </c>
      <c r="G57">
        <f t="shared" si="1"/>
        <v>0.54429165090963672</v>
      </c>
      <c r="H57">
        <f t="shared" si="2"/>
        <v>-0.45570834909036328</v>
      </c>
      <c r="I57">
        <f t="shared" si="3"/>
        <v>8.858330181927343E-2</v>
      </c>
      <c r="J57">
        <f t="shared" si="4"/>
        <v>-8.858330181927343E-2</v>
      </c>
    </row>
    <row r="58" spans="1:10" x14ac:dyDescent="0.25">
      <c r="A58" s="1">
        <v>45742</v>
      </c>
      <c r="B58">
        <v>5712.2</v>
      </c>
      <c r="C58">
        <v>5710</v>
      </c>
      <c r="D58">
        <v>0.161085172</v>
      </c>
      <c r="E58">
        <v>4.2891000000000006E-2</v>
      </c>
      <c r="F58" s="8">
        <f t="shared" si="0"/>
        <v>8.2191780821917804E-2</v>
      </c>
      <c r="G58">
        <f t="shared" si="1"/>
        <v>0.54290986763322047</v>
      </c>
      <c r="H58">
        <f t="shared" si="2"/>
        <v>-0.45709013236677953</v>
      </c>
      <c r="I58">
        <f t="shared" si="3"/>
        <v>8.5819735266440933E-2</v>
      </c>
      <c r="J58">
        <f t="shared" si="4"/>
        <v>-8.5819735266440933E-2</v>
      </c>
    </row>
    <row r="59" spans="1:10" x14ac:dyDescent="0.25">
      <c r="A59" s="1">
        <v>45743</v>
      </c>
      <c r="B59">
        <v>5693.31</v>
      </c>
      <c r="C59">
        <v>5695</v>
      </c>
      <c r="D59">
        <v>0.165721379</v>
      </c>
      <c r="E59">
        <v>4.3064999999999999E-2</v>
      </c>
      <c r="F59" s="8">
        <f t="shared" si="0"/>
        <v>8.2191780821917804E-2</v>
      </c>
      <c r="G59">
        <f t="shared" si="1"/>
        <v>0.5366546259730014</v>
      </c>
      <c r="H59">
        <f t="shared" si="2"/>
        <v>-0.4633453740269986</v>
      </c>
      <c r="I59">
        <f t="shared" si="3"/>
        <v>7.3309251946002796E-2</v>
      </c>
      <c r="J59">
        <f t="shared" si="4"/>
        <v>-7.3309251946002796E-2</v>
      </c>
    </row>
    <row r="60" spans="1:10" x14ac:dyDescent="0.25">
      <c r="A60" s="1">
        <v>45744</v>
      </c>
      <c r="B60">
        <v>5580.94</v>
      </c>
      <c r="C60">
        <v>5580</v>
      </c>
      <c r="D60">
        <v>0.191840862</v>
      </c>
      <c r="E60">
        <v>4.2599999999999999E-2</v>
      </c>
      <c r="F60" s="8">
        <f t="shared" si="0"/>
        <v>8.2191780821917804E-2</v>
      </c>
      <c r="G60">
        <f t="shared" si="1"/>
        <v>0.53753461443547024</v>
      </c>
      <c r="H60">
        <f t="shared" si="2"/>
        <v>-0.46246538556452976</v>
      </c>
      <c r="I60">
        <f t="shared" si="3"/>
        <v>7.5069228870940474E-2</v>
      </c>
      <c r="J60">
        <f t="shared" si="4"/>
        <v>-7.5069228870940474E-2</v>
      </c>
    </row>
    <row r="61" spans="1:10" x14ac:dyDescent="0.25">
      <c r="A61" s="1">
        <v>45747</v>
      </c>
      <c r="B61">
        <v>5611.85</v>
      </c>
      <c r="C61">
        <v>5610</v>
      </c>
      <c r="D61">
        <v>0.188324828</v>
      </c>
      <c r="E61">
        <v>4.2977999999999995E-2</v>
      </c>
      <c r="F61" s="8">
        <f t="shared" si="0"/>
        <v>8.2191780821917804E-2</v>
      </c>
      <c r="G61">
        <f t="shared" si="1"/>
        <v>0.53924376582480904</v>
      </c>
      <c r="H61">
        <f t="shared" si="2"/>
        <v>-0.46075623417519096</v>
      </c>
      <c r="I61">
        <f t="shared" si="3"/>
        <v>7.8487531649618081E-2</v>
      </c>
      <c r="J61">
        <f t="shared" si="4"/>
        <v>-7.8487531649618081E-2</v>
      </c>
    </row>
    <row r="62" spans="1:10" x14ac:dyDescent="0.25">
      <c r="A62" s="1">
        <v>45748</v>
      </c>
      <c r="B62">
        <v>5633.07</v>
      </c>
      <c r="C62">
        <v>5635</v>
      </c>
      <c r="D62">
        <v>0.18690241399999999</v>
      </c>
      <c r="E62">
        <v>4.3075000000000002E-2</v>
      </c>
      <c r="F62" s="8">
        <f t="shared" si="0"/>
        <v>8.2191780821917804E-2</v>
      </c>
      <c r="G62">
        <f t="shared" si="1"/>
        <v>0.53445425530527557</v>
      </c>
      <c r="H62">
        <f t="shared" si="2"/>
        <v>-0.46554574469472443</v>
      </c>
      <c r="I62">
        <f t="shared" si="3"/>
        <v>6.8908510610551144E-2</v>
      </c>
      <c r="J62">
        <f t="shared" si="4"/>
        <v>-6.8908510610551144E-2</v>
      </c>
    </row>
    <row r="63" spans="1:10" x14ac:dyDescent="0.25">
      <c r="A63" s="1">
        <v>45749</v>
      </c>
      <c r="B63">
        <v>5670.97</v>
      </c>
      <c r="C63">
        <v>5670</v>
      </c>
      <c r="D63">
        <v>0.18502603400000001</v>
      </c>
      <c r="E63">
        <v>4.3019000000000002E-2</v>
      </c>
      <c r="F63" s="8">
        <f t="shared" si="0"/>
        <v>8.2191780821917804E-2</v>
      </c>
      <c r="G63">
        <f t="shared" si="1"/>
        <v>0.53840007933286538</v>
      </c>
      <c r="H63">
        <f t="shared" si="2"/>
        <v>-0.46159992066713462</v>
      </c>
      <c r="I63">
        <f t="shared" si="3"/>
        <v>7.6800158665730756E-2</v>
      </c>
      <c r="J63">
        <f t="shared" si="4"/>
        <v>-7.6800158665730756E-2</v>
      </c>
    </row>
    <row r="64" spans="1:10" x14ac:dyDescent="0.25">
      <c r="A64" s="1">
        <v>45750</v>
      </c>
      <c r="B64">
        <v>5396.52</v>
      </c>
      <c r="C64">
        <v>5395</v>
      </c>
      <c r="D64">
        <v>0.25583620699999998</v>
      </c>
      <c r="E64">
        <v>4.3014000000000004E-2</v>
      </c>
      <c r="F64" s="8">
        <f t="shared" si="0"/>
        <v>8.2191780821917804E-2</v>
      </c>
      <c r="G64">
        <f t="shared" si="1"/>
        <v>0.53534594607109209</v>
      </c>
      <c r="H64">
        <f t="shared" si="2"/>
        <v>-0.46465405392890791</v>
      </c>
      <c r="I64">
        <f t="shared" si="3"/>
        <v>7.0691892142184187E-2</v>
      </c>
      <c r="J64">
        <f t="shared" si="4"/>
        <v>-7.0691892142184187E-2</v>
      </c>
    </row>
    <row r="65" spans="1:10" x14ac:dyDescent="0.25">
      <c r="A65" s="1">
        <v>45751</v>
      </c>
      <c r="B65">
        <v>5074.08</v>
      </c>
      <c r="C65">
        <v>5075</v>
      </c>
      <c r="D65">
        <v>0.38442862100000003</v>
      </c>
      <c r="E65">
        <v>4.2728000000000002E-2</v>
      </c>
      <c r="F65" s="8">
        <f t="shared" si="0"/>
        <v>8.2191780821917804E-2</v>
      </c>
      <c r="G65">
        <f t="shared" si="1"/>
        <v>0.53399886389723439</v>
      </c>
      <c r="H65">
        <f t="shared" si="2"/>
        <v>-0.46600113610276561</v>
      </c>
      <c r="I65">
        <f t="shared" si="3"/>
        <v>6.7997727794468776E-2</v>
      </c>
      <c r="J65">
        <f t="shared" si="4"/>
        <v>-6.7997727794468776E-2</v>
      </c>
    </row>
    <row r="66" spans="1:10" x14ac:dyDescent="0.25">
      <c r="A66" s="1">
        <v>45754</v>
      </c>
      <c r="B66">
        <v>5062.25</v>
      </c>
      <c r="C66">
        <v>5060</v>
      </c>
      <c r="D66">
        <v>0.406497414</v>
      </c>
      <c r="E66">
        <v>4.2977999999999995E-2</v>
      </c>
      <c r="F66" s="8">
        <f t="shared" si="0"/>
        <v>8.2191780821917804E-2</v>
      </c>
      <c r="G66">
        <f t="shared" si="1"/>
        <v>0.53680808636258903</v>
      </c>
      <c r="H66">
        <f t="shared" si="2"/>
        <v>-0.46319191363741097</v>
      </c>
      <c r="I66">
        <f t="shared" si="3"/>
        <v>7.3616172725178064E-2</v>
      </c>
      <c r="J66">
        <f t="shared" si="4"/>
        <v>-7.3616172725178064E-2</v>
      </c>
    </row>
    <row r="67" spans="1:10" x14ac:dyDescent="0.25">
      <c r="A67" s="1">
        <v>45755</v>
      </c>
      <c r="B67">
        <v>4982.7700000000004</v>
      </c>
      <c r="C67">
        <v>4985</v>
      </c>
      <c r="D67">
        <v>0.43813068999999999</v>
      </c>
      <c r="E67">
        <v>4.3075000000000002E-2</v>
      </c>
      <c r="F67" s="8">
        <f t="shared" ref="F67:F130" si="5">30/365</f>
        <v>8.2191780821917804E-2</v>
      </c>
      <c r="G67">
        <f t="shared" ref="G67:G130" si="6">_xlfn.NORM.S.DIST((LN(B67/C67)+(E67+0.5*(D67)^2)*F67)/(D67*SQRT(F67)),TRUE)</f>
        <v>0.53483435495801013</v>
      </c>
      <c r="H67">
        <f t="shared" ref="H67:H130" si="7">G67-1</f>
        <v>-0.46516564504198987</v>
      </c>
      <c r="I67">
        <f t="shared" ref="I67:I130" si="8">G67+H67</f>
        <v>6.9668709916020255E-2</v>
      </c>
      <c r="J67">
        <f t="shared" ref="J67:J130" si="9">-I67</f>
        <v>-6.9668709916020255E-2</v>
      </c>
    </row>
    <row r="68" spans="1:10" x14ac:dyDescent="0.25">
      <c r="A68" s="1">
        <v>45756</v>
      </c>
      <c r="B68">
        <v>5456.9</v>
      </c>
      <c r="C68">
        <v>5455</v>
      </c>
      <c r="D68">
        <v>0.27596999999999999</v>
      </c>
      <c r="E68">
        <v>4.2942000000000001E-2</v>
      </c>
      <c r="F68" s="8">
        <f t="shared" si="5"/>
        <v>8.2191780821917804E-2</v>
      </c>
      <c r="G68">
        <f t="shared" si="6"/>
        <v>0.53528852360316725</v>
      </c>
      <c r="H68">
        <f t="shared" si="7"/>
        <v>-0.46471147639683275</v>
      </c>
      <c r="I68">
        <f t="shared" si="8"/>
        <v>7.0577047206334509E-2</v>
      </c>
      <c r="J68">
        <f t="shared" si="9"/>
        <v>-7.0577047206334509E-2</v>
      </c>
    </row>
    <row r="69" spans="1:10" x14ac:dyDescent="0.25">
      <c r="A69" s="1">
        <v>45757</v>
      </c>
      <c r="B69">
        <v>5268.05</v>
      </c>
      <c r="C69">
        <v>5270</v>
      </c>
      <c r="D69">
        <v>0.36169672400000002</v>
      </c>
      <c r="E69">
        <v>4.2911999999999999E-2</v>
      </c>
      <c r="F69" s="8">
        <f t="shared" si="5"/>
        <v>8.2191780821917804E-2</v>
      </c>
      <c r="G69">
        <f t="shared" si="6"/>
        <v>0.53279269871061419</v>
      </c>
      <c r="H69">
        <f t="shared" si="7"/>
        <v>-0.46720730128938581</v>
      </c>
      <c r="I69">
        <f t="shared" si="8"/>
        <v>6.5585397421228375E-2</v>
      </c>
      <c r="J69">
        <f t="shared" si="9"/>
        <v>-6.5585397421228375E-2</v>
      </c>
    </row>
    <row r="70" spans="1:10" x14ac:dyDescent="0.25">
      <c r="A70" s="1">
        <v>45758</v>
      </c>
      <c r="B70">
        <v>5363.36</v>
      </c>
      <c r="C70">
        <v>5365</v>
      </c>
      <c r="D70">
        <v>0.32767569000000002</v>
      </c>
      <c r="E70">
        <v>4.2752999999999999E-2</v>
      </c>
      <c r="F70" s="8">
        <f t="shared" si="5"/>
        <v>8.2191780821917804E-2</v>
      </c>
      <c r="G70">
        <f t="shared" si="6"/>
        <v>0.53232751981745807</v>
      </c>
      <c r="H70">
        <f t="shared" si="7"/>
        <v>-0.46767248018254193</v>
      </c>
      <c r="I70">
        <f t="shared" si="8"/>
        <v>6.4655039634916145E-2</v>
      </c>
      <c r="J70">
        <f t="shared" si="9"/>
        <v>-6.4655039634916145E-2</v>
      </c>
    </row>
    <row r="71" spans="1:10" x14ac:dyDescent="0.25">
      <c r="A71" s="1">
        <v>45761</v>
      </c>
      <c r="B71">
        <v>5405.97</v>
      </c>
      <c r="C71">
        <v>5405</v>
      </c>
      <c r="D71">
        <v>0.257250172</v>
      </c>
      <c r="E71">
        <v>4.2849999999999999E-2</v>
      </c>
      <c r="F71" s="8">
        <f t="shared" si="5"/>
        <v>8.2191780821917804E-2</v>
      </c>
      <c r="G71">
        <f t="shared" si="6"/>
        <v>0.53468918763799855</v>
      </c>
      <c r="H71">
        <f t="shared" si="7"/>
        <v>-0.46531081236200145</v>
      </c>
      <c r="I71">
        <f t="shared" si="8"/>
        <v>6.9378375275997106E-2</v>
      </c>
      <c r="J71">
        <f t="shared" si="9"/>
        <v>-6.9378375275997106E-2</v>
      </c>
    </row>
    <row r="72" spans="1:10" x14ac:dyDescent="0.25">
      <c r="A72" s="1">
        <v>45762</v>
      </c>
      <c r="B72">
        <v>5396.63</v>
      </c>
      <c r="C72">
        <v>5395</v>
      </c>
      <c r="D72">
        <v>0.24702017200000001</v>
      </c>
      <c r="E72">
        <v>4.2896000000000004E-2</v>
      </c>
      <c r="F72" s="8">
        <f t="shared" si="5"/>
        <v>8.2191780821917804E-2</v>
      </c>
      <c r="G72">
        <f t="shared" si="6"/>
        <v>0.53564178378551852</v>
      </c>
      <c r="H72">
        <f t="shared" si="7"/>
        <v>-0.46435821621448148</v>
      </c>
      <c r="I72">
        <f t="shared" si="8"/>
        <v>7.1283567571037043E-2</v>
      </c>
      <c r="J72">
        <f t="shared" si="9"/>
        <v>-7.1283567571037043E-2</v>
      </c>
    </row>
    <row r="73" spans="1:10" x14ac:dyDescent="0.25">
      <c r="A73" s="1">
        <v>45763</v>
      </c>
      <c r="B73">
        <v>5275.7</v>
      </c>
      <c r="C73">
        <v>5275</v>
      </c>
      <c r="D73">
        <v>0.27918999999999999</v>
      </c>
      <c r="E73">
        <v>4.2839999999999996E-2</v>
      </c>
      <c r="F73" s="8">
        <f t="shared" si="5"/>
        <v>8.2191780821917804E-2</v>
      </c>
      <c r="G73">
        <f t="shared" si="6"/>
        <v>0.53413540240813506</v>
      </c>
      <c r="H73">
        <f t="shared" si="7"/>
        <v>-0.46586459759186494</v>
      </c>
      <c r="I73">
        <f t="shared" si="8"/>
        <v>6.8270804816270125E-2</v>
      </c>
      <c r="J73">
        <f t="shared" si="9"/>
        <v>-6.8270804816270125E-2</v>
      </c>
    </row>
    <row r="74" spans="1:10" x14ac:dyDescent="0.25">
      <c r="A74" s="1">
        <v>45764</v>
      </c>
      <c r="B74">
        <v>5282.7</v>
      </c>
      <c r="C74">
        <v>5285</v>
      </c>
      <c r="D74">
        <v>0.25080999999999998</v>
      </c>
      <c r="E74">
        <v>4.2743999999999997E-2</v>
      </c>
      <c r="F74" s="8">
        <f t="shared" si="5"/>
        <v>8.2191780821917804E-2</v>
      </c>
      <c r="G74">
        <f t="shared" si="6"/>
        <v>0.53138737454542306</v>
      </c>
      <c r="H74">
        <f t="shared" si="7"/>
        <v>-0.46861262545457694</v>
      </c>
      <c r="I74">
        <f t="shared" si="8"/>
        <v>6.2774749090846127E-2</v>
      </c>
      <c r="J74">
        <f t="shared" si="9"/>
        <v>-6.2774749090846127E-2</v>
      </c>
    </row>
    <row r="75" spans="1:10" x14ac:dyDescent="0.25">
      <c r="A75" s="1">
        <v>45768</v>
      </c>
      <c r="B75">
        <v>5158.2</v>
      </c>
      <c r="C75">
        <v>5160</v>
      </c>
      <c r="D75">
        <v>0.28958428600000002</v>
      </c>
      <c r="E75">
        <v>4.3004000000000001E-2</v>
      </c>
      <c r="F75" s="8">
        <f t="shared" si="5"/>
        <v>8.2191780821917804E-2</v>
      </c>
      <c r="G75">
        <f t="shared" si="6"/>
        <v>0.531834627633329</v>
      </c>
      <c r="H75">
        <f t="shared" si="7"/>
        <v>-0.468165372366671</v>
      </c>
      <c r="I75">
        <f t="shared" si="8"/>
        <v>6.3669255266658009E-2</v>
      </c>
      <c r="J75">
        <f t="shared" si="9"/>
        <v>-6.3669255266658009E-2</v>
      </c>
    </row>
    <row r="76" spans="1:10" x14ac:dyDescent="0.25">
      <c r="A76" s="1">
        <v>45769</v>
      </c>
      <c r="B76">
        <v>5287.76</v>
      </c>
      <c r="C76">
        <v>5290</v>
      </c>
      <c r="D76">
        <v>0.25571571399999998</v>
      </c>
      <c r="E76">
        <v>4.2667000000000004E-2</v>
      </c>
      <c r="F76" s="8">
        <f t="shared" si="5"/>
        <v>8.2191780821917804E-2</v>
      </c>
      <c r="G76">
        <f t="shared" si="6"/>
        <v>0.53136991066388461</v>
      </c>
      <c r="H76">
        <f t="shared" si="7"/>
        <v>-0.46863008933611539</v>
      </c>
      <c r="I76">
        <f t="shared" si="8"/>
        <v>6.273982132776923E-2</v>
      </c>
      <c r="J76">
        <f t="shared" si="9"/>
        <v>-6.273982132776923E-2</v>
      </c>
    </row>
    <row r="77" spans="1:10" x14ac:dyDescent="0.25">
      <c r="A77" s="1">
        <v>45770</v>
      </c>
      <c r="B77">
        <v>5375.86</v>
      </c>
      <c r="C77">
        <v>5375</v>
      </c>
      <c r="D77">
        <v>0.24693699999999999</v>
      </c>
      <c r="E77">
        <v>4.2636E-2</v>
      </c>
      <c r="F77" s="8">
        <f t="shared" si="5"/>
        <v>8.2191780821917804E-2</v>
      </c>
      <c r="G77">
        <f t="shared" si="6"/>
        <v>0.5347266863168646</v>
      </c>
      <c r="H77">
        <f t="shared" si="7"/>
        <v>-0.4652733136831354</v>
      </c>
      <c r="I77">
        <f t="shared" si="8"/>
        <v>6.9453372633729193E-2</v>
      </c>
      <c r="J77">
        <f t="shared" si="9"/>
        <v>-6.9453372633729193E-2</v>
      </c>
    </row>
    <row r="78" spans="1:10" x14ac:dyDescent="0.25">
      <c r="A78" s="1">
        <v>45771</v>
      </c>
      <c r="B78">
        <v>5484.77</v>
      </c>
      <c r="C78">
        <v>5485</v>
      </c>
      <c r="D78">
        <v>0.229158</v>
      </c>
      <c r="E78">
        <v>4.2529000000000004E-2</v>
      </c>
      <c r="F78" s="8">
        <f t="shared" si="5"/>
        <v>8.2191780821917804E-2</v>
      </c>
      <c r="G78">
        <f t="shared" si="6"/>
        <v>0.53403504320995432</v>
      </c>
      <c r="H78">
        <f t="shared" si="7"/>
        <v>-0.46596495679004568</v>
      </c>
      <c r="I78">
        <f t="shared" si="8"/>
        <v>6.8070086419908638E-2</v>
      </c>
      <c r="J78">
        <f t="shared" si="9"/>
        <v>-6.8070086419908638E-2</v>
      </c>
    </row>
    <row r="79" spans="1:10" x14ac:dyDescent="0.25">
      <c r="A79" s="1">
        <v>45772</v>
      </c>
      <c r="B79">
        <v>5525.21</v>
      </c>
      <c r="C79">
        <v>5525</v>
      </c>
      <c r="D79">
        <v>0.21431014300000001</v>
      </c>
      <c r="E79">
        <v>4.2575000000000002E-2</v>
      </c>
      <c r="F79" s="8">
        <f t="shared" si="5"/>
        <v>8.2191780821917804E-2</v>
      </c>
      <c r="G79">
        <f t="shared" si="6"/>
        <v>0.53517820595230514</v>
      </c>
      <c r="H79">
        <f t="shared" si="7"/>
        <v>-0.46482179404769486</v>
      </c>
      <c r="I79">
        <f t="shared" si="8"/>
        <v>7.0356411904610283E-2</v>
      </c>
      <c r="J79">
        <f t="shared" si="9"/>
        <v>-7.0356411904610283E-2</v>
      </c>
    </row>
    <row r="80" spans="1:10" x14ac:dyDescent="0.25">
      <c r="A80" s="1">
        <v>45775</v>
      </c>
      <c r="B80">
        <v>5528.75</v>
      </c>
      <c r="C80">
        <v>5530</v>
      </c>
      <c r="D80">
        <v>0.211943571</v>
      </c>
      <c r="E80">
        <v>4.2927E-2</v>
      </c>
      <c r="F80" s="8">
        <f t="shared" si="5"/>
        <v>8.2191780821917804E-2</v>
      </c>
      <c r="G80">
        <f t="shared" si="6"/>
        <v>0.53376079535835497</v>
      </c>
      <c r="H80">
        <f t="shared" si="7"/>
        <v>-0.46623920464164503</v>
      </c>
      <c r="I80">
        <f t="shared" si="8"/>
        <v>6.7521590716709934E-2</v>
      </c>
      <c r="J80">
        <f t="shared" si="9"/>
        <v>-6.7521590716709934E-2</v>
      </c>
    </row>
    <row r="81" spans="1:10" x14ac:dyDescent="0.25">
      <c r="A81" s="1">
        <v>45776</v>
      </c>
      <c r="B81">
        <v>5560.83</v>
      </c>
      <c r="C81">
        <v>5560</v>
      </c>
      <c r="D81">
        <v>0.20586385700000001</v>
      </c>
      <c r="E81">
        <v>4.2946999999999999E-2</v>
      </c>
      <c r="F81" s="8">
        <f t="shared" si="5"/>
        <v>8.2191780821917804E-2</v>
      </c>
      <c r="G81">
        <f t="shared" si="6"/>
        <v>0.53659054929595329</v>
      </c>
      <c r="H81">
        <f t="shared" si="7"/>
        <v>-0.46340945070404671</v>
      </c>
      <c r="I81">
        <f t="shared" si="8"/>
        <v>7.3181098591906579E-2</v>
      </c>
      <c r="J81">
        <f t="shared" si="9"/>
        <v>-7.3181098591906579E-2</v>
      </c>
    </row>
    <row r="82" spans="1:10" x14ac:dyDescent="0.25">
      <c r="A82" s="1">
        <v>45777</v>
      </c>
      <c r="B82">
        <v>5569.06</v>
      </c>
      <c r="C82">
        <v>5570</v>
      </c>
      <c r="D82">
        <v>0.21263099999999999</v>
      </c>
      <c r="E82">
        <v>4.2891000000000006E-2</v>
      </c>
      <c r="F82" s="8">
        <f t="shared" si="5"/>
        <v>8.2191780821917804E-2</v>
      </c>
      <c r="G82">
        <f t="shared" si="6"/>
        <v>0.53408440185407313</v>
      </c>
      <c r="H82">
        <f t="shared" si="7"/>
        <v>-0.46591559814592687</v>
      </c>
      <c r="I82">
        <f t="shared" si="8"/>
        <v>6.8168803708146264E-2</v>
      </c>
      <c r="J82">
        <f t="shared" si="9"/>
        <v>-6.8168803708146264E-2</v>
      </c>
    </row>
    <row r="83" spans="1:10" x14ac:dyDescent="0.25">
      <c r="A83" s="1">
        <v>45778</v>
      </c>
      <c r="B83">
        <v>5604.14</v>
      </c>
      <c r="C83">
        <v>5605</v>
      </c>
      <c r="D83">
        <v>0.20842928599999999</v>
      </c>
      <c r="E83">
        <v>4.2886000000000001E-2</v>
      </c>
      <c r="F83" s="8">
        <f t="shared" si="5"/>
        <v>8.2191780821917804E-2</v>
      </c>
      <c r="G83">
        <f t="shared" si="6"/>
        <v>0.5343854242846876</v>
      </c>
      <c r="H83">
        <f t="shared" si="7"/>
        <v>-0.4656145757153124</v>
      </c>
      <c r="I83">
        <f t="shared" si="8"/>
        <v>6.8770848569375209E-2</v>
      </c>
      <c r="J83">
        <f t="shared" si="9"/>
        <v>-6.8770848569375209E-2</v>
      </c>
    </row>
    <row r="84" spans="1:10" x14ac:dyDescent="0.25">
      <c r="A84" s="1">
        <v>45779</v>
      </c>
      <c r="B84">
        <v>5686.67</v>
      </c>
      <c r="C84">
        <v>5685</v>
      </c>
      <c r="D84">
        <v>0.18940257099999999</v>
      </c>
      <c r="E84">
        <v>4.2830000000000007E-2</v>
      </c>
      <c r="F84" s="8">
        <f t="shared" si="5"/>
        <v>8.2191780821917804E-2</v>
      </c>
      <c r="G84">
        <f t="shared" si="6"/>
        <v>0.53879131387556334</v>
      </c>
      <c r="H84">
        <f t="shared" si="7"/>
        <v>-0.46120868612443666</v>
      </c>
      <c r="I84">
        <f t="shared" si="8"/>
        <v>7.7582627751126676E-2</v>
      </c>
      <c r="J84">
        <f t="shared" si="9"/>
        <v>-7.7582627751126676E-2</v>
      </c>
    </row>
    <row r="85" spans="1:10" x14ac:dyDescent="0.25">
      <c r="A85" s="1">
        <v>45782</v>
      </c>
      <c r="B85">
        <v>5650.38</v>
      </c>
      <c r="C85">
        <v>5650</v>
      </c>
      <c r="D85">
        <v>0.19162742899999999</v>
      </c>
      <c r="E85">
        <v>4.3029000000000005E-2</v>
      </c>
      <c r="F85" s="8">
        <f t="shared" si="5"/>
        <v>8.2191780821917804E-2</v>
      </c>
      <c r="G85">
        <f t="shared" si="6"/>
        <v>0.53707531247516438</v>
      </c>
      <c r="H85">
        <f t="shared" si="7"/>
        <v>-0.46292468752483562</v>
      </c>
      <c r="I85">
        <f t="shared" si="8"/>
        <v>7.4150624950328758E-2</v>
      </c>
      <c r="J85">
        <f t="shared" si="9"/>
        <v>-7.4150624950328758E-2</v>
      </c>
    </row>
    <row r="86" spans="1:10" x14ac:dyDescent="0.25">
      <c r="A86" s="1">
        <v>45783</v>
      </c>
      <c r="B86">
        <v>5606.91</v>
      </c>
      <c r="C86">
        <v>5605</v>
      </c>
      <c r="D86">
        <v>0.204667143</v>
      </c>
      <c r="E86">
        <v>4.2946999999999999E-2</v>
      </c>
      <c r="F86" s="8">
        <f t="shared" si="5"/>
        <v>8.2191780821917804E-2</v>
      </c>
      <c r="G86">
        <f t="shared" si="6"/>
        <v>0.53796311078446368</v>
      </c>
      <c r="H86">
        <f t="shared" si="7"/>
        <v>-0.46203688921553632</v>
      </c>
      <c r="I86">
        <f t="shared" si="8"/>
        <v>7.5926221568927366E-2</v>
      </c>
      <c r="J86">
        <f t="shared" si="9"/>
        <v>-7.5926221568927366E-2</v>
      </c>
    </row>
    <row r="87" spans="1:10" x14ac:dyDescent="0.25">
      <c r="A87" s="1">
        <v>45784</v>
      </c>
      <c r="B87">
        <v>5631.28</v>
      </c>
      <c r="C87">
        <v>5630</v>
      </c>
      <c r="D87">
        <v>0.19869000000000001</v>
      </c>
      <c r="E87">
        <v>4.2789000000000001E-2</v>
      </c>
      <c r="F87" s="8">
        <f t="shared" si="5"/>
        <v>8.2191780821917804E-2</v>
      </c>
      <c r="G87">
        <f t="shared" si="6"/>
        <v>0.53752989008857388</v>
      </c>
      <c r="H87">
        <f t="shared" si="7"/>
        <v>-0.46247010991142612</v>
      </c>
      <c r="I87">
        <f t="shared" si="8"/>
        <v>7.5059780177147761E-2</v>
      </c>
      <c r="J87">
        <f t="shared" si="9"/>
        <v>-7.5059780177147761E-2</v>
      </c>
    </row>
    <row r="88" spans="1:10" x14ac:dyDescent="0.25">
      <c r="A88" s="1">
        <v>45785</v>
      </c>
      <c r="B88">
        <v>5663.94</v>
      </c>
      <c r="C88">
        <v>5665</v>
      </c>
      <c r="D88">
        <v>0.19303557099999999</v>
      </c>
      <c r="E88">
        <v>4.2809999999999994E-2</v>
      </c>
      <c r="F88" s="8">
        <f t="shared" si="5"/>
        <v>8.2191780821917804E-2</v>
      </c>
      <c r="G88">
        <f t="shared" si="6"/>
        <v>0.53500985188605177</v>
      </c>
      <c r="H88">
        <f t="shared" si="7"/>
        <v>-0.46499014811394823</v>
      </c>
      <c r="I88">
        <f t="shared" si="8"/>
        <v>7.0019703772103536E-2</v>
      </c>
      <c r="J88">
        <f t="shared" si="9"/>
        <v>-7.0019703772103536E-2</v>
      </c>
    </row>
    <row r="89" spans="1:10" x14ac:dyDescent="0.25">
      <c r="A89" s="1">
        <v>45786</v>
      </c>
      <c r="B89">
        <v>5659.91</v>
      </c>
      <c r="C89">
        <v>5660</v>
      </c>
      <c r="D89">
        <v>0.19431728600000001</v>
      </c>
      <c r="E89">
        <v>4.2752999999999999E-2</v>
      </c>
      <c r="F89" s="8">
        <f t="shared" si="5"/>
        <v>8.2191780821917804E-2</v>
      </c>
      <c r="G89">
        <f t="shared" si="6"/>
        <v>0.53611299700533555</v>
      </c>
      <c r="H89">
        <f t="shared" si="7"/>
        <v>-0.46388700299466445</v>
      </c>
      <c r="I89">
        <f t="shared" si="8"/>
        <v>7.2225994010671091E-2</v>
      </c>
      <c r="J89">
        <f t="shared" si="9"/>
        <v>-7.2225994010671091E-2</v>
      </c>
    </row>
    <row r="90" spans="1:10" x14ac:dyDescent="0.25">
      <c r="A90" s="1">
        <v>45789</v>
      </c>
      <c r="B90">
        <v>5844.19</v>
      </c>
      <c r="C90">
        <v>5845</v>
      </c>
      <c r="D90">
        <v>0.15064085699999999</v>
      </c>
      <c r="E90">
        <v>4.308E-2</v>
      </c>
      <c r="F90" s="8">
        <f t="shared" si="5"/>
        <v>8.2191780821917804E-2</v>
      </c>
      <c r="G90">
        <f t="shared" si="6"/>
        <v>0.53997552724291364</v>
      </c>
      <c r="H90">
        <f t="shared" si="7"/>
        <v>-0.46002447275708636</v>
      </c>
      <c r="I90">
        <f t="shared" si="8"/>
        <v>7.9951054485827289E-2</v>
      </c>
      <c r="J90">
        <f t="shared" si="9"/>
        <v>-7.9951054485827289E-2</v>
      </c>
    </row>
    <row r="91" spans="1:10" x14ac:dyDescent="0.25">
      <c r="A91" s="1">
        <v>45790</v>
      </c>
      <c r="B91">
        <v>5886.55</v>
      </c>
      <c r="C91">
        <v>5885</v>
      </c>
      <c r="D91">
        <v>0.14456728599999999</v>
      </c>
      <c r="E91">
        <v>4.3101E-2</v>
      </c>
      <c r="F91" s="8">
        <f t="shared" si="5"/>
        <v>8.2191780821917804E-2</v>
      </c>
      <c r="G91">
        <f t="shared" si="6"/>
        <v>0.54480654719042132</v>
      </c>
      <c r="H91">
        <f t="shared" si="7"/>
        <v>-0.45519345280957868</v>
      </c>
      <c r="I91">
        <f t="shared" si="8"/>
        <v>8.9613094380842639E-2</v>
      </c>
      <c r="J91">
        <f t="shared" si="9"/>
        <v>-8.9613094380842639E-2</v>
      </c>
    </row>
    <row r="92" spans="1:10" x14ac:dyDescent="0.25">
      <c r="A92" s="1">
        <v>45791</v>
      </c>
      <c r="B92">
        <v>5892.58</v>
      </c>
      <c r="C92">
        <v>5895</v>
      </c>
      <c r="D92">
        <v>0.14896699999999999</v>
      </c>
      <c r="E92">
        <v>4.3121E-2</v>
      </c>
      <c r="F92" s="8">
        <f t="shared" si="5"/>
        <v>8.2191780821917804E-2</v>
      </c>
      <c r="G92">
        <f t="shared" si="6"/>
        <v>0.53773417757685205</v>
      </c>
      <c r="H92">
        <f t="shared" si="7"/>
        <v>-0.46226582242314795</v>
      </c>
      <c r="I92">
        <f t="shared" si="8"/>
        <v>7.5468355153704092E-2</v>
      </c>
      <c r="J92">
        <f t="shared" si="9"/>
        <v>-7.5468355153704092E-2</v>
      </c>
    </row>
    <row r="93" spans="1:10" x14ac:dyDescent="0.25">
      <c r="A93" s="1">
        <v>45792</v>
      </c>
      <c r="B93">
        <v>5916.93</v>
      </c>
      <c r="C93">
        <v>5915</v>
      </c>
      <c r="D93">
        <v>0.14267685699999999</v>
      </c>
      <c r="E93">
        <v>4.3064999999999999E-2</v>
      </c>
      <c r="F93" s="8">
        <f t="shared" si="5"/>
        <v>8.2191780821917804E-2</v>
      </c>
      <c r="G93">
        <f t="shared" si="6"/>
        <v>0.54576212985386752</v>
      </c>
      <c r="H93">
        <f t="shared" si="7"/>
        <v>-0.45423787014613248</v>
      </c>
      <c r="I93">
        <f t="shared" si="8"/>
        <v>9.1524259707735034E-2</v>
      </c>
      <c r="J93">
        <f t="shared" si="9"/>
        <v>-9.1524259707735034E-2</v>
      </c>
    </row>
    <row r="94" spans="1:10" x14ac:dyDescent="0.25">
      <c r="A94" s="1">
        <v>45793</v>
      </c>
      <c r="B94">
        <v>5958.38</v>
      </c>
      <c r="C94">
        <v>5960</v>
      </c>
      <c r="D94">
        <v>0.14706</v>
      </c>
      <c r="E94">
        <v>4.2752999999999999E-2</v>
      </c>
      <c r="F94" s="8">
        <f t="shared" si="5"/>
        <v>8.2191780821917804E-2</v>
      </c>
      <c r="G94">
        <f t="shared" si="6"/>
        <v>0.53902542289247579</v>
      </c>
      <c r="H94">
        <f t="shared" si="7"/>
        <v>-0.46097457710752421</v>
      </c>
      <c r="I94">
        <f t="shared" si="8"/>
        <v>7.8050845784951584E-2</v>
      </c>
      <c r="J94">
        <f t="shared" si="9"/>
        <v>-7.8050845784951584E-2</v>
      </c>
    </row>
    <row r="95" spans="1:10" x14ac:dyDescent="0.25">
      <c r="A95" s="1">
        <v>45796</v>
      </c>
      <c r="B95">
        <v>5963.6</v>
      </c>
      <c r="C95">
        <v>5965</v>
      </c>
      <c r="D95">
        <v>0.15040999999999999</v>
      </c>
      <c r="E95">
        <v>4.2977999999999995E-2</v>
      </c>
      <c r="F95" s="8">
        <f t="shared" si="5"/>
        <v>8.2191780821917804E-2</v>
      </c>
      <c r="G95">
        <f t="shared" si="6"/>
        <v>0.53904811867683577</v>
      </c>
      <c r="H95">
        <f t="shared" si="7"/>
        <v>-0.46095188132316423</v>
      </c>
      <c r="I95">
        <f t="shared" si="8"/>
        <v>7.8096237353671549E-2</v>
      </c>
      <c r="J95">
        <f t="shared" si="9"/>
        <v>-7.8096237353671549E-2</v>
      </c>
    </row>
    <row r="96" spans="1:10" x14ac:dyDescent="0.25">
      <c r="A96" s="1">
        <v>45797</v>
      </c>
      <c r="B96">
        <v>5940.46</v>
      </c>
      <c r="C96">
        <v>5940</v>
      </c>
      <c r="D96">
        <v>0.15259</v>
      </c>
      <c r="E96">
        <v>4.2793999999999999E-2</v>
      </c>
      <c r="F96" s="8">
        <f t="shared" si="5"/>
        <v>8.2191780821917804E-2</v>
      </c>
      <c r="G96">
        <f t="shared" si="6"/>
        <v>0.54143359101312805</v>
      </c>
      <c r="H96">
        <f t="shared" si="7"/>
        <v>-0.45856640898687195</v>
      </c>
      <c r="I96">
        <f t="shared" si="8"/>
        <v>8.2867182026256092E-2</v>
      </c>
      <c r="J96">
        <f t="shared" si="9"/>
        <v>-8.2867182026256092E-2</v>
      </c>
    </row>
    <row r="97" spans="1:10" x14ac:dyDescent="0.25">
      <c r="A97" s="1">
        <v>45798</v>
      </c>
      <c r="B97">
        <v>5844.61</v>
      </c>
      <c r="C97">
        <v>5845</v>
      </c>
      <c r="D97">
        <v>0.175455</v>
      </c>
      <c r="E97">
        <v>4.2610999999999996E-2</v>
      </c>
      <c r="F97" s="8">
        <f t="shared" si="5"/>
        <v>8.2191780821917804E-2</v>
      </c>
      <c r="G97">
        <f t="shared" si="6"/>
        <v>0.53722695144421995</v>
      </c>
      <c r="H97">
        <f t="shared" si="7"/>
        <v>-0.46277304855578005</v>
      </c>
      <c r="I97">
        <f t="shared" si="8"/>
        <v>7.4453902888439893E-2</v>
      </c>
      <c r="J97">
        <f t="shared" si="9"/>
        <v>-7.4453902888439893E-2</v>
      </c>
    </row>
    <row r="98" spans="1:10" x14ac:dyDescent="0.25">
      <c r="A98" s="1">
        <v>45799</v>
      </c>
      <c r="B98">
        <v>5842.01</v>
      </c>
      <c r="C98">
        <v>5840</v>
      </c>
      <c r="D98">
        <v>0.17434875</v>
      </c>
      <c r="E98">
        <v>4.2606000000000005E-2</v>
      </c>
      <c r="F98" s="8">
        <f t="shared" si="5"/>
        <v>8.2191780821917804E-2</v>
      </c>
      <c r="G98">
        <f t="shared" si="6"/>
        <v>0.54059626948524064</v>
      </c>
      <c r="H98">
        <f t="shared" si="7"/>
        <v>-0.45940373051475936</v>
      </c>
      <c r="I98">
        <f t="shared" si="8"/>
        <v>8.1192538970481287E-2</v>
      </c>
      <c r="J98">
        <f t="shared" si="9"/>
        <v>-8.1192538970481287E-2</v>
      </c>
    </row>
    <row r="99" spans="1:10" x14ac:dyDescent="0.25">
      <c r="A99" s="1">
        <v>45800</v>
      </c>
      <c r="B99">
        <v>5802.82</v>
      </c>
      <c r="C99">
        <v>5805</v>
      </c>
      <c r="D99">
        <v>0.190894286</v>
      </c>
      <c r="E99">
        <v>4.2774E-2</v>
      </c>
      <c r="F99" s="8">
        <f t="shared" si="5"/>
        <v>8.2191780821917804E-2</v>
      </c>
      <c r="G99">
        <f t="shared" si="6"/>
        <v>0.5337659374495054</v>
      </c>
      <c r="H99">
        <f t="shared" si="7"/>
        <v>-0.4662340625504946</v>
      </c>
      <c r="I99">
        <f t="shared" si="8"/>
        <v>6.7531874899010802E-2</v>
      </c>
      <c r="J99">
        <f t="shared" si="9"/>
        <v>-6.7531874899010802E-2</v>
      </c>
    </row>
    <row r="100" spans="1:10" x14ac:dyDescent="0.25">
      <c r="A100" s="1">
        <v>45804</v>
      </c>
      <c r="B100">
        <v>5921.54</v>
      </c>
      <c r="C100">
        <v>5920</v>
      </c>
      <c r="D100">
        <v>0.155891786</v>
      </c>
      <c r="E100">
        <v>4.2667000000000004E-2</v>
      </c>
      <c r="F100" s="8">
        <f t="shared" si="5"/>
        <v>8.2191780821917804E-2</v>
      </c>
      <c r="G100">
        <f t="shared" si="6"/>
        <v>0.54245970690242928</v>
      </c>
      <c r="H100">
        <f t="shared" si="7"/>
        <v>-0.45754029309757072</v>
      </c>
      <c r="I100">
        <f t="shared" si="8"/>
        <v>8.4919413804858568E-2</v>
      </c>
      <c r="J100">
        <f t="shared" si="9"/>
        <v>-8.4919413804858568E-2</v>
      </c>
    </row>
    <row r="101" spans="1:10" x14ac:dyDescent="0.25">
      <c r="A101" s="1">
        <v>45805</v>
      </c>
      <c r="B101">
        <v>5888.55</v>
      </c>
      <c r="C101">
        <v>5890</v>
      </c>
      <c r="D101">
        <v>0.15990375000000001</v>
      </c>
      <c r="E101">
        <v>4.2737999999999998E-2</v>
      </c>
      <c r="F101" s="8">
        <f t="shared" si="5"/>
        <v>8.2191780821917804E-2</v>
      </c>
      <c r="G101">
        <f t="shared" si="6"/>
        <v>0.53751517777328228</v>
      </c>
      <c r="H101">
        <f t="shared" si="7"/>
        <v>-0.46248482222671772</v>
      </c>
      <c r="I101">
        <f t="shared" si="8"/>
        <v>7.5030355546564564E-2</v>
      </c>
      <c r="J101">
        <f t="shared" si="9"/>
        <v>-7.5030355546564564E-2</v>
      </c>
    </row>
    <row r="102" spans="1:10" x14ac:dyDescent="0.25">
      <c r="A102" s="1">
        <v>45806</v>
      </c>
      <c r="B102">
        <v>5912.17</v>
      </c>
      <c r="C102">
        <v>5910</v>
      </c>
      <c r="D102">
        <v>0.15870642900000001</v>
      </c>
      <c r="E102">
        <v>4.2733E-2</v>
      </c>
      <c r="F102" s="8">
        <f t="shared" si="5"/>
        <v>8.2191780821917804E-2</v>
      </c>
      <c r="G102">
        <f t="shared" si="6"/>
        <v>0.54300695539178934</v>
      </c>
      <c r="H102">
        <f t="shared" si="7"/>
        <v>-0.45699304460821066</v>
      </c>
      <c r="I102">
        <f t="shared" si="8"/>
        <v>8.6013910783578673E-2</v>
      </c>
      <c r="J102">
        <f t="shared" si="9"/>
        <v>-8.6013910783578673E-2</v>
      </c>
    </row>
    <row r="103" spans="1:10" x14ac:dyDescent="0.25">
      <c r="A103" s="1">
        <v>45807</v>
      </c>
      <c r="B103">
        <v>5911.69</v>
      </c>
      <c r="C103">
        <v>5910</v>
      </c>
      <c r="D103">
        <v>0.157938571</v>
      </c>
      <c r="E103">
        <v>4.2625999999999997E-2</v>
      </c>
      <c r="F103" s="8">
        <f t="shared" si="5"/>
        <v>8.2191780821917804E-2</v>
      </c>
      <c r="G103">
        <f t="shared" si="6"/>
        <v>0.54233942277085179</v>
      </c>
      <c r="H103">
        <f t="shared" si="7"/>
        <v>-0.45766057722914821</v>
      </c>
      <c r="I103">
        <f t="shared" si="8"/>
        <v>8.4678845541703573E-2</v>
      </c>
      <c r="J103">
        <f t="shared" si="9"/>
        <v>-8.4678845541703573E-2</v>
      </c>
    </row>
    <row r="104" spans="1:10" x14ac:dyDescent="0.25">
      <c r="A104" s="1">
        <v>45810</v>
      </c>
      <c r="B104">
        <v>5935.94</v>
      </c>
      <c r="C104">
        <v>5935</v>
      </c>
      <c r="D104">
        <v>0.15318214299999999</v>
      </c>
      <c r="E104">
        <v>4.2824999999999995E-2</v>
      </c>
      <c r="F104" s="8">
        <f t="shared" si="5"/>
        <v>8.2191780821917804E-2</v>
      </c>
      <c r="G104">
        <f t="shared" si="6"/>
        <v>0.54209542898482277</v>
      </c>
      <c r="H104">
        <f t="shared" si="7"/>
        <v>-0.45790457101517723</v>
      </c>
      <c r="I104">
        <f t="shared" si="8"/>
        <v>8.4190857969645538E-2</v>
      </c>
      <c r="J104">
        <f t="shared" si="9"/>
        <v>-8.4190857969645538E-2</v>
      </c>
    </row>
    <row r="105" spans="1:10" x14ac:dyDescent="0.25">
      <c r="A105" s="1">
        <v>45811</v>
      </c>
      <c r="B105">
        <v>5970.37</v>
      </c>
      <c r="C105">
        <v>5970</v>
      </c>
      <c r="D105">
        <v>0.149686607</v>
      </c>
      <c r="E105">
        <v>4.2743000000000003E-2</v>
      </c>
      <c r="F105" s="8">
        <f t="shared" si="5"/>
        <v>8.2191780821917804E-2</v>
      </c>
      <c r="G105">
        <f t="shared" si="6"/>
        <v>0.54171913355844314</v>
      </c>
      <c r="H105">
        <f t="shared" si="7"/>
        <v>-0.45828086644155686</v>
      </c>
      <c r="I105">
        <f t="shared" si="8"/>
        <v>8.3438267116886289E-2</v>
      </c>
      <c r="J105">
        <f t="shared" si="9"/>
        <v>-8.3438267116886289E-2</v>
      </c>
    </row>
    <row r="106" spans="1:10" x14ac:dyDescent="0.25">
      <c r="A106" s="1">
        <v>45812</v>
      </c>
      <c r="B106">
        <v>5970.81</v>
      </c>
      <c r="C106">
        <v>5970</v>
      </c>
      <c r="D106">
        <v>0.14819499999999999</v>
      </c>
      <c r="E106">
        <v>4.2687000000000003E-2</v>
      </c>
      <c r="F106" s="8">
        <f t="shared" si="5"/>
        <v>8.2191780821917804E-2</v>
      </c>
      <c r="G106">
        <f t="shared" si="6"/>
        <v>0.54261210001464999</v>
      </c>
      <c r="H106">
        <f t="shared" si="7"/>
        <v>-0.45738789998535001</v>
      </c>
      <c r="I106">
        <f t="shared" si="8"/>
        <v>8.5224200029299979E-2</v>
      </c>
      <c r="J106">
        <f t="shared" si="9"/>
        <v>-8.5224200029299979E-2</v>
      </c>
    </row>
    <row r="107" spans="1:10" x14ac:dyDescent="0.25">
      <c r="A107" s="1">
        <v>45813</v>
      </c>
      <c r="B107">
        <v>5939.3</v>
      </c>
      <c r="C107">
        <v>5940</v>
      </c>
      <c r="D107">
        <v>0.155207857</v>
      </c>
      <c r="E107">
        <v>4.2325000000000002E-2</v>
      </c>
      <c r="F107" s="8">
        <f t="shared" si="5"/>
        <v>8.2191780821917804E-2</v>
      </c>
      <c r="G107">
        <f t="shared" si="6"/>
        <v>0.53894655350477649</v>
      </c>
      <c r="H107">
        <f t="shared" si="7"/>
        <v>-0.46105344649522351</v>
      </c>
      <c r="I107">
        <f t="shared" si="8"/>
        <v>7.7893107009552986E-2</v>
      </c>
      <c r="J107">
        <f t="shared" si="9"/>
        <v>-7.7893107009552986E-2</v>
      </c>
    </row>
    <row r="108" spans="1:10" x14ac:dyDescent="0.25">
      <c r="A108" s="1">
        <v>45814</v>
      </c>
      <c r="B108">
        <v>6000.36</v>
      </c>
      <c r="C108">
        <v>6000</v>
      </c>
      <c r="D108">
        <v>0.13782071400000001</v>
      </c>
      <c r="E108">
        <v>4.2192E-2</v>
      </c>
      <c r="F108" s="8">
        <f t="shared" si="5"/>
        <v>8.2191780821917804E-2</v>
      </c>
      <c r="G108">
        <f t="shared" si="6"/>
        <v>0.54341508417302109</v>
      </c>
      <c r="H108">
        <f t="shared" si="7"/>
        <v>-0.45658491582697891</v>
      </c>
      <c r="I108">
        <f t="shared" si="8"/>
        <v>8.683016834604218E-2</v>
      </c>
      <c r="J108">
        <f t="shared" si="9"/>
        <v>-8.683016834604218E-2</v>
      </c>
    </row>
    <row r="109" spans="1:10" x14ac:dyDescent="0.25">
      <c r="A109" s="1">
        <v>45817</v>
      </c>
      <c r="B109">
        <v>6005.88</v>
      </c>
      <c r="C109">
        <v>6005</v>
      </c>
      <c r="D109">
        <v>0.14002017899999999</v>
      </c>
      <c r="E109">
        <v>4.2390999999999998E-2</v>
      </c>
      <c r="F109" s="8">
        <f t="shared" si="5"/>
        <v>8.2191780821917804E-2</v>
      </c>
      <c r="G109">
        <f t="shared" si="6"/>
        <v>0.54400035945434522</v>
      </c>
      <c r="H109">
        <f t="shared" si="7"/>
        <v>-0.45599964054565478</v>
      </c>
      <c r="I109">
        <f t="shared" si="8"/>
        <v>8.8000718908690434E-2</v>
      </c>
      <c r="J109">
        <f t="shared" si="9"/>
        <v>-8.8000718908690434E-2</v>
      </c>
    </row>
    <row r="110" spans="1:10" x14ac:dyDescent="0.25">
      <c r="A110" s="1">
        <v>45818</v>
      </c>
      <c r="B110">
        <v>6038.81</v>
      </c>
      <c r="C110">
        <v>6040</v>
      </c>
      <c r="D110">
        <v>0.138305714</v>
      </c>
      <c r="E110">
        <v>4.2283999999999995E-2</v>
      </c>
      <c r="F110" s="8">
        <f t="shared" si="5"/>
        <v>8.2191780821917804E-2</v>
      </c>
      <c r="G110">
        <f t="shared" si="6"/>
        <v>0.54082239943049271</v>
      </c>
      <c r="H110">
        <f t="shared" si="7"/>
        <v>-0.45917760056950729</v>
      </c>
      <c r="I110">
        <f t="shared" si="8"/>
        <v>8.1644798860985413E-2</v>
      </c>
      <c r="J110">
        <f t="shared" si="9"/>
        <v>-8.1644798860985413E-2</v>
      </c>
    </row>
    <row r="111" spans="1:10" x14ac:dyDescent="0.25">
      <c r="A111" s="1">
        <v>45819</v>
      </c>
      <c r="B111">
        <v>6022.24</v>
      </c>
      <c r="C111">
        <v>6020</v>
      </c>
      <c r="D111">
        <v>0.14329375</v>
      </c>
      <c r="E111">
        <v>4.2407E-2</v>
      </c>
      <c r="F111" s="8">
        <f t="shared" si="5"/>
        <v>8.2191780821917804E-2</v>
      </c>
      <c r="G111">
        <f t="shared" si="6"/>
        <v>0.54555590441409785</v>
      </c>
      <c r="H111">
        <f t="shared" si="7"/>
        <v>-0.45444409558590215</v>
      </c>
      <c r="I111">
        <f t="shared" si="8"/>
        <v>9.1111808828195695E-2</v>
      </c>
      <c r="J111">
        <f t="shared" si="9"/>
        <v>-9.1111808828195695E-2</v>
      </c>
    </row>
    <row r="112" spans="1:10" x14ac:dyDescent="0.25">
      <c r="A112" s="1">
        <v>45820</v>
      </c>
      <c r="B112">
        <v>6045.26</v>
      </c>
      <c r="C112">
        <v>6045</v>
      </c>
      <c r="D112">
        <v>0.14583571400000001</v>
      </c>
      <c r="E112">
        <v>4.1867000000000001E-2</v>
      </c>
      <c r="F112" s="8">
        <f t="shared" si="5"/>
        <v>8.2191780821917804E-2</v>
      </c>
      <c r="G112">
        <f t="shared" si="6"/>
        <v>0.54150969321212594</v>
      </c>
      <c r="H112">
        <f t="shared" si="7"/>
        <v>-0.45849030678787406</v>
      </c>
      <c r="I112">
        <f t="shared" si="8"/>
        <v>8.3019386424251884E-2</v>
      </c>
      <c r="J112">
        <f t="shared" si="9"/>
        <v>-8.3019386424251884E-2</v>
      </c>
    </row>
    <row r="113" spans="1:10" x14ac:dyDescent="0.25">
      <c r="A113" s="1">
        <v>45821</v>
      </c>
      <c r="B113">
        <v>5976.97</v>
      </c>
      <c r="C113">
        <v>5975</v>
      </c>
      <c r="D113">
        <v>0.171137857</v>
      </c>
      <c r="E113">
        <v>4.1809000000000006E-2</v>
      </c>
      <c r="F113" s="8">
        <f t="shared" si="5"/>
        <v>8.2191780821917804E-2</v>
      </c>
      <c r="G113">
        <f t="shared" si="6"/>
        <v>0.54033963150692976</v>
      </c>
      <c r="H113">
        <f t="shared" si="7"/>
        <v>-0.45966036849307024</v>
      </c>
      <c r="I113">
        <f t="shared" si="8"/>
        <v>8.0679263013859526E-2</v>
      </c>
      <c r="J113">
        <f t="shared" si="9"/>
        <v>-8.0679263013859526E-2</v>
      </c>
    </row>
    <row r="114" spans="1:10" x14ac:dyDescent="0.25">
      <c r="A114" s="1">
        <v>45824</v>
      </c>
      <c r="B114">
        <v>6033.11</v>
      </c>
      <c r="C114">
        <v>6035</v>
      </c>
      <c r="D114">
        <v>0.14859035700000001</v>
      </c>
      <c r="E114">
        <v>4.1829999999999999E-2</v>
      </c>
      <c r="F114" s="8">
        <f t="shared" si="5"/>
        <v>8.2191780821917804E-2</v>
      </c>
      <c r="G114">
        <f t="shared" si="6"/>
        <v>0.53770520885239403</v>
      </c>
      <c r="H114">
        <f t="shared" si="7"/>
        <v>-0.46229479114760597</v>
      </c>
      <c r="I114">
        <f t="shared" si="8"/>
        <v>7.5410417704788069E-2</v>
      </c>
      <c r="J114">
        <f t="shared" si="9"/>
        <v>-7.5410417704788069E-2</v>
      </c>
    </row>
    <row r="115" spans="1:10" x14ac:dyDescent="0.25">
      <c r="A115" s="1">
        <v>45825</v>
      </c>
      <c r="B115">
        <v>5982.72</v>
      </c>
      <c r="C115">
        <v>5985</v>
      </c>
      <c r="D115">
        <v>0.172253929</v>
      </c>
      <c r="E115">
        <v>4.1698000000000006E-2</v>
      </c>
      <c r="F115" s="8">
        <f t="shared" si="5"/>
        <v>8.2191780821917804E-2</v>
      </c>
      <c r="G115">
        <f t="shared" si="6"/>
        <v>0.53441637917283935</v>
      </c>
      <c r="H115">
        <f t="shared" si="7"/>
        <v>-0.46558362082716065</v>
      </c>
      <c r="I115">
        <f t="shared" si="8"/>
        <v>6.8832758345678702E-2</v>
      </c>
      <c r="J115">
        <f t="shared" si="9"/>
        <v>-6.8832758345678702E-2</v>
      </c>
    </row>
    <row r="116" spans="1:10" x14ac:dyDescent="0.25">
      <c r="A116" s="1">
        <v>45826</v>
      </c>
      <c r="B116">
        <v>5980.87</v>
      </c>
      <c r="C116">
        <v>5980</v>
      </c>
      <c r="D116">
        <v>0.165295</v>
      </c>
      <c r="E116">
        <v>4.1637000000000007E-2</v>
      </c>
      <c r="F116" s="8">
        <f t="shared" si="5"/>
        <v>8.2191780821917804E-2</v>
      </c>
      <c r="G116">
        <f t="shared" si="6"/>
        <v>0.5394230041385204</v>
      </c>
      <c r="H116">
        <f t="shared" si="7"/>
        <v>-0.4605769958614796</v>
      </c>
      <c r="I116">
        <f t="shared" si="8"/>
        <v>7.8846008277040802E-2</v>
      </c>
      <c r="J116">
        <f t="shared" si="9"/>
        <v>-7.8846008277040802E-2</v>
      </c>
    </row>
    <row r="117" spans="1:10" x14ac:dyDescent="0.25">
      <c r="A117" s="1">
        <v>45828</v>
      </c>
      <c r="B117">
        <v>5967.84</v>
      </c>
      <c r="C117">
        <v>5970</v>
      </c>
      <c r="D117">
        <v>0.16576285700000001</v>
      </c>
      <c r="E117">
        <v>4.1502999999999998E-2</v>
      </c>
      <c r="F117" s="8">
        <f t="shared" si="5"/>
        <v>8.2191780821917804E-2</v>
      </c>
      <c r="G117">
        <f t="shared" si="6"/>
        <v>0.53503269050715052</v>
      </c>
      <c r="H117">
        <f t="shared" si="7"/>
        <v>-0.46496730949284948</v>
      </c>
      <c r="I117">
        <f t="shared" si="8"/>
        <v>7.0065381014301042E-2</v>
      </c>
      <c r="J117">
        <f t="shared" si="9"/>
        <v>-7.0065381014301042E-2</v>
      </c>
    </row>
    <row r="118" spans="1:10" x14ac:dyDescent="0.25">
      <c r="A118" s="1">
        <v>45831</v>
      </c>
      <c r="B118">
        <v>6025.17</v>
      </c>
      <c r="C118">
        <v>6025</v>
      </c>
      <c r="D118">
        <v>0.15138089299999999</v>
      </c>
      <c r="E118">
        <v>4.1166999999999995E-2</v>
      </c>
      <c r="F118" s="8">
        <f t="shared" si="5"/>
        <v>8.2191780821917804E-2</v>
      </c>
      <c r="G118">
        <f t="shared" si="6"/>
        <v>0.53995231600754567</v>
      </c>
      <c r="H118">
        <f t="shared" si="7"/>
        <v>-0.46004768399245433</v>
      </c>
      <c r="I118">
        <f t="shared" si="8"/>
        <v>7.9904632015091348E-2</v>
      </c>
      <c r="J118">
        <f t="shared" si="9"/>
        <v>-7.9904632015091348E-2</v>
      </c>
    </row>
    <row r="119" spans="1:10" x14ac:dyDescent="0.25">
      <c r="A119" s="1">
        <v>45832</v>
      </c>
      <c r="B119">
        <v>6092.18</v>
      </c>
      <c r="C119">
        <v>6090</v>
      </c>
      <c r="D119">
        <v>0.137442857</v>
      </c>
      <c r="E119">
        <v>4.1035000000000002E-2</v>
      </c>
      <c r="F119" s="8">
        <f t="shared" si="5"/>
        <v>8.2191780821917804E-2</v>
      </c>
      <c r="G119">
        <f t="shared" si="6"/>
        <v>0.54553145914515966</v>
      </c>
      <c r="H119">
        <f t="shared" si="7"/>
        <v>-0.45446854085484034</v>
      </c>
      <c r="I119">
        <f t="shared" si="8"/>
        <v>9.1062918290319317E-2</v>
      </c>
      <c r="J119">
        <f t="shared" si="9"/>
        <v>-9.1062918290319317E-2</v>
      </c>
    </row>
    <row r="120" spans="1:10" x14ac:dyDescent="0.25">
      <c r="A120" s="1">
        <v>45833</v>
      </c>
      <c r="B120">
        <v>6092.16</v>
      </c>
      <c r="C120">
        <v>6090</v>
      </c>
      <c r="D120">
        <v>0.13573125</v>
      </c>
      <c r="E120">
        <v>4.1055000000000001E-2</v>
      </c>
      <c r="F120" s="8">
        <f t="shared" si="5"/>
        <v>8.2191780821917804E-2</v>
      </c>
      <c r="G120">
        <f t="shared" si="6"/>
        <v>0.54589069843556193</v>
      </c>
      <c r="H120">
        <f t="shared" si="7"/>
        <v>-0.45410930156443807</v>
      </c>
      <c r="I120">
        <f t="shared" si="8"/>
        <v>9.1781396871123855E-2</v>
      </c>
      <c r="J120">
        <f t="shared" si="9"/>
        <v>-9.1781396871123855E-2</v>
      </c>
    </row>
    <row r="121" spans="1:10" x14ac:dyDescent="0.25">
      <c r="A121" s="1">
        <v>45834</v>
      </c>
      <c r="B121">
        <v>6141.02</v>
      </c>
      <c r="C121">
        <v>6140</v>
      </c>
      <c r="D121">
        <v>0.13306142900000001</v>
      </c>
      <c r="E121">
        <v>4.0898000000000004E-2</v>
      </c>
      <c r="F121" s="8">
        <f t="shared" si="5"/>
        <v>8.2191780821917804E-2</v>
      </c>
      <c r="G121">
        <f t="shared" si="6"/>
        <v>0.54440832934856409</v>
      </c>
      <c r="H121">
        <f t="shared" si="7"/>
        <v>-0.45559167065143591</v>
      </c>
      <c r="I121">
        <f t="shared" si="8"/>
        <v>8.8816658697128181E-2</v>
      </c>
      <c r="J121">
        <f t="shared" si="9"/>
        <v>-8.8816658697128181E-2</v>
      </c>
    </row>
    <row r="122" spans="1:10" x14ac:dyDescent="0.25">
      <c r="A122" s="1">
        <v>45835</v>
      </c>
      <c r="B122">
        <v>6173.07</v>
      </c>
      <c r="C122">
        <v>6175</v>
      </c>
      <c r="D122">
        <v>0.13161732100000001</v>
      </c>
      <c r="E122">
        <v>4.1272999999999997E-2</v>
      </c>
      <c r="F122" s="8">
        <f t="shared" si="5"/>
        <v>8.2191780821917804E-2</v>
      </c>
      <c r="G122">
        <f t="shared" si="6"/>
        <v>0.54001992167465507</v>
      </c>
      <c r="H122">
        <f t="shared" si="7"/>
        <v>-0.45998007832534493</v>
      </c>
      <c r="I122">
        <f t="shared" si="8"/>
        <v>8.0039843349310136E-2</v>
      </c>
      <c r="J122">
        <f t="shared" si="9"/>
        <v>-8.0039843349310136E-2</v>
      </c>
    </row>
    <row r="123" spans="1:10" x14ac:dyDescent="0.25">
      <c r="A123" s="1">
        <v>45838</v>
      </c>
      <c r="B123">
        <v>6204.95</v>
      </c>
      <c r="C123">
        <v>6205</v>
      </c>
      <c r="D123">
        <v>0.13114500000000001</v>
      </c>
      <c r="E123">
        <v>4.2084999999999997E-2</v>
      </c>
      <c r="F123" s="8">
        <f t="shared" si="5"/>
        <v>8.2191780821917804E-2</v>
      </c>
      <c r="G123">
        <f t="shared" si="6"/>
        <v>0.54402733665706804</v>
      </c>
      <c r="H123">
        <f t="shared" si="7"/>
        <v>-0.45597266334293196</v>
      </c>
      <c r="I123">
        <f t="shared" si="8"/>
        <v>8.8054673314136078E-2</v>
      </c>
      <c r="J123">
        <f t="shared" si="9"/>
        <v>-8.8054673314136078E-2</v>
      </c>
    </row>
    <row r="124" spans="1:10" x14ac:dyDescent="0.25">
      <c r="A124" s="1">
        <v>45839</v>
      </c>
      <c r="B124">
        <v>6198.01</v>
      </c>
      <c r="C124">
        <v>6200</v>
      </c>
      <c r="D124">
        <v>0.13393696399999999</v>
      </c>
      <c r="E124">
        <v>4.2539E-2</v>
      </c>
      <c r="F124" s="8">
        <f t="shared" si="5"/>
        <v>8.2191780821917804E-2</v>
      </c>
      <c r="G124">
        <f t="shared" si="6"/>
        <v>0.54057939092790563</v>
      </c>
      <c r="H124">
        <f t="shared" si="7"/>
        <v>-0.45942060907209437</v>
      </c>
      <c r="I124">
        <f t="shared" si="8"/>
        <v>8.1158781855811268E-2</v>
      </c>
      <c r="J124">
        <f t="shared" si="9"/>
        <v>-8.1158781855811268E-2</v>
      </c>
    </row>
    <row r="125" spans="1:10" x14ac:dyDescent="0.25">
      <c r="A125" s="1">
        <v>45840</v>
      </c>
      <c r="B125">
        <v>6227.42</v>
      </c>
      <c r="C125">
        <v>6225</v>
      </c>
      <c r="D125">
        <v>0.13301750000000001</v>
      </c>
      <c r="E125">
        <v>4.2126000000000004E-2</v>
      </c>
      <c r="F125" s="8">
        <f t="shared" si="5"/>
        <v>8.2191780821917804E-2</v>
      </c>
      <c r="G125">
        <f t="shared" si="6"/>
        <v>0.54777956320717169</v>
      </c>
      <c r="H125">
        <f t="shared" si="7"/>
        <v>-0.45222043679282831</v>
      </c>
      <c r="I125">
        <f t="shared" si="8"/>
        <v>9.5559126414343387E-2</v>
      </c>
      <c r="J125">
        <f t="shared" si="9"/>
        <v>-9.5559126414343387E-2</v>
      </c>
    </row>
    <row r="126" spans="1:10" x14ac:dyDescent="0.25">
      <c r="A126" s="1">
        <v>45841</v>
      </c>
      <c r="B126">
        <v>6279.35</v>
      </c>
      <c r="C126">
        <v>6280</v>
      </c>
      <c r="D126">
        <v>0.131907143</v>
      </c>
      <c r="E126">
        <v>4.2182999999999998E-2</v>
      </c>
      <c r="F126" s="8">
        <f t="shared" si="5"/>
        <v>8.2191780821917804E-2</v>
      </c>
      <c r="G126">
        <f t="shared" si="6"/>
        <v>0.54294386072473222</v>
      </c>
      <c r="H126">
        <f t="shared" si="7"/>
        <v>-0.45705613927526778</v>
      </c>
      <c r="I126">
        <f t="shared" si="8"/>
        <v>8.5887721449464438E-2</v>
      </c>
      <c r="J126">
        <f t="shared" si="9"/>
        <v>-8.5887721449464438E-2</v>
      </c>
    </row>
    <row r="127" spans="1:10" x14ac:dyDescent="0.25">
      <c r="A127" s="1">
        <v>45845</v>
      </c>
      <c r="B127">
        <v>6229.98</v>
      </c>
      <c r="C127">
        <v>6230</v>
      </c>
      <c r="D127">
        <v>0.13827482099999999</v>
      </c>
      <c r="E127">
        <v>4.3055000000000003E-2</v>
      </c>
      <c r="F127" s="8">
        <f t="shared" si="5"/>
        <v>8.2191780821917804E-2</v>
      </c>
      <c r="G127">
        <f t="shared" si="6"/>
        <v>0.54340187500439541</v>
      </c>
      <c r="H127">
        <f t="shared" si="7"/>
        <v>-0.45659812499560459</v>
      </c>
      <c r="I127">
        <f t="shared" si="8"/>
        <v>8.6803750008790814E-2</v>
      </c>
      <c r="J127">
        <f t="shared" si="9"/>
        <v>-8.6803750008790814E-2</v>
      </c>
    </row>
    <row r="128" spans="1:10" x14ac:dyDescent="0.25">
      <c r="A128" s="1">
        <v>45846</v>
      </c>
      <c r="B128">
        <v>6225.52</v>
      </c>
      <c r="C128">
        <v>6225</v>
      </c>
      <c r="D128">
        <v>0.13121142899999999</v>
      </c>
      <c r="E128">
        <v>4.2896000000000004E-2</v>
      </c>
      <c r="F128" s="8">
        <f t="shared" si="5"/>
        <v>8.2191780821917804E-2</v>
      </c>
      <c r="G128">
        <f t="shared" si="6"/>
        <v>0.54568032414235779</v>
      </c>
      <c r="H128">
        <f t="shared" si="7"/>
        <v>-0.45431967585764221</v>
      </c>
      <c r="I128">
        <f t="shared" si="8"/>
        <v>9.1360648284715573E-2</v>
      </c>
      <c r="J128">
        <f t="shared" si="9"/>
        <v>-9.1360648284715573E-2</v>
      </c>
    </row>
    <row r="129" spans="1:10" x14ac:dyDescent="0.25">
      <c r="A129" s="1">
        <v>45847</v>
      </c>
      <c r="B129">
        <v>6263.26</v>
      </c>
      <c r="C129">
        <v>6265</v>
      </c>
      <c r="D129">
        <v>0.12396125</v>
      </c>
      <c r="E129">
        <v>4.2942000000000001E-2</v>
      </c>
      <c r="F129" s="8">
        <f t="shared" si="5"/>
        <v>8.2191780821917804E-2</v>
      </c>
      <c r="G129">
        <f t="shared" si="6"/>
        <v>0.54350473284196066</v>
      </c>
      <c r="H129">
        <f t="shared" si="7"/>
        <v>-0.45649526715803934</v>
      </c>
      <c r="I129">
        <f t="shared" si="8"/>
        <v>8.7009465683921317E-2</v>
      </c>
      <c r="J129">
        <f t="shared" si="9"/>
        <v>-8.7009465683921317E-2</v>
      </c>
    </row>
    <row r="130" spans="1:10" x14ac:dyDescent="0.25">
      <c r="A130" s="1">
        <v>45848</v>
      </c>
      <c r="B130">
        <v>6280.46</v>
      </c>
      <c r="C130">
        <v>6280</v>
      </c>
      <c r="D130">
        <v>0.123027857</v>
      </c>
      <c r="E130">
        <v>4.2987999999999998E-2</v>
      </c>
      <c r="F130" s="8">
        <f t="shared" si="5"/>
        <v>8.2191780821917804E-2</v>
      </c>
      <c r="G130">
        <f t="shared" si="6"/>
        <v>0.5477136030452423</v>
      </c>
      <c r="H130">
        <f t="shared" si="7"/>
        <v>-0.4522863969547577</v>
      </c>
      <c r="I130">
        <f t="shared" si="8"/>
        <v>9.5427206090484606E-2</v>
      </c>
      <c r="J130">
        <f t="shared" si="9"/>
        <v>-9.5427206090484606E-2</v>
      </c>
    </row>
    <row r="131" spans="1:10" x14ac:dyDescent="0.25">
      <c r="A131" s="1">
        <v>45849</v>
      </c>
      <c r="B131">
        <v>6259.75</v>
      </c>
      <c r="C131">
        <v>6260</v>
      </c>
      <c r="D131">
        <v>0.128415</v>
      </c>
      <c r="E131">
        <v>4.2907000000000001E-2</v>
      </c>
      <c r="F131" s="8">
        <f t="shared" ref="F131:F194" si="10">30/365</f>
        <v>8.2191780821917804E-2</v>
      </c>
      <c r="G131">
        <f t="shared" ref="G131:G194" si="11">_xlfn.NORM.S.DIST((LN(B131/C131)+(E131+0.5*(D131)^2)*F131)/(D131*SQRT(F131)),TRUE)</f>
        <v>0.54503004943096756</v>
      </c>
      <c r="H131">
        <f t="shared" ref="H131:H194" si="12">G131-1</f>
        <v>-0.45496995056903244</v>
      </c>
      <c r="I131">
        <f t="shared" ref="I131:I194" si="13">G131+H131</f>
        <v>9.0060098861935112E-2</v>
      </c>
      <c r="J131">
        <f t="shared" ref="J131:J194" si="14">-I131</f>
        <v>-9.0060098861935112E-2</v>
      </c>
    </row>
    <row r="132" spans="1:10" x14ac:dyDescent="0.25">
      <c r="A132" s="1">
        <v>45852</v>
      </c>
      <c r="B132">
        <v>6268.56</v>
      </c>
      <c r="C132">
        <v>6270</v>
      </c>
      <c r="D132">
        <v>0.13280500000000001</v>
      </c>
      <c r="E132">
        <v>4.3055000000000003E-2</v>
      </c>
      <c r="F132" s="8">
        <f t="shared" si="10"/>
        <v>8.2191780821917804E-2</v>
      </c>
      <c r="G132">
        <f t="shared" si="11"/>
        <v>0.54218846151295963</v>
      </c>
      <c r="H132">
        <f t="shared" si="12"/>
        <v>-0.45781153848704037</v>
      </c>
      <c r="I132">
        <f t="shared" si="13"/>
        <v>8.4376923025919259E-2</v>
      </c>
      <c r="J132">
        <f t="shared" si="14"/>
        <v>-8.4376923025919259E-2</v>
      </c>
    </row>
    <row r="133" spans="1:10" x14ac:dyDescent="0.25">
      <c r="A133" s="1">
        <v>45853</v>
      </c>
      <c r="B133">
        <v>6243.76</v>
      </c>
      <c r="C133">
        <v>6245</v>
      </c>
      <c r="D133">
        <v>0.1372775</v>
      </c>
      <c r="E133">
        <v>4.2998000000000001E-2</v>
      </c>
      <c r="F133" s="8">
        <f t="shared" si="10"/>
        <v>8.2191780821917804E-2</v>
      </c>
      <c r="G133">
        <f t="shared" si="11"/>
        <v>0.54158582649849407</v>
      </c>
      <c r="H133">
        <f t="shared" si="12"/>
        <v>-0.45841417350150593</v>
      </c>
      <c r="I133">
        <f t="shared" si="13"/>
        <v>8.3171652996988144E-2</v>
      </c>
      <c r="J133">
        <f t="shared" si="14"/>
        <v>-8.3171652996988144E-2</v>
      </c>
    </row>
    <row r="134" spans="1:10" x14ac:dyDescent="0.25">
      <c r="A134" s="1">
        <v>45854</v>
      </c>
      <c r="B134">
        <v>6263.7</v>
      </c>
      <c r="C134">
        <v>6265</v>
      </c>
      <c r="D134">
        <v>0.13607</v>
      </c>
      <c r="E134">
        <v>4.2967999999999999E-2</v>
      </c>
      <c r="F134" s="8">
        <f t="shared" si="10"/>
        <v>8.2191780821917804E-2</v>
      </c>
      <c r="G134">
        <f t="shared" si="11"/>
        <v>0.54169949943693052</v>
      </c>
      <c r="H134">
        <f t="shared" si="12"/>
        <v>-0.45830050056306948</v>
      </c>
      <c r="I134">
        <f t="shared" si="13"/>
        <v>8.3398998873861041E-2</v>
      </c>
      <c r="J134">
        <f t="shared" si="14"/>
        <v>-8.3398998873861041E-2</v>
      </c>
    </row>
    <row r="135" spans="1:10" x14ac:dyDescent="0.25">
      <c r="A135" s="1">
        <v>45855</v>
      </c>
      <c r="B135">
        <v>6297.36</v>
      </c>
      <c r="C135">
        <v>6295</v>
      </c>
      <c r="D135">
        <v>0.13092999999999999</v>
      </c>
      <c r="E135">
        <v>4.2937000000000003E-2</v>
      </c>
      <c r="F135" s="8">
        <f t="shared" si="10"/>
        <v>8.2191780821917804E-2</v>
      </c>
      <c r="G135">
        <f t="shared" si="11"/>
        <v>0.54885580957416202</v>
      </c>
      <c r="H135">
        <f t="shared" si="12"/>
        <v>-0.45114419042583798</v>
      </c>
      <c r="I135">
        <f t="shared" si="13"/>
        <v>9.7711619148324047E-2</v>
      </c>
      <c r="J135">
        <f t="shared" si="14"/>
        <v>-9.7711619148324047E-2</v>
      </c>
    </row>
    <row r="136" spans="1:10" x14ac:dyDescent="0.25">
      <c r="A136" s="1">
        <v>45856</v>
      </c>
      <c r="B136">
        <v>6296.79</v>
      </c>
      <c r="C136">
        <v>6295</v>
      </c>
      <c r="D136">
        <v>0.13107485699999999</v>
      </c>
      <c r="E136">
        <v>4.2804000000000002E-2</v>
      </c>
      <c r="F136" s="8">
        <f t="shared" si="10"/>
        <v>8.2191780821917804E-2</v>
      </c>
      <c r="G136">
        <f t="shared" si="11"/>
        <v>0.54774939092353214</v>
      </c>
      <c r="H136">
        <f t="shared" si="12"/>
        <v>-0.45225060907646786</v>
      </c>
      <c r="I136">
        <f t="shared" si="13"/>
        <v>9.5498781847064285E-2</v>
      </c>
      <c r="J136">
        <f t="shared" si="14"/>
        <v>-9.5498781847064285E-2</v>
      </c>
    </row>
    <row r="137" spans="1:10" x14ac:dyDescent="0.25">
      <c r="A137" s="1">
        <v>45859</v>
      </c>
      <c r="B137">
        <v>6305.6</v>
      </c>
      <c r="C137">
        <v>6305</v>
      </c>
      <c r="D137">
        <v>0.12927428599999999</v>
      </c>
      <c r="E137">
        <v>4.2952999999999998E-2</v>
      </c>
      <c r="F137" s="8">
        <f t="shared" si="10"/>
        <v>8.2191780821917804E-2</v>
      </c>
      <c r="G137">
        <f t="shared" si="11"/>
        <v>0.54631445977671456</v>
      </c>
      <c r="H137">
        <f t="shared" si="12"/>
        <v>-0.45368554022328544</v>
      </c>
      <c r="I137">
        <f t="shared" si="13"/>
        <v>9.2628919553429112E-2</v>
      </c>
      <c r="J137">
        <f t="shared" si="14"/>
        <v>-9.2628919553429112E-2</v>
      </c>
    </row>
    <row r="138" spans="1:10" x14ac:dyDescent="0.25">
      <c r="A138" s="1">
        <v>45860</v>
      </c>
      <c r="B138">
        <v>6309.62</v>
      </c>
      <c r="C138">
        <v>6310</v>
      </c>
      <c r="D138">
        <v>0.12863228600000001</v>
      </c>
      <c r="E138">
        <v>4.2870999999999999E-2</v>
      </c>
      <c r="F138" s="8">
        <f t="shared" si="10"/>
        <v>8.2191780821917804E-2</v>
      </c>
      <c r="G138">
        <f t="shared" si="11"/>
        <v>0.54472910029409904</v>
      </c>
      <c r="H138">
        <f t="shared" si="12"/>
        <v>-0.45527089970590096</v>
      </c>
      <c r="I138">
        <f t="shared" si="13"/>
        <v>8.9458200588198089E-2</v>
      </c>
      <c r="J138">
        <f t="shared" si="14"/>
        <v>-8.9458200588198089E-2</v>
      </c>
    </row>
    <row r="139" spans="1:10" x14ac:dyDescent="0.25">
      <c r="A139" s="1">
        <v>45861</v>
      </c>
      <c r="B139">
        <v>6358.91</v>
      </c>
      <c r="C139">
        <v>6360</v>
      </c>
      <c r="D139">
        <v>0.120937</v>
      </c>
      <c r="E139">
        <v>4.2815000000000006E-2</v>
      </c>
      <c r="F139" s="8">
        <f t="shared" si="10"/>
        <v>8.2191780821917804E-2</v>
      </c>
      <c r="G139">
        <f t="shared" si="11"/>
        <v>0.54533701549619007</v>
      </c>
      <c r="H139">
        <f t="shared" si="12"/>
        <v>-0.45466298450380993</v>
      </c>
      <c r="I139">
        <f t="shared" si="13"/>
        <v>9.0674030992380139E-2</v>
      </c>
      <c r="J139">
        <f t="shared" si="14"/>
        <v>-9.0674030992380139E-2</v>
      </c>
    </row>
    <row r="140" spans="1:10" x14ac:dyDescent="0.25">
      <c r="A140" s="1">
        <v>45862</v>
      </c>
      <c r="B140">
        <v>6363.35</v>
      </c>
      <c r="C140">
        <v>6365</v>
      </c>
      <c r="D140">
        <v>0.12042700000000001</v>
      </c>
      <c r="E140">
        <v>4.2834999999999998E-2</v>
      </c>
      <c r="F140" s="8">
        <f t="shared" si="10"/>
        <v>8.2191780821917804E-2</v>
      </c>
      <c r="G140">
        <f t="shared" si="11"/>
        <v>0.54448015025501406</v>
      </c>
      <c r="H140">
        <f t="shared" si="12"/>
        <v>-0.45551984974498594</v>
      </c>
      <c r="I140">
        <f t="shared" si="13"/>
        <v>8.8960300510028123E-2</v>
      </c>
      <c r="J140">
        <f t="shared" si="14"/>
        <v>-8.8960300510028123E-2</v>
      </c>
    </row>
    <row r="141" spans="1:10" x14ac:dyDescent="0.25">
      <c r="A141" s="1">
        <v>45863</v>
      </c>
      <c r="B141">
        <v>6388.64</v>
      </c>
      <c r="C141">
        <v>6390</v>
      </c>
      <c r="D141">
        <v>0.116012714</v>
      </c>
      <c r="E141">
        <v>4.3110999999999997E-2</v>
      </c>
      <c r="F141" s="8">
        <f t="shared" si="10"/>
        <v>8.2191780821917804E-2</v>
      </c>
      <c r="G141">
        <f t="shared" si="11"/>
        <v>0.54647734026967887</v>
      </c>
      <c r="H141">
        <f t="shared" si="12"/>
        <v>-0.45352265973032113</v>
      </c>
      <c r="I141">
        <f t="shared" si="13"/>
        <v>9.2954680539357737E-2</v>
      </c>
      <c r="J141">
        <f t="shared" si="14"/>
        <v>-9.2954680539357737E-2</v>
      </c>
    </row>
    <row r="142" spans="1:10" x14ac:dyDescent="0.25">
      <c r="A142" s="1">
        <v>45866</v>
      </c>
      <c r="B142">
        <v>6389.77</v>
      </c>
      <c r="C142">
        <v>6390</v>
      </c>
      <c r="D142">
        <v>0.113440714</v>
      </c>
      <c r="E142">
        <v>4.3258999999999999E-2</v>
      </c>
      <c r="F142" s="8">
        <f t="shared" si="10"/>
        <v>8.2191780821917804E-2</v>
      </c>
      <c r="G142">
        <f t="shared" si="11"/>
        <v>0.54953239356672068</v>
      </c>
      <c r="H142">
        <f t="shared" si="12"/>
        <v>-0.45046760643327932</v>
      </c>
      <c r="I142">
        <f t="shared" si="13"/>
        <v>9.9064787133441357E-2</v>
      </c>
      <c r="J142">
        <f t="shared" si="14"/>
        <v>-9.9064787133441357E-2</v>
      </c>
    </row>
    <row r="143" spans="1:10" x14ac:dyDescent="0.25">
      <c r="A143" s="1">
        <v>45867</v>
      </c>
      <c r="B143">
        <v>6370.86</v>
      </c>
      <c r="C143">
        <v>6370</v>
      </c>
      <c r="D143">
        <v>0.12053357100000001</v>
      </c>
      <c r="E143">
        <v>4.3254000000000001E-2</v>
      </c>
      <c r="F143" s="8">
        <f t="shared" si="10"/>
        <v>8.2191780821917804E-2</v>
      </c>
      <c r="G143">
        <f t="shared" si="11"/>
        <v>0.54936808736331366</v>
      </c>
      <c r="H143">
        <f t="shared" si="12"/>
        <v>-0.45063191263668634</v>
      </c>
      <c r="I143">
        <f t="shared" si="13"/>
        <v>9.8736174726627324E-2</v>
      </c>
      <c r="J143">
        <f t="shared" si="14"/>
        <v>-9.8736174726627324E-2</v>
      </c>
    </row>
    <row r="144" spans="1:10" x14ac:dyDescent="0.25">
      <c r="A144" s="1">
        <v>45868</v>
      </c>
      <c r="B144">
        <v>6362.9</v>
      </c>
      <c r="C144">
        <v>6365</v>
      </c>
      <c r="D144">
        <v>0.12195499999999999</v>
      </c>
      <c r="E144">
        <v>4.3400999999999995E-2</v>
      </c>
      <c r="F144" s="8">
        <f t="shared" si="10"/>
        <v>8.2191780821917804E-2</v>
      </c>
      <c r="G144">
        <f t="shared" si="11"/>
        <v>0.54382328638709121</v>
      </c>
      <c r="H144">
        <f t="shared" si="12"/>
        <v>-0.45617671361290879</v>
      </c>
      <c r="I144">
        <f t="shared" si="13"/>
        <v>8.7646572774182419E-2</v>
      </c>
      <c r="J144">
        <f t="shared" si="14"/>
        <v>-8.7646572774182419E-2</v>
      </c>
    </row>
    <row r="145" spans="1:10" x14ac:dyDescent="0.25">
      <c r="A145" s="1">
        <v>45869</v>
      </c>
      <c r="B145">
        <v>6339.39</v>
      </c>
      <c r="C145">
        <v>6340</v>
      </c>
      <c r="D145">
        <v>0.12905857100000001</v>
      </c>
      <c r="E145">
        <v>4.3548999999999997E-2</v>
      </c>
      <c r="F145" s="8">
        <f t="shared" si="10"/>
        <v>8.2191780821917804E-2</v>
      </c>
      <c r="G145">
        <f t="shared" si="11"/>
        <v>0.54484174734626911</v>
      </c>
      <c r="H145">
        <f t="shared" si="12"/>
        <v>-0.45515825265373089</v>
      </c>
      <c r="I145">
        <f t="shared" si="13"/>
        <v>8.9683494692538224E-2</v>
      </c>
      <c r="J145">
        <f t="shared" si="14"/>
        <v>-8.9683494692538224E-2</v>
      </c>
    </row>
    <row r="146" spans="1:10" x14ac:dyDescent="0.25">
      <c r="A146" s="1">
        <v>45870</v>
      </c>
      <c r="B146">
        <v>6238.01</v>
      </c>
      <c r="C146">
        <v>6240</v>
      </c>
      <c r="D146">
        <v>0.15867100000000001</v>
      </c>
      <c r="E146">
        <v>4.3238000000000006E-2</v>
      </c>
      <c r="F146" s="8">
        <f t="shared" si="10"/>
        <v>8.2191780821917804E-2</v>
      </c>
      <c r="G146">
        <f t="shared" si="11"/>
        <v>0.5373884791458261</v>
      </c>
      <c r="H146">
        <f t="shared" si="12"/>
        <v>-0.4626115208541739</v>
      </c>
      <c r="I146">
        <f t="shared" si="13"/>
        <v>7.4776958291652207E-2</v>
      </c>
      <c r="J146">
        <f t="shared" si="14"/>
        <v>-7.4776958291652207E-2</v>
      </c>
    </row>
    <row r="147" spans="1:10" x14ac:dyDescent="0.25">
      <c r="A147" s="1">
        <v>45873</v>
      </c>
      <c r="B147">
        <v>6329.94</v>
      </c>
      <c r="C147">
        <v>6330</v>
      </c>
      <c r="D147">
        <v>0.12947457100000001</v>
      </c>
      <c r="E147">
        <v>4.3616000000000002E-2</v>
      </c>
      <c r="F147" s="8">
        <f t="shared" si="10"/>
        <v>8.2191780821917804E-2</v>
      </c>
      <c r="G147">
        <f t="shared" si="11"/>
        <v>0.54573053611628719</v>
      </c>
      <c r="H147">
        <f t="shared" si="12"/>
        <v>-0.45426946388371281</v>
      </c>
      <c r="I147">
        <f t="shared" si="13"/>
        <v>9.1461072232574381E-2</v>
      </c>
      <c r="J147">
        <f t="shared" si="14"/>
        <v>-9.1461072232574381E-2</v>
      </c>
    </row>
    <row r="148" spans="1:10" x14ac:dyDescent="0.25">
      <c r="A148" s="1">
        <v>45874</v>
      </c>
      <c r="B148">
        <v>6299.19</v>
      </c>
      <c r="C148">
        <v>6300</v>
      </c>
      <c r="D148">
        <v>0.137442857</v>
      </c>
      <c r="E148">
        <v>4.3508999999999999E-2</v>
      </c>
      <c r="F148" s="8">
        <f t="shared" si="10"/>
        <v>8.2191780821917804E-2</v>
      </c>
      <c r="G148">
        <f t="shared" si="11"/>
        <v>0.54268238150457149</v>
      </c>
      <c r="H148">
        <f t="shared" si="12"/>
        <v>-0.45731761849542851</v>
      </c>
      <c r="I148">
        <f t="shared" si="13"/>
        <v>8.5364763009142974E-2</v>
      </c>
      <c r="J148">
        <f t="shared" si="14"/>
        <v>-8.5364763009142974E-2</v>
      </c>
    </row>
    <row r="149" spans="1:10" x14ac:dyDescent="0.25">
      <c r="A149" s="1">
        <v>45875</v>
      </c>
      <c r="B149">
        <v>6345.06</v>
      </c>
      <c r="C149">
        <v>6345</v>
      </c>
      <c r="D149">
        <v>0.12787599999999999</v>
      </c>
      <c r="E149">
        <v>4.3503E-2</v>
      </c>
      <c r="F149" s="8">
        <f t="shared" si="10"/>
        <v>8.2191780821917804E-2</v>
      </c>
      <c r="G149">
        <f t="shared" si="11"/>
        <v>0.54622118973396017</v>
      </c>
      <c r="H149">
        <f t="shared" si="12"/>
        <v>-0.45377881026603983</v>
      </c>
      <c r="I149">
        <f t="shared" si="13"/>
        <v>9.2442379467920333E-2</v>
      </c>
      <c r="J149">
        <f t="shared" si="14"/>
        <v>-9.2442379467920333E-2</v>
      </c>
    </row>
    <row r="150" spans="1:10" x14ac:dyDescent="0.25">
      <c r="A150" s="1">
        <v>45876</v>
      </c>
      <c r="B150">
        <v>6340</v>
      </c>
      <c r="C150">
        <v>6340</v>
      </c>
      <c r="D150">
        <v>0.13104371400000001</v>
      </c>
      <c r="E150">
        <v>4.3319999999999997E-2</v>
      </c>
      <c r="F150" s="8">
        <f t="shared" si="10"/>
        <v>8.2191780821917804E-2</v>
      </c>
      <c r="G150">
        <f t="shared" si="11"/>
        <v>0.54520588076390075</v>
      </c>
      <c r="H150">
        <f t="shared" si="12"/>
        <v>-0.45479411923609925</v>
      </c>
      <c r="I150">
        <f t="shared" si="13"/>
        <v>9.0411761527801504E-2</v>
      </c>
      <c r="J150">
        <f t="shared" si="14"/>
        <v>-9.0411761527801504E-2</v>
      </c>
    </row>
    <row r="151" spans="1:10" x14ac:dyDescent="0.25">
      <c r="A151" s="1">
        <v>45877</v>
      </c>
      <c r="B151">
        <v>6389.45</v>
      </c>
      <c r="C151">
        <v>6390</v>
      </c>
      <c r="D151">
        <v>0.11959842900000001</v>
      </c>
      <c r="E151">
        <v>4.3238000000000006E-2</v>
      </c>
      <c r="F151" s="8">
        <f t="shared" si="10"/>
        <v>8.2191780821917804E-2</v>
      </c>
      <c r="G151">
        <f t="shared" si="11"/>
        <v>0.5470770729942217</v>
      </c>
      <c r="H151">
        <f t="shared" si="12"/>
        <v>-0.4529229270057783</v>
      </c>
      <c r="I151">
        <f t="shared" si="13"/>
        <v>9.4154145988443405E-2</v>
      </c>
      <c r="J151">
        <f t="shared" si="14"/>
        <v>-9.4154145988443405E-2</v>
      </c>
    </row>
    <row r="152" spans="1:10" x14ac:dyDescent="0.25">
      <c r="A152" s="1">
        <v>45880</v>
      </c>
      <c r="B152">
        <v>6373.45</v>
      </c>
      <c r="C152">
        <v>6375</v>
      </c>
      <c r="D152">
        <v>0.125190143</v>
      </c>
      <c r="E152">
        <v>4.3361000000000004E-2</v>
      </c>
      <c r="F152" s="8">
        <f t="shared" si="10"/>
        <v>8.2191780821917804E-2</v>
      </c>
      <c r="G152">
        <f t="shared" si="11"/>
        <v>0.54398125683589704</v>
      </c>
      <c r="H152">
        <f t="shared" si="12"/>
        <v>-0.45601874316410296</v>
      </c>
      <c r="I152">
        <f t="shared" si="13"/>
        <v>8.7962513671794085E-2</v>
      </c>
      <c r="J152">
        <f t="shared" si="14"/>
        <v>-8.7962513671794085E-2</v>
      </c>
    </row>
    <row r="153" spans="1:10" x14ac:dyDescent="0.25">
      <c r="A153" s="1">
        <v>45881</v>
      </c>
      <c r="B153">
        <v>6445.76</v>
      </c>
      <c r="C153">
        <v>6445</v>
      </c>
      <c r="D153">
        <v>0.110332286</v>
      </c>
      <c r="E153">
        <v>4.3023999999999993E-2</v>
      </c>
      <c r="F153" s="8">
        <f t="shared" si="10"/>
        <v>8.2191780821917804E-2</v>
      </c>
      <c r="G153">
        <f t="shared" si="11"/>
        <v>0.55224619195876024</v>
      </c>
      <c r="H153">
        <f t="shared" si="12"/>
        <v>-0.44775380804123976</v>
      </c>
      <c r="I153">
        <f t="shared" si="13"/>
        <v>0.10449238391752047</v>
      </c>
      <c r="J153">
        <f t="shared" si="14"/>
        <v>-0.10449238391752047</v>
      </c>
    </row>
    <row r="154" spans="1:10" x14ac:dyDescent="0.25">
      <c r="A154" s="1">
        <v>45882</v>
      </c>
      <c r="B154">
        <v>6466.58</v>
      </c>
      <c r="C154">
        <v>6465</v>
      </c>
      <c r="D154">
        <v>0.109539</v>
      </c>
      <c r="E154">
        <v>4.2992999999999996E-2</v>
      </c>
      <c r="F154" s="8">
        <f t="shared" si="10"/>
        <v>8.2191780821917804E-2</v>
      </c>
      <c r="G154">
        <f t="shared" si="11"/>
        <v>0.55409201537991137</v>
      </c>
      <c r="H154">
        <f t="shared" si="12"/>
        <v>-0.44590798462008863</v>
      </c>
      <c r="I154">
        <f t="shared" si="13"/>
        <v>0.10818403075982275</v>
      </c>
      <c r="J154">
        <f t="shared" si="14"/>
        <v>-0.10818403075982275</v>
      </c>
    </row>
    <row r="155" spans="1:10" x14ac:dyDescent="0.25">
      <c r="A155" s="1">
        <v>45883</v>
      </c>
      <c r="B155">
        <v>6468.54</v>
      </c>
      <c r="C155">
        <v>6470</v>
      </c>
      <c r="D155">
        <v>0.110144429</v>
      </c>
      <c r="E155">
        <v>4.3038999999999994E-2</v>
      </c>
      <c r="F155" s="8">
        <f t="shared" si="10"/>
        <v>8.2191780821917804E-2</v>
      </c>
      <c r="G155">
        <f t="shared" si="11"/>
        <v>0.54802239190274205</v>
      </c>
      <c r="H155">
        <f t="shared" si="12"/>
        <v>-0.45197760809725795</v>
      </c>
      <c r="I155">
        <f t="shared" si="13"/>
        <v>9.6044783805484091E-2</v>
      </c>
      <c r="J155">
        <f t="shared" si="14"/>
        <v>-9.6044783805484091E-2</v>
      </c>
    </row>
    <row r="156" spans="1:10" x14ac:dyDescent="0.25">
      <c r="A156" s="1">
        <v>45884</v>
      </c>
      <c r="B156">
        <v>6449.8</v>
      </c>
      <c r="C156">
        <v>6450</v>
      </c>
      <c r="D156">
        <v>0.12078</v>
      </c>
      <c r="E156">
        <v>4.3136000000000001E-2</v>
      </c>
      <c r="F156" s="8">
        <f t="shared" si="10"/>
        <v>8.2191780821917804E-2</v>
      </c>
      <c r="G156">
        <f t="shared" si="11"/>
        <v>0.54728631362659286</v>
      </c>
      <c r="H156">
        <f t="shared" si="12"/>
        <v>-0.45271368637340714</v>
      </c>
      <c r="I156">
        <f t="shared" si="13"/>
        <v>9.4572627253185715E-2</v>
      </c>
      <c r="J156">
        <f t="shared" si="14"/>
        <v>-9.4572627253185715E-2</v>
      </c>
    </row>
    <row r="157" spans="1:10" x14ac:dyDescent="0.25">
      <c r="A157" s="1">
        <v>45887</v>
      </c>
      <c r="B157">
        <v>6449.15</v>
      </c>
      <c r="C157">
        <v>6450</v>
      </c>
      <c r="D157">
        <v>0.11673</v>
      </c>
      <c r="E157">
        <v>4.3437000000000003E-2</v>
      </c>
      <c r="F157" s="8">
        <f t="shared" si="10"/>
        <v>8.2191780821917804E-2</v>
      </c>
      <c r="G157">
        <f t="shared" si="11"/>
        <v>0.54755114269457117</v>
      </c>
      <c r="H157">
        <f t="shared" si="12"/>
        <v>-0.45244885730542883</v>
      </c>
      <c r="I157">
        <f t="shared" si="13"/>
        <v>9.5102285389142338E-2</v>
      </c>
      <c r="J157">
        <f t="shared" si="14"/>
        <v>-9.5102285389142338E-2</v>
      </c>
    </row>
    <row r="158" spans="1:10" x14ac:dyDescent="0.25">
      <c r="A158" s="1">
        <v>45888</v>
      </c>
      <c r="B158">
        <v>6411.37</v>
      </c>
      <c r="C158">
        <v>6410</v>
      </c>
      <c r="D158">
        <v>0.123015</v>
      </c>
      <c r="E158">
        <v>4.3380999999999996E-2</v>
      </c>
      <c r="F158" s="8">
        <f t="shared" si="10"/>
        <v>8.2191780821917804E-2</v>
      </c>
      <c r="G158">
        <f t="shared" si="11"/>
        <v>0.54965680190703226</v>
      </c>
      <c r="H158">
        <f t="shared" si="12"/>
        <v>-0.45034319809296774</v>
      </c>
      <c r="I158">
        <f t="shared" si="13"/>
        <v>9.9313603814064511E-2</v>
      </c>
      <c r="J158">
        <f t="shared" si="14"/>
        <v>-9.9313603814064511E-2</v>
      </c>
    </row>
    <row r="159" spans="1:10" x14ac:dyDescent="0.25">
      <c r="A159" s="1">
        <v>45889</v>
      </c>
      <c r="B159">
        <v>6395.78</v>
      </c>
      <c r="C159">
        <v>6395</v>
      </c>
      <c r="D159">
        <v>0.12742500000000001</v>
      </c>
      <c r="E159">
        <v>4.3299000000000004E-2</v>
      </c>
      <c r="F159" s="8">
        <f t="shared" si="10"/>
        <v>8.2191780821917804E-2</v>
      </c>
      <c r="G159">
        <f t="shared" si="11"/>
        <v>0.54737102146846073</v>
      </c>
      <c r="H159">
        <f t="shared" si="12"/>
        <v>-0.45262897853153927</v>
      </c>
      <c r="I159">
        <f t="shared" si="13"/>
        <v>9.4742042936921456E-2</v>
      </c>
      <c r="J159">
        <f t="shared" si="14"/>
        <v>-9.4742042936921456E-2</v>
      </c>
    </row>
    <row r="160" spans="1:10" x14ac:dyDescent="0.25">
      <c r="A160" s="1">
        <v>45890</v>
      </c>
      <c r="B160">
        <v>6370.17</v>
      </c>
      <c r="C160">
        <v>6370</v>
      </c>
      <c r="D160">
        <v>0.13802321400000001</v>
      </c>
      <c r="E160">
        <v>4.3345000000000002E-2</v>
      </c>
      <c r="F160" s="8">
        <f t="shared" si="10"/>
        <v>8.2191780821917804E-2</v>
      </c>
      <c r="G160">
        <f t="shared" si="11"/>
        <v>0.54399052495988276</v>
      </c>
      <c r="H160">
        <f t="shared" si="12"/>
        <v>-0.45600947504011724</v>
      </c>
      <c r="I160">
        <f t="shared" si="13"/>
        <v>8.7981049919765519E-2</v>
      </c>
      <c r="J160">
        <f t="shared" si="14"/>
        <v>-8.7981049919765519E-2</v>
      </c>
    </row>
    <row r="161" spans="1:10" x14ac:dyDescent="0.25">
      <c r="A161" s="1">
        <v>45891</v>
      </c>
      <c r="B161">
        <v>6466.91</v>
      </c>
      <c r="C161">
        <v>6465</v>
      </c>
      <c r="D161">
        <v>0.115648929</v>
      </c>
      <c r="E161">
        <v>4.3085000000000005E-2</v>
      </c>
      <c r="F161" s="8">
        <f t="shared" si="10"/>
        <v>8.2191780821917804E-2</v>
      </c>
      <c r="G161">
        <f t="shared" si="11"/>
        <v>0.55262405617511012</v>
      </c>
      <c r="H161">
        <f t="shared" si="12"/>
        <v>-0.44737594382488988</v>
      </c>
      <c r="I161">
        <f t="shared" si="13"/>
        <v>0.10524811235022025</v>
      </c>
      <c r="J161">
        <f t="shared" si="14"/>
        <v>-0.10524811235022025</v>
      </c>
    </row>
    <row r="162" spans="1:10" x14ac:dyDescent="0.25">
      <c r="A162" s="1">
        <v>45894</v>
      </c>
      <c r="B162">
        <v>6439.32</v>
      </c>
      <c r="C162">
        <v>6440</v>
      </c>
      <c r="D162">
        <v>0.116292679</v>
      </c>
      <c r="E162">
        <v>4.3385999999999994E-2</v>
      </c>
      <c r="F162" s="8">
        <f t="shared" si="10"/>
        <v>8.2191780821917804E-2</v>
      </c>
      <c r="G162">
        <f t="shared" si="11"/>
        <v>0.54794075859201974</v>
      </c>
      <c r="H162">
        <f t="shared" si="12"/>
        <v>-0.45205924140798026</v>
      </c>
      <c r="I162">
        <f t="shared" si="13"/>
        <v>9.5881517184039478E-2</v>
      </c>
      <c r="J162">
        <f t="shared" si="14"/>
        <v>-9.5881517184039478E-2</v>
      </c>
    </row>
    <row r="163" spans="1:10" x14ac:dyDescent="0.25">
      <c r="A163" s="1">
        <v>45895</v>
      </c>
      <c r="B163">
        <v>6465.94</v>
      </c>
      <c r="C163">
        <v>6465</v>
      </c>
      <c r="D163">
        <v>0.115747857</v>
      </c>
      <c r="E163">
        <v>4.2946999999999999E-2</v>
      </c>
      <c r="F163" s="8">
        <f t="shared" si="10"/>
        <v>8.2191780821917804E-2</v>
      </c>
      <c r="G163">
        <f t="shared" si="11"/>
        <v>0.55066706619603711</v>
      </c>
      <c r="H163">
        <f t="shared" si="12"/>
        <v>-0.44933293380396289</v>
      </c>
      <c r="I163">
        <f t="shared" si="13"/>
        <v>0.10133413239207423</v>
      </c>
      <c r="J163">
        <f t="shared" si="14"/>
        <v>-0.10133413239207423</v>
      </c>
    </row>
    <row r="164" spans="1:10" x14ac:dyDescent="0.25">
      <c r="A164" s="1">
        <v>45896</v>
      </c>
      <c r="B164">
        <v>6481.4</v>
      </c>
      <c r="C164">
        <v>6480</v>
      </c>
      <c r="D164">
        <v>0.11841375</v>
      </c>
      <c r="E164">
        <v>4.2967999999999999E-2</v>
      </c>
      <c r="F164" s="8">
        <f t="shared" si="10"/>
        <v>8.2191780821917804E-2</v>
      </c>
      <c r="G164">
        <f t="shared" si="11"/>
        <v>0.5506750951823105</v>
      </c>
      <c r="H164">
        <f t="shared" si="12"/>
        <v>-0.4493249048176895</v>
      </c>
      <c r="I164">
        <f t="shared" si="13"/>
        <v>0.10135019036462101</v>
      </c>
      <c r="J164">
        <f t="shared" si="14"/>
        <v>-0.10135019036462101</v>
      </c>
    </row>
    <row r="165" spans="1:10" x14ac:dyDescent="0.25">
      <c r="A165" s="1">
        <v>45897</v>
      </c>
      <c r="B165">
        <v>6501.86</v>
      </c>
      <c r="C165">
        <v>6500</v>
      </c>
      <c r="D165">
        <v>0.11395857099999999</v>
      </c>
      <c r="E165">
        <v>4.3038999999999994E-2</v>
      </c>
      <c r="F165" s="8">
        <f t="shared" si="10"/>
        <v>8.2191780821917804E-2</v>
      </c>
      <c r="G165">
        <f t="shared" si="11"/>
        <v>0.55304889120246992</v>
      </c>
      <c r="H165">
        <f t="shared" si="12"/>
        <v>-0.44695110879753008</v>
      </c>
      <c r="I165">
        <f t="shared" si="13"/>
        <v>0.10609778240493983</v>
      </c>
      <c r="J165">
        <f t="shared" si="14"/>
        <v>-0.10609778240493983</v>
      </c>
    </row>
    <row r="166" spans="1:10" x14ac:dyDescent="0.25">
      <c r="A166" s="1">
        <v>45898</v>
      </c>
      <c r="B166">
        <v>6460.26</v>
      </c>
      <c r="C166">
        <v>6460</v>
      </c>
      <c r="D166">
        <v>0.122919643</v>
      </c>
      <c r="E166">
        <v>4.308E-2</v>
      </c>
      <c r="F166" s="8">
        <f t="shared" si="10"/>
        <v>8.2191780821917804E-2</v>
      </c>
      <c r="G166">
        <f t="shared" si="11"/>
        <v>0.54745719813892357</v>
      </c>
      <c r="H166">
        <f t="shared" si="12"/>
        <v>-0.45254280186107643</v>
      </c>
      <c r="I166">
        <f t="shared" si="13"/>
        <v>9.4914396277847146E-2</v>
      </c>
      <c r="J166">
        <f t="shared" si="14"/>
        <v>-9.4914396277847146E-2</v>
      </c>
    </row>
    <row r="167" spans="1:10" x14ac:dyDescent="0.25">
      <c r="A167" s="1">
        <v>45902</v>
      </c>
      <c r="B167">
        <v>6415.54</v>
      </c>
      <c r="C167">
        <v>6415</v>
      </c>
      <c r="D167">
        <v>0.13333892899999999</v>
      </c>
      <c r="E167">
        <v>4.2946999999999999E-2</v>
      </c>
      <c r="F167" s="8">
        <f t="shared" si="10"/>
        <v>8.2191780821917804E-2</v>
      </c>
      <c r="G167">
        <f t="shared" si="11"/>
        <v>0.54524456856984749</v>
      </c>
      <c r="H167">
        <f t="shared" si="12"/>
        <v>-0.45475543143015251</v>
      </c>
      <c r="I167">
        <f t="shared" si="13"/>
        <v>9.0489137139694975E-2</v>
      </c>
      <c r="J167">
        <f t="shared" si="14"/>
        <v>-9.0489137139694975E-2</v>
      </c>
    </row>
    <row r="168" spans="1:10" x14ac:dyDescent="0.25">
      <c r="A168" s="1">
        <v>45903</v>
      </c>
      <c r="B168">
        <v>6448.26</v>
      </c>
      <c r="C168">
        <v>6450</v>
      </c>
      <c r="D168">
        <v>0.1257325</v>
      </c>
      <c r="E168">
        <v>4.2458000000000003E-2</v>
      </c>
      <c r="F168" s="8">
        <f t="shared" si="10"/>
        <v>8.2191780821917804E-2</v>
      </c>
      <c r="G168">
        <f t="shared" si="11"/>
        <v>0.54274418764779697</v>
      </c>
      <c r="H168">
        <f t="shared" si="12"/>
        <v>-0.45725581235220303</v>
      </c>
      <c r="I168">
        <f t="shared" si="13"/>
        <v>8.5488375295593944E-2</v>
      </c>
      <c r="J168">
        <f t="shared" si="14"/>
        <v>-8.5488375295593944E-2</v>
      </c>
    </row>
    <row r="169" spans="1:10" x14ac:dyDescent="0.25">
      <c r="A169" s="1">
        <v>45904</v>
      </c>
      <c r="B169">
        <v>6502.08</v>
      </c>
      <c r="C169">
        <v>6500</v>
      </c>
      <c r="D169">
        <v>0.118337679</v>
      </c>
      <c r="E169">
        <v>4.2426999999999999E-2</v>
      </c>
      <c r="F169" s="8">
        <f t="shared" si="10"/>
        <v>8.2191780821917804E-2</v>
      </c>
      <c r="G169">
        <f t="shared" si="11"/>
        <v>0.55139228954574193</v>
      </c>
      <c r="H169">
        <f t="shared" si="12"/>
        <v>-0.44860771045425807</v>
      </c>
      <c r="I169">
        <f t="shared" si="13"/>
        <v>0.10278457909148386</v>
      </c>
      <c r="J169">
        <f t="shared" si="14"/>
        <v>-0.10278457909148386</v>
      </c>
    </row>
    <row r="170" spans="1:10" x14ac:dyDescent="0.25">
      <c r="A170" s="1">
        <v>45905</v>
      </c>
      <c r="B170">
        <v>6481.5</v>
      </c>
      <c r="C170">
        <v>6480</v>
      </c>
      <c r="D170">
        <v>0.117355</v>
      </c>
      <c r="E170">
        <v>4.1452000000000003E-2</v>
      </c>
      <c r="F170" s="8">
        <f t="shared" si="10"/>
        <v>8.2191780821917804E-2</v>
      </c>
      <c r="G170">
        <f t="shared" si="11"/>
        <v>0.54972492946795204</v>
      </c>
      <c r="H170">
        <f t="shared" si="12"/>
        <v>-0.45027507053204796</v>
      </c>
      <c r="I170">
        <f t="shared" si="13"/>
        <v>9.9449858935904079E-2</v>
      </c>
      <c r="J170">
        <f t="shared" si="14"/>
        <v>-9.9449858935904079E-2</v>
      </c>
    </row>
    <row r="171" spans="1:10" x14ac:dyDescent="0.25">
      <c r="A171" s="1">
        <v>45908</v>
      </c>
      <c r="B171">
        <v>6495.15</v>
      </c>
      <c r="C171">
        <v>6495</v>
      </c>
      <c r="D171">
        <v>0.115210179</v>
      </c>
      <c r="E171">
        <v>4.1676999999999999E-2</v>
      </c>
      <c r="F171" s="8">
        <f t="shared" si="10"/>
        <v>8.2191780821917804E-2</v>
      </c>
      <c r="G171">
        <f t="shared" si="11"/>
        <v>0.54812433078625011</v>
      </c>
      <c r="H171">
        <f t="shared" si="12"/>
        <v>-0.45187566921374989</v>
      </c>
      <c r="I171">
        <f t="shared" si="13"/>
        <v>9.6248661572500227E-2</v>
      </c>
      <c r="J171">
        <f t="shared" si="14"/>
        <v>-9.6248661572500227E-2</v>
      </c>
    </row>
    <row r="172" spans="1:10" x14ac:dyDescent="0.25">
      <c r="A172" s="1">
        <v>45909</v>
      </c>
      <c r="B172">
        <v>6512.61</v>
      </c>
      <c r="C172">
        <v>6515</v>
      </c>
      <c r="D172">
        <v>0.114785</v>
      </c>
      <c r="E172">
        <v>4.1519E-2</v>
      </c>
      <c r="F172" s="8">
        <f t="shared" si="10"/>
        <v>8.2191780821917804E-2</v>
      </c>
      <c r="G172">
        <f t="shared" si="11"/>
        <v>0.54340015469895664</v>
      </c>
      <c r="H172">
        <f t="shared" si="12"/>
        <v>-0.45659984530104336</v>
      </c>
      <c r="I172">
        <f t="shared" si="13"/>
        <v>8.6800309397913278E-2</v>
      </c>
      <c r="J172">
        <f t="shared" si="14"/>
        <v>-8.6800309397913278E-2</v>
      </c>
    </row>
    <row r="173" spans="1:10" x14ac:dyDescent="0.25">
      <c r="A173" s="1">
        <v>45910</v>
      </c>
      <c r="B173">
        <v>6532.04</v>
      </c>
      <c r="C173">
        <v>6530</v>
      </c>
      <c r="D173">
        <v>0.11683</v>
      </c>
      <c r="E173">
        <v>4.1489000000000005E-2</v>
      </c>
      <c r="F173" s="8">
        <f t="shared" si="10"/>
        <v>8.2191780821917804E-2</v>
      </c>
      <c r="G173">
        <f t="shared" si="11"/>
        <v>0.55087933328858885</v>
      </c>
      <c r="H173">
        <f t="shared" si="12"/>
        <v>-0.44912066671141115</v>
      </c>
      <c r="I173">
        <f t="shared" si="13"/>
        <v>0.10175866657717769</v>
      </c>
      <c r="J173">
        <f t="shared" si="14"/>
        <v>-0.10175866657717769</v>
      </c>
    </row>
    <row r="174" spans="1:10" x14ac:dyDescent="0.25">
      <c r="A174" s="1">
        <v>45911</v>
      </c>
      <c r="B174">
        <v>6587.47</v>
      </c>
      <c r="C174">
        <v>6585</v>
      </c>
      <c r="D174">
        <v>0.11266285700000001</v>
      </c>
      <c r="E174">
        <v>4.1382000000000002E-2</v>
      </c>
      <c r="F174" s="8">
        <f t="shared" si="10"/>
        <v>8.2191780821917804E-2</v>
      </c>
      <c r="G174">
        <f t="shared" si="11"/>
        <v>0.55292885418558779</v>
      </c>
      <c r="H174">
        <f t="shared" si="12"/>
        <v>-0.44707114581441221</v>
      </c>
      <c r="I174">
        <f t="shared" si="13"/>
        <v>0.10585770837117559</v>
      </c>
      <c r="J174">
        <f t="shared" si="14"/>
        <v>-0.10585770837117559</v>
      </c>
    </row>
    <row r="175" spans="1:10" x14ac:dyDescent="0.25">
      <c r="A175" s="1">
        <v>45912</v>
      </c>
      <c r="B175">
        <v>6584.29</v>
      </c>
      <c r="C175">
        <v>6585</v>
      </c>
      <c r="D175">
        <v>0.113285</v>
      </c>
      <c r="E175">
        <v>4.1272999999999997E-2</v>
      </c>
      <c r="F175" s="8">
        <f t="shared" si="10"/>
        <v>8.2191780821917804E-2</v>
      </c>
      <c r="G175">
        <f t="shared" si="11"/>
        <v>0.54671607298959757</v>
      </c>
      <c r="H175">
        <f t="shared" si="12"/>
        <v>-0.45328392701040243</v>
      </c>
      <c r="I175">
        <f t="shared" si="13"/>
        <v>9.3432145979195136E-2</v>
      </c>
      <c r="J175">
        <f t="shared" si="14"/>
        <v>-9.3432145979195136E-2</v>
      </c>
    </row>
    <row r="176" spans="1:10" x14ac:dyDescent="0.25">
      <c r="A176" s="1">
        <v>45915</v>
      </c>
      <c r="B176">
        <v>6615.28</v>
      </c>
      <c r="C176">
        <v>6615</v>
      </c>
      <c r="D176">
        <v>0.1174</v>
      </c>
      <c r="E176">
        <v>4.1319999999999996E-2</v>
      </c>
      <c r="F176" s="8">
        <f t="shared" si="10"/>
        <v>8.2191780821917804E-2</v>
      </c>
      <c r="G176">
        <f t="shared" si="11"/>
        <v>0.54735831804260138</v>
      </c>
      <c r="H176">
        <f t="shared" si="12"/>
        <v>-0.45264168195739862</v>
      </c>
      <c r="I176">
        <f t="shared" si="13"/>
        <v>9.4716636085202754E-2</v>
      </c>
      <c r="J176">
        <f t="shared" si="14"/>
        <v>-9.4716636085202754E-2</v>
      </c>
    </row>
    <row r="177" spans="1:10" x14ac:dyDescent="0.25">
      <c r="A177" s="1">
        <v>45916</v>
      </c>
      <c r="B177">
        <v>6606.76</v>
      </c>
      <c r="C177">
        <v>6605</v>
      </c>
      <c r="D177">
        <v>0.124655714</v>
      </c>
      <c r="E177">
        <v>4.1009000000000004E-2</v>
      </c>
      <c r="F177" s="8">
        <f t="shared" si="10"/>
        <v>8.2191780821917804E-2</v>
      </c>
      <c r="G177">
        <f t="shared" si="11"/>
        <v>0.54761546485097534</v>
      </c>
      <c r="H177">
        <f t="shared" si="12"/>
        <v>-0.45238453514902466</v>
      </c>
      <c r="I177">
        <f t="shared" si="13"/>
        <v>9.5230929701950684E-2</v>
      </c>
      <c r="J177">
        <f t="shared" si="14"/>
        <v>-9.5230929701950684E-2</v>
      </c>
    </row>
    <row r="178" spans="1:10" x14ac:dyDescent="0.25">
      <c r="A178" s="1">
        <v>45917</v>
      </c>
      <c r="B178">
        <v>6600.35</v>
      </c>
      <c r="C178">
        <v>6600</v>
      </c>
      <c r="D178">
        <v>0.121285</v>
      </c>
      <c r="E178">
        <v>4.0750000000000001E-2</v>
      </c>
      <c r="F178" s="8">
        <f t="shared" si="10"/>
        <v>8.2191780821917804E-2</v>
      </c>
      <c r="G178">
        <f t="shared" si="11"/>
        <v>0.54587048629912316</v>
      </c>
      <c r="H178">
        <f t="shared" si="12"/>
        <v>-0.45412951370087684</v>
      </c>
      <c r="I178">
        <f t="shared" si="13"/>
        <v>9.1740972598246318E-2</v>
      </c>
      <c r="J178">
        <f t="shared" si="14"/>
        <v>-9.1740972598246318E-2</v>
      </c>
    </row>
    <row r="179" spans="1:10" x14ac:dyDescent="0.25">
      <c r="A179" s="1">
        <v>45918</v>
      </c>
      <c r="B179">
        <v>6631.96</v>
      </c>
      <c r="C179">
        <v>6630</v>
      </c>
      <c r="D179">
        <v>0.120945</v>
      </c>
      <c r="E179">
        <v>4.0770000000000001E-2</v>
      </c>
      <c r="F179" s="8">
        <f t="shared" si="10"/>
        <v>8.2191780821917804E-2</v>
      </c>
      <c r="G179">
        <f t="shared" si="11"/>
        <v>0.54874998591634472</v>
      </c>
      <c r="H179">
        <f t="shared" si="12"/>
        <v>-0.45125001408365528</v>
      </c>
      <c r="I179">
        <f t="shared" si="13"/>
        <v>9.7499971832689436E-2</v>
      </c>
      <c r="J179">
        <f t="shared" si="14"/>
        <v>-9.7499971832689436E-2</v>
      </c>
    </row>
    <row r="180" spans="1:10" x14ac:dyDescent="0.25">
      <c r="A180" s="1">
        <v>45919</v>
      </c>
      <c r="B180">
        <v>6664.36</v>
      </c>
      <c r="C180">
        <v>6665</v>
      </c>
      <c r="D180">
        <v>0.121398714</v>
      </c>
      <c r="E180">
        <v>4.0304E-2</v>
      </c>
      <c r="F180" s="8">
        <f t="shared" si="10"/>
        <v>8.2191780821917804E-2</v>
      </c>
      <c r="G180">
        <f t="shared" si="11"/>
        <v>0.54372528126952735</v>
      </c>
      <c r="H180">
        <f t="shared" si="12"/>
        <v>-0.45627471873047265</v>
      </c>
      <c r="I180">
        <f t="shared" si="13"/>
        <v>8.7450562539054699E-2</v>
      </c>
      <c r="J180">
        <f t="shared" si="14"/>
        <v>-8.7450562539054699E-2</v>
      </c>
    </row>
    <row r="181" spans="1:10" x14ac:dyDescent="0.25">
      <c r="A181" s="1">
        <v>45922</v>
      </c>
      <c r="B181">
        <v>6693.75</v>
      </c>
      <c r="C181">
        <v>6695</v>
      </c>
      <c r="D181">
        <v>0.12364357099999999</v>
      </c>
      <c r="E181">
        <v>4.0758999999999997E-2</v>
      </c>
      <c r="F181" s="8">
        <f t="shared" si="10"/>
        <v>8.2191780821917804E-2</v>
      </c>
      <c r="G181">
        <f t="shared" si="11"/>
        <v>0.54259107776599769</v>
      </c>
      <c r="H181">
        <f t="shared" si="12"/>
        <v>-0.45740892223400231</v>
      </c>
      <c r="I181">
        <f t="shared" si="13"/>
        <v>8.5182155531995374E-2</v>
      </c>
      <c r="J181">
        <f t="shared" si="14"/>
        <v>-8.5182155531995374E-2</v>
      </c>
    </row>
    <row r="182" spans="1:10" x14ac:dyDescent="0.25">
      <c r="A182" s="1">
        <v>45923</v>
      </c>
      <c r="B182">
        <v>6656.92</v>
      </c>
      <c r="C182">
        <v>6655</v>
      </c>
      <c r="D182">
        <v>0.13037442899999999</v>
      </c>
      <c r="E182">
        <v>4.0601000000000005E-2</v>
      </c>
      <c r="F182" s="8">
        <f t="shared" si="10"/>
        <v>8.2191780821917804E-2</v>
      </c>
      <c r="G182">
        <f t="shared" si="11"/>
        <v>0.54604973954499458</v>
      </c>
      <c r="H182">
        <f t="shared" si="12"/>
        <v>-0.45395026045500542</v>
      </c>
      <c r="I182">
        <f t="shared" si="13"/>
        <v>9.2099479089989167E-2</v>
      </c>
      <c r="J182">
        <f t="shared" si="14"/>
        <v>-9.2099479089989167E-2</v>
      </c>
    </row>
    <row r="183" spans="1:10" x14ac:dyDescent="0.25">
      <c r="A183" s="1">
        <v>45924</v>
      </c>
      <c r="B183">
        <v>6637.97</v>
      </c>
      <c r="C183">
        <v>6640</v>
      </c>
      <c r="D183">
        <v>0.128303</v>
      </c>
      <c r="E183">
        <v>4.0750000000000001E-2</v>
      </c>
      <c r="F183" s="8">
        <f t="shared" si="10"/>
        <v>8.2191780821917804E-2</v>
      </c>
      <c r="G183">
        <f t="shared" si="11"/>
        <v>0.54027803162671839</v>
      </c>
      <c r="H183">
        <f t="shared" si="12"/>
        <v>-0.45972196837328161</v>
      </c>
      <c r="I183">
        <f t="shared" si="13"/>
        <v>8.0556063253436783E-2</v>
      </c>
      <c r="J183">
        <f t="shared" si="14"/>
        <v>-8.0556063253436783E-2</v>
      </c>
    </row>
    <row r="184" spans="1:10" x14ac:dyDescent="0.25">
      <c r="A184" s="1">
        <v>45925</v>
      </c>
      <c r="B184">
        <v>6604.72</v>
      </c>
      <c r="C184">
        <v>6605</v>
      </c>
      <c r="D184">
        <v>0.132385429</v>
      </c>
      <c r="E184">
        <v>4.0999999999999995E-2</v>
      </c>
      <c r="F184" s="8">
        <f t="shared" si="10"/>
        <v>8.2191780821917804E-2</v>
      </c>
      <c r="G184">
        <f t="shared" si="11"/>
        <v>0.54246613109052544</v>
      </c>
      <c r="H184">
        <f t="shared" si="12"/>
        <v>-0.45753386890947456</v>
      </c>
      <c r="I184">
        <f t="shared" si="13"/>
        <v>8.4932262181050877E-2</v>
      </c>
      <c r="J184">
        <f t="shared" si="14"/>
        <v>-8.4932262181050877E-2</v>
      </c>
    </row>
    <row r="185" spans="1:10" x14ac:dyDescent="0.25">
      <c r="A185" s="1">
        <v>45926</v>
      </c>
      <c r="B185">
        <v>6643.7</v>
      </c>
      <c r="C185">
        <v>6645</v>
      </c>
      <c r="D185">
        <v>0.121438429</v>
      </c>
      <c r="E185">
        <v>4.1069000000000001E-2</v>
      </c>
      <c r="F185" s="8">
        <f t="shared" si="10"/>
        <v>8.2191780821917804E-2</v>
      </c>
      <c r="G185">
        <f t="shared" si="11"/>
        <v>0.54329695248252241</v>
      </c>
      <c r="H185">
        <f t="shared" si="12"/>
        <v>-0.45670304751747759</v>
      </c>
      <c r="I185">
        <f t="shared" si="13"/>
        <v>8.6593904965044821E-2</v>
      </c>
      <c r="J185">
        <f t="shared" si="14"/>
        <v>-8.6593904965044821E-2</v>
      </c>
    </row>
    <row r="186" spans="1:10" x14ac:dyDescent="0.25">
      <c r="A186" s="1">
        <v>45929</v>
      </c>
      <c r="B186">
        <v>6661.21</v>
      </c>
      <c r="C186">
        <v>6660</v>
      </c>
      <c r="D186">
        <v>0.12075142899999999</v>
      </c>
      <c r="E186">
        <v>4.1269E-2</v>
      </c>
      <c r="F186" s="8">
        <f t="shared" si="10"/>
        <v>8.2191780821917804E-2</v>
      </c>
      <c r="G186">
        <f t="shared" si="11"/>
        <v>0.5479718013015541</v>
      </c>
      <c r="H186">
        <f t="shared" si="12"/>
        <v>-0.4520281986984459</v>
      </c>
      <c r="I186">
        <f t="shared" si="13"/>
        <v>9.5943602603108191E-2</v>
      </c>
      <c r="J186">
        <f t="shared" si="14"/>
        <v>-9.5943602603108191E-2</v>
      </c>
    </row>
    <row r="187" spans="1:10" x14ac:dyDescent="0.25">
      <c r="A187" s="1">
        <v>45930</v>
      </c>
      <c r="B187">
        <v>6688.46</v>
      </c>
      <c r="C187">
        <v>6690</v>
      </c>
      <c r="D187">
        <v>0.120146143</v>
      </c>
      <c r="E187">
        <v>4.1009000000000004E-2</v>
      </c>
      <c r="F187" s="8">
        <f t="shared" si="10"/>
        <v>8.2191780821917804E-2</v>
      </c>
      <c r="G187">
        <f t="shared" si="11"/>
        <v>0.54315833085705068</v>
      </c>
      <c r="H187">
        <f t="shared" si="12"/>
        <v>-0.45684166914294932</v>
      </c>
      <c r="I187">
        <f t="shared" si="13"/>
        <v>8.631666171410135E-2</v>
      </c>
      <c r="J187">
        <f t="shared" si="14"/>
        <v>-8.631666171410135E-2</v>
      </c>
    </row>
    <row r="188" spans="1:10" x14ac:dyDescent="0.25">
      <c r="A188" s="1">
        <v>45931</v>
      </c>
      <c r="B188">
        <v>6711.2</v>
      </c>
      <c r="C188">
        <v>6710</v>
      </c>
      <c r="D188">
        <v>0.12048</v>
      </c>
      <c r="E188">
        <v>4.0750000000000001E-2</v>
      </c>
      <c r="F188" s="8">
        <f t="shared" si="10"/>
        <v>8.2191780821917804E-2</v>
      </c>
      <c r="G188">
        <f t="shared" si="11"/>
        <v>0.54752673727317869</v>
      </c>
      <c r="H188">
        <f t="shared" si="12"/>
        <v>-0.45247326272682131</v>
      </c>
      <c r="I188">
        <f t="shared" si="13"/>
        <v>9.5053474546357375E-2</v>
      </c>
      <c r="J188">
        <f t="shared" si="14"/>
        <v>-9.5053474546357375E-2</v>
      </c>
    </row>
    <row r="189" spans="1:10" x14ac:dyDescent="0.25">
      <c r="A189" s="1">
        <v>45932</v>
      </c>
      <c r="B189">
        <v>6715.35</v>
      </c>
      <c r="C189">
        <v>6715</v>
      </c>
      <c r="D189">
        <v>0.12393214299999999</v>
      </c>
      <c r="E189">
        <v>4.0948999999999999E-2</v>
      </c>
      <c r="F189" s="8">
        <f t="shared" si="10"/>
        <v>8.2191780821917804E-2</v>
      </c>
      <c r="G189">
        <f t="shared" si="11"/>
        <v>0.54536485544284452</v>
      </c>
      <c r="H189">
        <f t="shared" si="12"/>
        <v>-0.45463514455715548</v>
      </c>
      <c r="I189">
        <f t="shared" si="13"/>
        <v>9.0729710885689041E-2</v>
      </c>
      <c r="J189">
        <f t="shared" si="14"/>
        <v>-9.0729710885689041E-2</v>
      </c>
    </row>
    <row r="190" spans="1:10" x14ac:dyDescent="0.25">
      <c r="A190" s="1">
        <v>45933</v>
      </c>
      <c r="B190">
        <v>6715.79</v>
      </c>
      <c r="C190">
        <v>6715</v>
      </c>
      <c r="D190">
        <v>0.122400143</v>
      </c>
      <c r="E190">
        <v>4.0738000000000003E-2</v>
      </c>
      <c r="F190" s="8">
        <f t="shared" si="10"/>
        <v>8.2191780821917804E-2</v>
      </c>
      <c r="G190">
        <f t="shared" si="11"/>
        <v>0.5462990694776545</v>
      </c>
      <c r="H190">
        <f t="shared" si="12"/>
        <v>-0.4537009305223455</v>
      </c>
      <c r="I190">
        <f t="shared" si="13"/>
        <v>9.2598138955308995E-2</v>
      </c>
      <c r="J190">
        <f t="shared" si="14"/>
        <v>-9.2598138955308995E-2</v>
      </c>
    </row>
    <row r="191" spans="1:10" x14ac:dyDescent="0.25">
      <c r="A191" s="1">
        <v>45936</v>
      </c>
      <c r="B191">
        <v>6740.28</v>
      </c>
      <c r="C191">
        <v>6740</v>
      </c>
      <c r="D191">
        <v>0.11890199999999999</v>
      </c>
      <c r="E191">
        <v>4.1116E-2</v>
      </c>
      <c r="F191" s="8">
        <f t="shared" si="10"/>
        <v>8.2191780821917804E-2</v>
      </c>
      <c r="G191">
        <f t="shared" si="11"/>
        <v>0.54672836620243359</v>
      </c>
      <c r="H191">
        <f t="shared" si="12"/>
        <v>-0.45327163379756641</v>
      </c>
      <c r="I191">
        <f t="shared" si="13"/>
        <v>9.3456732404867182E-2</v>
      </c>
      <c r="J191">
        <f t="shared" si="14"/>
        <v>-9.3456732404867182E-2</v>
      </c>
    </row>
    <row r="192" spans="1:10" x14ac:dyDescent="0.25">
      <c r="A192" s="1">
        <v>45937</v>
      </c>
      <c r="B192">
        <v>6714.59</v>
      </c>
      <c r="C192">
        <v>6715</v>
      </c>
      <c r="D192">
        <v>0.127751429</v>
      </c>
      <c r="E192">
        <v>4.0906999999999999E-2</v>
      </c>
      <c r="F192" s="8">
        <f t="shared" si="10"/>
        <v>8.2191780821917804E-2</v>
      </c>
      <c r="G192">
        <f t="shared" si="11"/>
        <v>0.54317911295065646</v>
      </c>
      <c r="H192">
        <f t="shared" si="12"/>
        <v>-0.45682088704934354</v>
      </c>
      <c r="I192">
        <f t="shared" si="13"/>
        <v>8.6358225901312924E-2</v>
      </c>
      <c r="J192">
        <f t="shared" si="14"/>
        <v>-8.6358225901312924E-2</v>
      </c>
    </row>
    <row r="193" spans="1:10" x14ac:dyDescent="0.25">
      <c r="A193" s="1">
        <v>45938</v>
      </c>
      <c r="B193">
        <v>6753.72</v>
      </c>
      <c r="C193">
        <v>6755</v>
      </c>
      <c r="D193">
        <v>0.118729</v>
      </c>
      <c r="E193">
        <v>4.0800999999999997E-2</v>
      </c>
      <c r="F193" s="8">
        <f t="shared" si="10"/>
        <v>8.2191780821917804E-2</v>
      </c>
      <c r="G193">
        <f t="shared" si="11"/>
        <v>0.54378448823410119</v>
      </c>
      <c r="H193">
        <f t="shared" si="12"/>
        <v>-0.45621551176589881</v>
      </c>
      <c r="I193">
        <f t="shared" si="13"/>
        <v>8.7568976468202386E-2</v>
      </c>
      <c r="J193">
        <f t="shared" si="14"/>
        <v>-8.7568976468202386E-2</v>
      </c>
    </row>
    <row r="194" spans="1:10" x14ac:dyDescent="0.25">
      <c r="A194" s="1">
        <v>45939</v>
      </c>
      <c r="B194">
        <v>6735.11</v>
      </c>
      <c r="C194">
        <v>6735</v>
      </c>
      <c r="D194">
        <v>0.123534</v>
      </c>
      <c r="E194">
        <v>4.0795999999999999E-2</v>
      </c>
      <c r="F194" s="8">
        <f t="shared" si="10"/>
        <v>8.2191780821917804E-2</v>
      </c>
      <c r="G194">
        <f t="shared" si="11"/>
        <v>0.54492382601153744</v>
      </c>
      <c r="H194">
        <f t="shared" si="12"/>
        <v>-0.45507617398846256</v>
      </c>
      <c r="I194">
        <f t="shared" si="13"/>
        <v>8.9847652023074875E-2</v>
      </c>
      <c r="J194">
        <f t="shared" si="14"/>
        <v>-8.9847652023074875E-2</v>
      </c>
    </row>
    <row r="195" spans="1:10" x14ac:dyDescent="0.25">
      <c r="A195" s="1">
        <v>45940</v>
      </c>
      <c r="B195">
        <v>6552.51</v>
      </c>
      <c r="C195">
        <v>6555</v>
      </c>
      <c r="D195">
        <v>0.17857814299999999</v>
      </c>
      <c r="E195">
        <v>4.0738000000000003E-2</v>
      </c>
      <c r="F195" s="8">
        <f t="shared" ref="F195:F251" si="15">30/365</f>
        <v>8.2191780821917804E-2</v>
      </c>
      <c r="G195">
        <f t="shared" ref="G195:G251" si="16">_xlfn.NORM.S.DIST((LN(B195/C195)+(E195+0.5*(D195)^2)*F195)/(D195*SQRT(F195)),TRUE)</f>
        <v>0.53330421557547891</v>
      </c>
      <c r="H195">
        <f t="shared" ref="H195:H251" si="17">G195-1</f>
        <v>-0.46669578442452109</v>
      </c>
      <c r="I195">
        <f t="shared" ref="I195:I251" si="18">G195+H195</f>
        <v>6.6608431150957825E-2</v>
      </c>
      <c r="J195">
        <f t="shared" ref="J195:J251" si="19">-I195</f>
        <v>-6.6608431150957825E-2</v>
      </c>
    </row>
    <row r="196" spans="1:10" x14ac:dyDescent="0.25">
      <c r="A196" s="1">
        <v>45943</v>
      </c>
      <c r="B196">
        <v>6654.72</v>
      </c>
      <c r="C196">
        <v>6655</v>
      </c>
      <c r="D196">
        <v>0.14221642900000001</v>
      </c>
      <c r="E196">
        <v>4.0738000000000003E-2</v>
      </c>
      <c r="F196" s="8">
        <f t="shared" si="15"/>
        <v>8.2191780821917804E-2</v>
      </c>
      <c r="G196">
        <f t="shared" si="16"/>
        <v>0.54041410137655066</v>
      </c>
      <c r="H196">
        <f t="shared" si="17"/>
        <v>-0.45958589862344934</v>
      </c>
      <c r="I196">
        <f t="shared" si="18"/>
        <v>8.0828202753101319E-2</v>
      </c>
      <c r="J196">
        <f t="shared" si="19"/>
        <v>-8.0828202753101319E-2</v>
      </c>
    </row>
    <row r="197" spans="1:10" x14ac:dyDescent="0.25">
      <c r="A197" s="1">
        <v>45944</v>
      </c>
      <c r="B197">
        <v>6644.31</v>
      </c>
      <c r="C197">
        <v>6645</v>
      </c>
      <c r="D197">
        <v>0.15336757100000001</v>
      </c>
      <c r="E197">
        <v>4.0631E-2</v>
      </c>
      <c r="F197" s="8">
        <f t="shared" si="15"/>
        <v>8.2191780821917804E-2</v>
      </c>
      <c r="G197">
        <f t="shared" si="16"/>
        <v>0.53807080112305594</v>
      </c>
      <c r="H197">
        <f t="shared" si="17"/>
        <v>-0.46192919887694406</v>
      </c>
      <c r="I197">
        <f t="shared" si="18"/>
        <v>7.6141602246111884E-2</v>
      </c>
      <c r="J197">
        <f t="shared" si="19"/>
        <v>-7.6141602246111884E-2</v>
      </c>
    </row>
    <row r="198" spans="1:10" x14ac:dyDescent="0.25">
      <c r="A198" s="1">
        <v>45945</v>
      </c>
      <c r="B198">
        <v>6671.06</v>
      </c>
      <c r="C198">
        <v>6670</v>
      </c>
      <c r="D198">
        <v>0.15532599999999999</v>
      </c>
      <c r="E198">
        <v>4.0856000000000003E-2</v>
      </c>
      <c r="F198" s="8">
        <f t="shared" si="15"/>
        <v>8.2191780821917804E-2</v>
      </c>
      <c r="G198">
        <f t="shared" si="16"/>
        <v>0.54032132605785121</v>
      </c>
      <c r="H198">
        <f t="shared" si="17"/>
        <v>-0.45967867394214879</v>
      </c>
      <c r="I198">
        <f t="shared" si="18"/>
        <v>8.0642652115702429E-2</v>
      </c>
      <c r="J198">
        <f t="shared" si="19"/>
        <v>-8.0642652115702429E-2</v>
      </c>
    </row>
    <row r="199" spans="1:10" x14ac:dyDescent="0.25">
      <c r="A199" s="1">
        <v>45946</v>
      </c>
      <c r="B199">
        <v>6629.07</v>
      </c>
      <c r="C199">
        <v>6630</v>
      </c>
      <c r="D199">
        <v>0.181470143</v>
      </c>
      <c r="E199">
        <v>4.0774999999999999E-2</v>
      </c>
      <c r="F199" s="8">
        <f t="shared" si="15"/>
        <v>8.2191780821917804E-2</v>
      </c>
      <c r="G199">
        <f t="shared" si="16"/>
        <v>0.53495592402603798</v>
      </c>
      <c r="H199">
        <f t="shared" si="17"/>
        <v>-0.46504407597396202</v>
      </c>
      <c r="I199">
        <f t="shared" si="18"/>
        <v>6.9911848052075953E-2</v>
      </c>
      <c r="J199">
        <f t="shared" si="19"/>
        <v>-6.9911848052075953E-2</v>
      </c>
    </row>
    <row r="200" spans="1:10" x14ac:dyDescent="0.25">
      <c r="A200" s="1">
        <v>45947</v>
      </c>
      <c r="B200">
        <v>6664.01</v>
      </c>
      <c r="C200">
        <v>6665</v>
      </c>
      <c r="D200">
        <v>0.16314000000000001</v>
      </c>
      <c r="E200">
        <v>4.0431999999999996E-2</v>
      </c>
      <c r="F200" s="8">
        <f t="shared" si="15"/>
        <v>8.2191780821917804E-2</v>
      </c>
      <c r="G200">
        <f t="shared" si="16"/>
        <v>0.53635768998496636</v>
      </c>
      <c r="H200">
        <f t="shared" si="17"/>
        <v>-0.46364231001503364</v>
      </c>
      <c r="I200">
        <f t="shared" si="18"/>
        <v>7.2715379969932714E-2</v>
      </c>
      <c r="J200">
        <f t="shared" si="19"/>
        <v>-7.2715379969932714E-2</v>
      </c>
    </row>
    <row r="201" spans="1:10" x14ac:dyDescent="0.25">
      <c r="A201" s="1">
        <v>45950</v>
      </c>
      <c r="B201">
        <v>6735.13</v>
      </c>
      <c r="C201">
        <v>6735</v>
      </c>
      <c r="D201">
        <v>0.13897000000000001</v>
      </c>
      <c r="E201">
        <v>4.0350999999999998E-2</v>
      </c>
      <c r="F201" s="8">
        <f t="shared" si="15"/>
        <v>8.2191780821917804E-2</v>
      </c>
      <c r="G201">
        <f t="shared" si="16"/>
        <v>0.54127571053173229</v>
      </c>
      <c r="H201">
        <f t="shared" si="17"/>
        <v>-0.45872428946826771</v>
      </c>
      <c r="I201">
        <f t="shared" si="18"/>
        <v>8.2551421063464581E-2</v>
      </c>
      <c r="J201">
        <f t="shared" si="19"/>
        <v>-8.2551421063464581E-2</v>
      </c>
    </row>
    <row r="202" spans="1:10" x14ac:dyDescent="0.25">
      <c r="A202" s="1">
        <v>45951</v>
      </c>
      <c r="B202">
        <v>6735.35</v>
      </c>
      <c r="C202">
        <v>6735</v>
      </c>
      <c r="D202">
        <v>0.137765</v>
      </c>
      <c r="E202">
        <v>4.0091000000000002E-2</v>
      </c>
      <c r="F202" s="8">
        <f t="shared" si="15"/>
        <v>8.2191780821917804E-2</v>
      </c>
      <c r="G202">
        <f t="shared" si="16"/>
        <v>0.54161122259255268</v>
      </c>
      <c r="H202">
        <f t="shared" si="17"/>
        <v>-0.45838877740744732</v>
      </c>
      <c r="I202">
        <f t="shared" si="18"/>
        <v>8.3222445185105354E-2</v>
      </c>
      <c r="J202">
        <f t="shared" si="19"/>
        <v>-8.3222445185105354E-2</v>
      </c>
    </row>
    <row r="203" spans="1:10" x14ac:dyDescent="0.25">
      <c r="A203" s="1">
        <v>45952</v>
      </c>
      <c r="B203">
        <v>6699.4</v>
      </c>
      <c r="C203">
        <v>6700</v>
      </c>
      <c r="D203">
        <v>0.14455000000000001</v>
      </c>
      <c r="E203">
        <v>4.0060999999999999E-2</v>
      </c>
      <c r="F203" s="8">
        <f t="shared" si="15"/>
        <v>8.2191780821917804E-2</v>
      </c>
      <c r="G203">
        <f t="shared" si="16"/>
        <v>0.53903938879947733</v>
      </c>
      <c r="H203">
        <f t="shared" si="17"/>
        <v>-0.46096061120052267</v>
      </c>
      <c r="I203">
        <f t="shared" si="18"/>
        <v>7.8078777598954652E-2</v>
      </c>
      <c r="J203">
        <f t="shared" si="19"/>
        <v>-7.8078777598954652E-2</v>
      </c>
    </row>
    <row r="204" spans="1:10" x14ac:dyDescent="0.25">
      <c r="A204" s="1">
        <v>45953</v>
      </c>
      <c r="B204">
        <v>6738.44</v>
      </c>
      <c r="C204">
        <v>6740</v>
      </c>
      <c r="D204">
        <v>0.13484660700000001</v>
      </c>
      <c r="E204">
        <v>4.0057000000000002E-2</v>
      </c>
      <c r="F204" s="8">
        <f t="shared" si="15"/>
        <v>8.2191780821917804E-2</v>
      </c>
      <c r="G204">
        <f t="shared" si="16"/>
        <v>0.53923445714200202</v>
      </c>
      <c r="H204">
        <f t="shared" si="17"/>
        <v>-0.46076554285799798</v>
      </c>
      <c r="I204">
        <f t="shared" si="18"/>
        <v>7.8468914284004043E-2</v>
      </c>
      <c r="J204">
        <f t="shared" si="19"/>
        <v>-7.8468914284004043E-2</v>
      </c>
    </row>
    <row r="205" spans="1:10" x14ac:dyDescent="0.25">
      <c r="A205" s="1">
        <v>45954</v>
      </c>
      <c r="B205">
        <v>6791.69</v>
      </c>
      <c r="C205">
        <v>6790</v>
      </c>
      <c r="D205">
        <v>0.12870999999999999</v>
      </c>
      <c r="E205">
        <v>3.9844999999999998E-2</v>
      </c>
      <c r="F205" s="8">
        <f t="shared" si="15"/>
        <v>8.2191780821917804E-2</v>
      </c>
      <c r="G205">
        <f t="shared" si="16"/>
        <v>0.54535962242667635</v>
      </c>
      <c r="H205">
        <f t="shared" si="17"/>
        <v>-0.45464037757332365</v>
      </c>
      <c r="I205">
        <f t="shared" si="18"/>
        <v>9.0719244853352698E-2</v>
      </c>
      <c r="J205">
        <f t="shared" si="19"/>
        <v>-9.0719244853352698E-2</v>
      </c>
    </row>
    <row r="206" spans="1:10" x14ac:dyDescent="0.25">
      <c r="A206" s="1">
        <v>45957</v>
      </c>
      <c r="B206">
        <v>6875.16</v>
      </c>
      <c r="C206">
        <v>6875</v>
      </c>
      <c r="D206">
        <v>0.124510893</v>
      </c>
      <c r="E206">
        <v>4.0018999999999999E-2</v>
      </c>
      <c r="F206" s="8">
        <f t="shared" si="15"/>
        <v>8.2191780821917804E-2</v>
      </c>
      <c r="G206">
        <f t="shared" si="16"/>
        <v>0.54405119535145685</v>
      </c>
      <c r="H206">
        <f t="shared" si="17"/>
        <v>-0.45594880464854315</v>
      </c>
      <c r="I206">
        <f t="shared" si="18"/>
        <v>8.8102390702913702E-2</v>
      </c>
      <c r="J206">
        <f t="shared" si="19"/>
        <v>-8.8102390702913702E-2</v>
      </c>
    </row>
    <row r="207" spans="1:10" x14ac:dyDescent="0.25">
      <c r="A207" s="1">
        <v>45958</v>
      </c>
      <c r="B207">
        <v>6890.89</v>
      </c>
      <c r="C207">
        <v>6890</v>
      </c>
      <c r="D207">
        <v>0.13294535699999999</v>
      </c>
      <c r="E207">
        <v>3.9580999999999998E-2</v>
      </c>
      <c r="F207" s="8">
        <f t="shared" si="15"/>
        <v>8.2191780821917804E-2</v>
      </c>
      <c r="G207">
        <f t="shared" si="16"/>
        <v>0.54292313218810329</v>
      </c>
      <c r="H207">
        <f t="shared" si="17"/>
        <v>-0.45707686781189671</v>
      </c>
      <c r="I207">
        <f t="shared" si="18"/>
        <v>8.5846264376206571E-2</v>
      </c>
      <c r="J207">
        <f t="shared" si="19"/>
        <v>-8.5846264376206571E-2</v>
      </c>
    </row>
    <row r="208" spans="1:10" x14ac:dyDescent="0.25">
      <c r="A208" s="1">
        <v>45959</v>
      </c>
      <c r="B208">
        <v>6890.59</v>
      </c>
      <c r="C208">
        <v>6890</v>
      </c>
      <c r="D208">
        <v>0.14076</v>
      </c>
      <c r="E208">
        <v>3.9296000000000005E-2</v>
      </c>
      <c r="F208" s="8">
        <f t="shared" si="15"/>
        <v>8.2191780821917804E-2</v>
      </c>
      <c r="G208">
        <f t="shared" si="16"/>
        <v>0.54075453809827523</v>
      </c>
      <c r="H208">
        <f t="shared" si="17"/>
        <v>-0.45924546190172477</v>
      </c>
      <c r="I208">
        <f t="shared" si="18"/>
        <v>8.1509076196550456E-2</v>
      </c>
      <c r="J208">
        <f t="shared" si="19"/>
        <v>-8.1509076196550456E-2</v>
      </c>
    </row>
    <row r="209" spans="1:10" x14ac:dyDescent="0.25">
      <c r="A209" s="1">
        <v>45960</v>
      </c>
      <c r="B209">
        <v>6822.34</v>
      </c>
      <c r="C209">
        <v>6820</v>
      </c>
      <c r="D209">
        <v>0.14456428599999999</v>
      </c>
      <c r="E209">
        <v>3.9266999999999996E-2</v>
      </c>
      <c r="F209" s="8">
        <f t="shared" si="15"/>
        <v>8.2191780821917804E-2</v>
      </c>
      <c r="G209">
        <f t="shared" si="16"/>
        <v>0.54255463268947191</v>
      </c>
      <c r="H209">
        <f t="shared" si="17"/>
        <v>-0.45744536731052809</v>
      </c>
      <c r="I209">
        <f t="shared" si="18"/>
        <v>8.510926537894381E-2</v>
      </c>
      <c r="J209">
        <f t="shared" si="19"/>
        <v>-8.510926537894381E-2</v>
      </c>
    </row>
    <row r="210" spans="1:10" x14ac:dyDescent="0.25">
      <c r="A210" s="1">
        <v>45961</v>
      </c>
      <c r="B210">
        <v>6840.2</v>
      </c>
      <c r="C210">
        <v>6840</v>
      </c>
      <c r="D210">
        <v>0.14585178600000001</v>
      </c>
      <c r="E210">
        <v>3.8977999999999999E-2</v>
      </c>
      <c r="F210" s="8">
        <f t="shared" si="15"/>
        <v>8.2191780821917804E-2</v>
      </c>
      <c r="G210">
        <f t="shared" si="16"/>
        <v>0.53912235577378098</v>
      </c>
      <c r="H210">
        <f t="shared" si="17"/>
        <v>-0.46087764422621902</v>
      </c>
      <c r="I210">
        <f t="shared" si="18"/>
        <v>7.8244711547561963E-2</v>
      </c>
      <c r="J210">
        <f t="shared" si="19"/>
        <v>-7.8244711547561963E-2</v>
      </c>
    </row>
    <row r="211" spans="1:10" x14ac:dyDescent="0.25">
      <c r="A211" s="1">
        <v>45964</v>
      </c>
      <c r="B211">
        <v>6851.97</v>
      </c>
      <c r="C211">
        <v>6850</v>
      </c>
      <c r="D211">
        <v>0.13973928599999999</v>
      </c>
      <c r="E211">
        <v>3.9687E-2</v>
      </c>
      <c r="F211" s="8">
        <f t="shared" si="15"/>
        <v>8.2191780821917804E-2</v>
      </c>
      <c r="G211">
        <f t="shared" si="16"/>
        <v>0.54325242737061274</v>
      </c>
      <c r="H211">
        <f t="shared" si="17"/>
        <v>-0.45674757262938726</v>
      </c>
      <c r="I211">
        <f t="shared" si="18"/>
        <v>8.650485474122549E-2</v>
      </c>
      <c r="J211">
        <f t="shared" si="19"/>
        <v>-8.650485474122549E-2</v>
      </c>
    </row>
    <row r="212" spans="1:10" x14ac:dyDescent="0.25">
      <c r="A212" s="1">
        <v>45965</v>
      </c>
      <c r="B212">
        <v>6771.55</v>
      </c>
      <c r="C212">
        <v>6770</v>
      </c>
      <c r="D212">
        <v>0.154617857</v>
      </c>
      <c r="E212">
        <v>3.9326E-2</v>
      </c>
      <c r="F212" s="8">
        <f t="shared" si="15"/>
        <v>8.2191780821917804E-2</v>
      </c>
      <c r="G212">
        <f t="shared" si="16"/>
        <v>0.53992552782073711</v>
      </c>
      <c r="H212">
        <f t="shared" si="17"/>
        <v>-0.46007447217926289</v>
      </c>
      <c r="I212">
        <f t="shared" si="18"/>
        <v>7.9851055641474211E-2</v>
      </c>
      <c r="J212">
        <f t="shared" si="19"/>
        <v>-7.9851055641474211E-2</v>
      </c>
    </row>
    <row r="213" spans="1:10" x14ac:dyDescent="0.25">
      <c r="A213" s="1">
        <v>45966</v>
      </c>
      <c r="B213">
        <v>6796.29</v>
      </c>
      <c r="C213">
        <v>6795</v>
      </c>
      <c r="D213">
        <v>0.14672499999999999</v>
      </c>
      <c r="E213">
        <v>3.8990999999999998E-2</v>
      </c>
      <c r="F213" s="8">
        <f t="shared" si="15"/>
        <v>8.2191780821917804E-2</v>
      </c>
      <c r="G213">
        <f t="shared" si="16"/>
        <v>0.54051489939744701</v>
      </c>
      <c r="H213">
        <f t="shared" si="17"/>
        <v>-0.45948510060255299</v>
      </c>
      <c r="I213">
        <f t="shared" si="18"/>
        <v>8.1029798794894026E-2</v>
      </c>
      <c r="J213">
        <f t="shared" si="19"/>
        <v>-8.1029798794894026E-2</v>
      </c>
    </row>
    <row r="214" spans="1:10" x14ac:dyDescent="0.25">
      <c r="A214" s="1">
        <v>45967</v>
      </c>
      <c r="B214">
        <v>6720.32</v>
      </c>
      <c r="C214">
        <v>6720</v>
      </c>
      <c r="D214">
        <v>0.16310839299999999</v>
      </c>
      <c r="E214">
        <v>3.8553000000000004E-2</v>
      </c>
      <c r="F214" s="8">
        <f t="shared" si="15"/>
        <v>8.2191780821917804E-2</v>
      </c>
      <c r="G214">
        <f t="shared" si="16"/>
        <v>0.5367156166191327</v>
      </c>
      <c r="H214">
        <f t="shared" si="17"/>
        <v>-0.4632843833808673</v>
      </c>
      <c r="I214">
        <f t="shared" si="18"/>
        <v>7.3431233238265392E-2</v>
      </c>
      <c r="J214">
        <f t="shared" si="19"/>
        <v>-7.3431233238265392E-2</v>
      </c>
    </row>
    <row r="215" spans="1:10" x14ac:dyDescent="0.25">
      <c r="A215" s="1">
        <v>45968</v>
      </c>
      <c r="B215">
        <v>6728.8</v>
      </c>
      <c r="C215">
        <v>6730</v>
      </c>
      <c r="D215">
        <v>0.16003642900000001</v>
      </c>
      <c r="E215">
        <v>3.8391000000000002E-2</v>
      </c>
      <c r="F215" s="8">
        <f t="shared" si="15"/>
        <v>8.2191780821917804E-2</v>
      </c>
      <c r="G215">
        <f t="shared" si="16"/>
        <v>0.53499329566239207</v>
      </c>
      <c r="H215">
        <f t="shared" si="17"/>
        <v>-0.46500670433760793</v>
      </c>
      <c r="I215">
        <f t="shared" si="18"/>
        <v>6.9986591324784131E-2</v>
      </c>
      <c r="J215">
        <f t="shared" si="19"/>
        <v>-6.9986591324784131E-2</v>
      </c>
    </row>
    <row r="216" spans="1:10" x14ac:dyDescent="0.25">
      <c r="A216" s="1">
        <v>45971</v>
      </c>
      <c r="B216">
        <v>6832.43</v>
      </c>
      <c r="C216">
        <v>6830</v>
      </c>
      <c r="D216">
        <v>0.14036607100000001</v>
      </c>
      <c r="E216">
        <v>3.9453999999999996E-2</v>
      </c>
      <c r="F216" s="8">
        <f t="shared" si="15"/>
        <v>8.2191780821917804E-2</v>
      </c>
      <c r="G216">
        <f t="shared" si="16"/>
        <v>0.54361423979050427</v>
      </c>
      <c r="H216">
        <f t="shared" si="17"/>
        <v>-0.45638576020949573</v>
      </c>
      <c r="I216">
        <f t="shared" si="18"/>
        <v>8.7228479581008544E-2</v>
      </c>
      <c r="J216">
        <f t="shared" si="19"/>
        <v>-8.7228479581008544E-2</v>
      </c>
    </row>
    <row r="217" spans="1:10" x14ac:dyDescent="0.25">
      <c r="A217" s="1">
        <v>45972</v>
      </c>
      <c r="B217">
        <v>6846.61</v>
      </c>
      <c r="C217">
        <v>6845</v>
      </c>
      <c r="D217">
        <v>0.138063571</v>
      </c>
      <c r="E217">
        <v>3.9453999999999996E-2</v>
      </c>
      <c r="F217" s="8">
        <f t="shared" si="15"/>
        <v>8.2191780821917804E-2</v>
      </c>
      <c r="G217">
        <f t="shared" si="16"/>
        <v>0.54286701739095777</v>
      </c>
      <c r="H217">
        <f t="shared" si="17"/>
        <v>-0.45713298260904223</v>
      </c>
      <c r="I217">
        <f t="shared" si="18"/>
        <v>8.5734034781915547E-2</v>
      </c>
      <c r="J217">
        <f t="shared" si="19"/>
        <v>-8.5734034781915547E-2</v>
      </c>
    </row>
    <row r="218" spans="1:10" x14ac:dyDescent="0.25">
      <c r="A218" s="1">
        <v>45973</v>
      </c>
      <c r="B218">
        <v>6850.92</v>
      </c>
      <c r="C218">
        <v>6850</v>
      </c>
      <c r="D218">
        <v>0.14136625</v>
      </c>
      <c r="E218">
        <v>3.9321999999999996E-2</v>
      </c>
      <c r="F218" s="8">
        <f t="shared" si="15"/>
        <v>8.2191780821917804E-2</v>
      </c>
      <c r="G218">
        <f t="shared" si="16"/>
        <v>0.54114668617392225</v>
      </c>
      <c r="H218">
        <f t="shared" si="17"/>
        <v>-0.45885331382607775</v>
      </c>
      <c r="I218">
        <f t="shared" si="18"/>
        <v>8.2293372347844507E-2</v>
      </c>
      <c r="J218">
        <f t="shared" si="19"/>
        <v>-8.2293372347844507E-2</v>
      </c>
    </row>
    <row r="219" spans="1:10" x14ac:dyDescent="0.25">
      <c r="A219" s="1">
        <v>45974</v>
      </c>
      <c r="B219">
        <v>6737.49</v>
      </c>
      <c r="C219">
        <v>6735</v>
      </c>
      <c r="D219">
        <v>0.16668714300000001</v>
      </c>
      <c r="E219">
        <v>3.9445000000000001E-2</v>
      </c>
      <c r="F219" s="8">
        <f t="shared" si="15"/>
        <v>8.2191780821917804E-2</v>
      </c>
      <c r="G219">
        <f t="shared" si="16"/>
        <v>0.53961815785493139</v>
      </c>
      <c r="H219">
        <f t="shared" si="17"/>
        <v>-0.46038184214506861</v>
      </c>
      <c r="I219">
        <f t="shared" si="18"/>
        <v>7.9236315709862781E-2</v>
      </c>
      <c r="J219">
        <f t="shared" si="19"/>
        <v>-7.9236315709862781E-2</v>
      </c>
    </row>
    <row r="220" spans="1:10" x14ac:dyDescent="0.25">
      <c r="A220" s="1">
        <v>45975</v>
      </c>
      <c r="B220">
        <v>6734.11</v>
      </c>
      <c r="C220">
        <v>6735</v>
      </c>
      <c r="D220">
        <v>0.16598142900000001</v>
      </c>
      <c r="E220">
        <v>3.9054000000000005E-2</v>
      </c>
      <c r="F220" s="8">
        <f t="shared" si="15"/>
        <v>8.2191780821917804E-2</v>
      </c>
      <c r="G220">
        <f t="shared" si="16"/>
        <v>0.53524900844988066</v>
      </c>
      <c r="H220">
        <f t="shared" si="17"/>
        <v>-0.46475099155011934</v>
      </c>
      <c r="I220">
        <f t="shared" si="18"/>
        <v>7.0498016899761318E-2</v>
      </c>
      <c r="J220">
        <f t="shared" si="19"/>
        <v>-7.0498016899761318E-2</v>
      </c>
    </row>
    <row r="221" spans="1:10" x14ac:dyDescent="0.25">
      <c r="A221" s="1">
        <v>45978</v>
      </c>
      <c r="B221">
        <v>6672.41</v>
      </c>
      <c r="C221">
        <v>6670</v>
      </c>
      <c r="D221">
        <v>0.18066928600000001</v>
      </c>
      <c r="E221">
        <v>3.9483000000000004E-2</v>
      </c>
      <c r="F221" s="8">
        <f t="shared" si="15"/>
        <v>8.2191780821917804E-2</v>
      </c>
      <c r="G221">
        <f t="shared" si="16"/>
        <v>0.53805123690826995</v>
      </c>
      <c r="H221">
        <f t="shared" si="17"/>
        <v>-0.46194876309173005</v>
      </c>
      <c r="I221">
        <f t="shared" si="18"/>
        <v>7.6102473816539895E-2</v>
      </c>
      <c r="J221">
        <f t="shared" si="19"/>
        <v>-7.6102473816539895E-2</v>
      </c>
    </row>
    <row r="222" spans="1:10" x14ac:dyDescent="0.25">
      <c r="A222" s="1">
        <v>45979</v>
      </c>
      <c r="B222">
        <v>6617.32</v>
      </c>
      <c r="C222">
        <v>6615</v>
      </c>
      <c r="D222">
        <v>0.19662375000000001</v>
      </c>
      <c r="E222">
        <v>3.9275000000000004E-2</v>
      </c>
      <c r="F222" s="8">
        <f t="shared" si="15"/>
        <v>8.2191780821917804E-2</v>
      </c>
      <c r="G222">
        <f t="shared" si="16"/>
        <v>0.53652044377267272</v>
      </c>
      <c r="H222">
        <f t="shared" si="17"/>
        <v>-0.46347955622732728</v>
      </c>
      <c r="I222">
        <f t="shared" si="18"/>
        <v>7.3040887545345434E-2</v>
      </c>
      <c r="J222">
        <f t="shared" si="19"/>
        <v>-7.3040887545345434E-2</v>
      </c>
    </row>
    <row r="223" spans="1:10" x14ac:dyDescent="0.25">
      <c r="A223" s="1">
        <v>45980</v>
      </c>
      <c r="B223">
        <v>6642.16</v>
      </c>
      <c r="C223">
        <v>6640</v>
      </c>
      <c r="D223">
        <v>0.191635</v>
      </c>
      <c r="E223">
        <v>3.9195000000000001E-2</v>
      </c>
      <c r="F223" s="8">
        <f t="shared" si="15"/>
        <v>8.2191780821917804E-2</v>
      </c>
      <c r="G223">
        <f t="shared" si="16"/>
        <v>0.53666164709837072</v>
      </c>
      <c r="H223">
        <f t="shared" si="17"/>
        <v>-0.46333835290162928</v>
      </c>
      <c r="I223">
        <f t="shared" si="18"/>
        <v>7.332329419674144E-2</v>
      </c>
      <c r="J223">
        <f t="shared" si="19"/>
        <v>-7.332329419674144E-2</v>
      </c>
    </row>
    <row r="224" spans="1:10" x14ac:dyDescent="0.25">
      <c r="A224" s="1">
        <v>45981</v>
      </c>
      <c r="B224">
        <v>6538.76</v>
      </c>
      <c r="C224">
        <v>6540</v>
      </c>
      <c r="D224">
        <v>0.21582499999999999</v>
      </c>
      <c r="E224">
        <v>3.9266999999999996E-2</v>
      </c>
      <c r="F224" s="8">
        <f t="shared" si="15"/>
        <v>8.2191780821917804E-2</v>
      </c>
      <c r="G224">
        <f t="shared" si="16"/>
        <v>0.5318946124897056</v>
      </c>
      <c r="H224">
        <f t="shared" si="17"/>
        <v>-0.4681053875102944</v>
      </c>
      <c r="I224">
        <f t="shared" si="18"/>
        <v>6.3789224979411197E-2</v>
      </c>
      <c r="J224">
        <f t="shared" si="19"/>
        <v>-6.3789224979411197E-2</v>
      </c>
    </row>
    <row r="225" spans="1:10" x14ac:dyDescent="0.25">
      <c r="A225" s="1">
        <v>45982</v>
      </c>
      <c r="B225">
        <v>6602.99</v>
      </c>
      <c r="C225">
        <v>6605</v>
      </c>
      <c r="D225">
        <v>0.194856786</v>
      </c>
      <c r="E225">
        <v>3.9182000000000002E-2</v>
      </c>
      <c r="F225" s="8">
        <f t="shared" si="15"/>
        <v>8.2191780821917804E-2</v>
      </c>
      <c r="G225">
        <f t="shared" si="16"/>
        <v>0.53193374646586267</v>
      </c>
      <c r="H225">
        <f t="shared" si="17"/>
        <v>-0.46806625353413733</v>
      </c>
      <c r="I225">
        <f t="shared" si="18"/>
        <v>6.3867492931725334E-2</v>
      </c>
      <c r="J225">
        <f t="shared" si="19"/>
        <v>-6.3867492931725334E-2</v>
      </c>
    </row>
    <row r="226" spans="1:10" x14ac:dyDescent="0.25">
      <c r="A226" s="1">
        <v>45985</v>
      </c>
      <c r="B226">
        <v>6705.12</v>
      </c>
      <c r="C226">
        <v>6705</v>
      </c>
      <c r="D226">
        <v>0.16532125</v>
      </c>
      <c r="E226">
        <v>3.9559999999999998E-2</v>
      </c>
      <c r="F226" s="8">
        <f t="shared" si="15"/>
        <v>8.2191780821917804E-2</v>
      </c>
      <c r="G226">
        <f t="shared" si="16"/>
        <v>0.53692049548268406</v>
      </c>
      <c r="H226">
        <f t="shared" si="17"/>
        <v>-0.46307950451731594</v>
      </c>
      <c r="I226">
        <f t="shared" si="18"/>
        <v>7.3840990965368114E-2</v>
      </c>
      <c r="J226">
        <f t="shared" si="19"/>
        <v>-7.3840990965368114E-2</v>
      </c>
    </row>
    <row r="227" spans="1:10" x14ac:dyDescent="0.25">
      <c r="A227" s="1">
        <v>45986</v>
      </c>
      <c r="B227">
        <v>6765.88</v>
      </c>
      <c r="C227">
        <v>6765</v>
      </c>
      <c r="D227">
        <v>0.15033428600000001</v>
      </c>
      <c r="E227">
        <v>3.9529999999999996E-2</v>
      </c>
      <c r="F227" s="8">
        <f t="shared" si="15"/>
        <v>8.2191780821917804E-2</v>
      </c>
      <c r="G227">
        <f t="shared" si="16"/>
        <v>0.53980893224299065</v>
      </c>
      <c r="H227">
        <f t="shared" si="17"/>
        <v>-0.46019106775700935</v>
      </c>
      <c r="I227">
        <f t="shared" si="18"/>
        <v>7.9617864485981293E-2</v>
      </c>
      <c r="J227">
        <f t="shared" si="19"/>
        <v>-7.9617864485981293E-2</v>
      </c>
    </row>
    <row r="228" spans="1:10" x14ac:dyDescent="0.25">
      <c r="A228" s="1">
        <v>45987</v>
      </c>
      <c r="B228">
        <v>6812.61</v>
      </c>
      <c r="C228">
        <v>6815</v>
      </c>
      <c r="D228">
        <v>0.14308499999999999</v>
      </c>
      <c r="E228">
        <v>4.0030999999999997E-2</v>
      </c>
      <c r="F228" s="8">
        <f t="shared" si="15"/>
        <v>8.2191780821917804E-2</v>
      </c>
      <c r="G228">
        <f t="shared" si="16"/>
        <v>0.53671760680643188</v>
      </c>
      <c r="H228">
        <f t="shared" si="17"/>
        <v>-0.46328239319356812</v>
      </c>
      <c r="I228">
        <f t="shared" si="18"/>
        <v>7.3435213612863759E-2</v>
      </c>
      <c r="J228">
        <f t="shared" si="19"/>
        <v>-7.3435213612863759E-2</v>
      </c>
    </row>
    <row r="229" spans="1:10" x14ac:dyDescent="0.25">
      <c r="A229" s="1">
        <v>45989</v>
      </c>
      <c r="B229">
        <v>6849.09</v>
      </c>
      <c r="C229">
        <v>6850</v>
      </c>
      <c r="D229">
        <v>0.13744321400000001</v>
      </c>
      <c r="E229">
        <v>3.9079999999999997E-2</v>
      </c>
      <c r="F229" s="8">
        <f t="shared" si="15"/>
        <v>8.2191780821917804E-2</v>
      </c>
      <c r="G229">
        <f t="shared" si="16"/>
        <v>0.5389729921319697</v>
      </c>
      <c r="H229">
        <f t="shared" si="17"/>
        <v>-0.4610270078680303</v>
      </c>
      <c r="I229">
        <f t="shared" si="18"/>
        <v>7.7945984263939394E-2</v>
      </c>
      <c r="J229">
        <f t="shared" si="19"/>
        <v>-7.7945984263939394E-2</v>
      </c>
    </row>
    <row r="230" spans="1:10" x14ac:dyDescent="0.25">
      <c r="A230" s="1">
        <v>45992</v>
      </c>
      <c r="B230">
        <v>6812.63</v>
      </c>
      <c r="C230">
        <v>6815</v>
      </c>
      <c r="D230">
        <v>0.14202714299999999</v>
      </c>
      <c r="E230">
        <v>3.882E-2</v>
      </c>
      <c r="F230" s="8">
        <f t="shared" si="15"/>
        <v>8.2191780821917804E-2</v>
      </c>
      <c r="G230">
        <f t="shared" si="16"/>
        <v>0.53592688501018515</v>
      </c>
      <c r="H230">
        <f t="shared" si="17"/>
        <v>-0.46407311498981485</v>
      </c>
      <c r="I230">
        <f t="shared" si="18"/>
        <v>7.18537700203703E-2</v>
      </c>
      <c r="J230">
        <f t="shared" si="19"/>
        <v>-7.18537700203703E-2</v>
      </c>
    </row>
    <row r="231" spans="1:10" x14ac:dyDescent="0.25">
      <c r="A231" s="1">
        <v>45993</v>
      </c>
      <c r="B231">
        <v>6829.37</v>
      </c>
      <c r="C231">
        <v>6830</v>
      </c>
      <c r="D231">
        <v>0.13826160700000001</v>
      </c>
      <c r="E231">
        <v>3.8102999999999998E-2</v>
      </c>
      <c r="F231" s="8">
        <f t="shared" si="15"/>
        <v>8.2191780821917804E-2</v>
      </c>
      <c r="G231">
        <f t="shared" si="16"/>
        <v>0.53843832808679304</v>
      </c>
      <c r="H231">
        <f t="shared" si="17"/>
        <v>-0.46156167191320696</v>
      </c>
      <c r="I231">
        <f t="shared" si="18"/>
        <v>7.6876656173586078E-2</v>
      </c>
      <c r="J231">
        <f t="shared" si="19"/>
        <v>-7.6876656173586078E-2</v>
      </c>
    </row>
    <row r="232" spans="1:10" x14ac:dyDescent="0.25">
      <c r="A232" s="1">
        <v>45994</v>
      </c>
      <c r="B232">
        <v>6849.72</v>
      </c>
      <c r="C232">
        <v>6850</v>
      </c>
      <c r="D232">
        <v>0.13509499999999999</v>
      </c>
      <c r="E232">
        <v>3.7462000000000002E-2</v>
      </c>
      <c r="F232" s="8">
        <f t="shared" si="15"/>
        <v>8.2191780821917804E-2</v>
      </c>
      <c r="G232">
        <f t="shared" si="16"/>
        <v>0.53895826724188356</v>
      </c>
      <c r="H232">
        <f t="shared" si="17"/>
        <v>-0.46104173275811644</v>
      </c>
      <c r="I232">
        <f t="shared" si="18"/>
        <v>7.7916534483767119E-2</v>
      </c>
      <c r="J232">
        <f t="shared" si="19"/>
        <v>-7.7916534483767119E-2</v>
      </c>
    </row>
    <row r="233" spans="1:10" x14ac:dyDescent="0.25">
      <c r="A233" s="1">
        <v>45995</v>
      </c>
      <c r="B233">
        <v>6857.12</v>
      </c>
      <c r="C233">
        <v>6855</v>
      </c>
      <c r="D233">
        <v>0.132950179</v>
      </c>
      <c r="E233">
        <v>3.7533999999999998E-2</v>
      </c>
      <c r="F233" s="8">
        <f t="shared" si="15"/>
        <v>8.2191780821917804E-2</v>
      </c>
      <c r="G233">
        <f t="shared" si="16"/>
        <v>0.54304496577456396</v>
      </c>
      <c r="H233">
        <f t="shared" si="17"/>
        <v>-0.45695503422543604</v>
      </c>
      <c r="I233">
        <f t="shared" si="18"/>
        <v>8.6089931549127918E-2</v>
      </c>
      <c r="J233">
        <f t="shared" si="19"/>
        <v>-8.6089931549127918E-2</v>
      </c>
    </row>
    <row r="234" spans="1:10" x14ac:dyDescent="0.25">
      <c r="A234" s="1">
        <v>45996</v>
      </c>
      <c r="B234">
        <v>6870.4</v>
      </c>
      <c r="C234">
        <v>6870</v>
      </c>
      <c r="D234">
        <v>0.13020928600000001</v>
      </c>
      <c r="E234">
        <v>3.6734000000000003E-2</v>
      </c>
      <c r="F234" s="8">
        <f t="shared" si="15"/>
        <v>8.2191780821917804E-2</v>
      </c>
      <c r="G234">
        <f t="shared" si="16"/>
        <v>0.54026623517353611</v>
      </c>
      <c r="H234">
        <f t="shared" si="17"/>
        <v>-0.45973376482646389</v>
      </c>
      <c r="I234">
        <f t="shared" si="18"/>
        <v>8.0532470347072227E-2</v>
      </c>
      <c r="J234">
        <f t="shared" si="19"/>
        <v>-8.0532470347072227E-2</v>
      </c>
    </row>
    <row r="235" spans="1:10" x14ac:dyDescent="0.25">
      <c r="A235" s="1">
        <v>45999</v>
      </c>
      <c r="B235">
        <v>6846.51</v>
      </c>
      <c r="C235">
        <v>6845</v>
      </c>
      <c r="D235">
        <v>0.13725732099999999</v>
      </c>
      <c r="E235">
        <v>3.7265E-2</v>
      </c>
      <c r="F235" s="8">
        <f t="shared" si="15"/>
        <v>8.2191780821917804E-2</v>
      </c>
      <c r="G235">
        <f t="shared" si="16"/>
        <v>0.54106474094032819</v>
      </c>
      <c r="H235">
        <f t="shared" si="17"/>
        <v>-0.45893525905967181</v>
      </c>
      <c r="I235">
        <f t="shared" si="18"/>
        <v>8.2129481880656385E-2</v>
      </c>
      <c r="J235">
        <f t="shared" si="19"/>
        <v>-8.2129481880656385E-2</v>
      </c>
    </row>
    <row r="236" spans="1:10" x14ac:dyDescent="0.25">
      <c r="A236" s="1">
        <v>46000</v>
      </c>
      <c r="B236">
        <v>6840.51</v>
      </c>
      <c r="C236">
        <v>6840</v>
      </c>
      <c r="D236">
        <v>0.13932428599999999</v>
      </c>
      <c r="E236">
        <v>3.7134E-2</v>
      </c>
      <c r="F236" s="8">
        <f t="shared" si="15"/>
        <v>8.2191780821917804E-2</v>
      </c>
      <c r="G236">
        <f t="shared" si="16"/>
        <v>0.53913299318870855</v>
      </c>
      <c r="H236">
        <f t="shared" si="17"/>
        <v>-0.46086700681129145</v>
      </c>
      <c r="I236">
        <f t="shared" si="18"/>
        <v>7.8265986377417107E-2</v>
      </c>
      <c r="J236">
        <f t="shared" si="19"/>
        <v>-7.8265986377417107E-2</v>
      </c>
    </row>
    <row r="237" spans="1:10" x14ac:dyDescent="0.25">
      <c r="A237" s="1">
        <v>46001</v>
      </c>
      <c r="B237">
        <v>6886.68</v>
      </c>
      <c r="C237">
        <v>6885</v>
      </c>
      <c r="D237">
        <v>0.130055</v>
      </c>
      <c r="E237">
        <v>3.6722999999999999E-2</v>
      </c>
      <c r="F237" s="8">
        <f t="shared" si="15"/>
        <v>8.2191780821917804E-2</v>
      </c>
      <c r="G237">
        <f t="shared" si="16"/>
        <v>0.54226352679939627</v>
      </c>
      <c r="H237">
        <f t="shared" si="17"/>
        <v>-0.45773647320060373</v>
      </c>
      <c r="I237">
        <f t="shared" si="18"/>
        <v>8.4527053598792534E-2</v>
      </c>
      <c r="J237">
        <f t="shared" si="19"/>
        <v>-8.4527053598792534E-2</v>
      </c>
    </row>
    <row r="238" spans="1:10" x14ac:dyDescent="0.25">
      <c r="A238" s="1">
        <v>46002</v>
      </c>
      <c r="B238">
        <v>6901</v>
      </c>
      <c r="C238">
        <v>6900</v>
      </c>
      <c r="D238">
        <v>0.123478214</v>
      </c>
      <c r="E238">
        <v>3.6795000000000001E-2</v>
      </c>
      <c r="F238" s="8">
        <f t="shared" si="15"/>
        <v>8.2191780821917804E-2</v>
      </c>
      <c r="G238">
        <f t="shared" si="16"/>
        <v>0.54269443555671537</v>
      </c>
      <c r="H238">
        <f t="shared" si="17"/>
        <v>-0.45730556444328463</v>
      </c>
      <c r="I238">
        <f t="shared" si="18"/>
        <v>8.5388871113430742E-2</v>
      </c>
      <c r="J238">
        <f t="shared" si="19"/>
        <v>-8.5388871113430742E-2</v>
      </c>
    </row>
    <row r="239" spans="1:10" x14ac:dyDescent="0.25">
      <c r="A239" s="1">
        <v>46003</v>
      </c>
      <c r="B239">
        <v>6827.41</v>
      </c>
      <c r="C239">
        <v>6825</v>
      </c>
      <c r="D239">
        <v>0.13106553600000001</v>
      </c>
      <c r="E239">
        <v>3.6377E-2</v>
      </c>
      <c r="F239" s="8">
        <f t="shared" si="15"/>
        <v>8.2191780821917804E-2</v>
      </c>
      <c r="G239">
        <f t="shared" si="16"/>
        <v>0.54290461353616326</v>
      </c>
      <c r="H239">
        <f t="shared" si="17"/>
        <v>-0.45709538646383674</v>
      </c>
      <c r="I239">
        <f t="shared" si="18"/>
        <v>8.5809227072326522E-2</v>
      </c>
      <c r="J239">
        <f t="shared" si="19"/>
        <v>-8.5809227072326522E-2</v>
      </c>
    </row>
    <row r="240" spans="1:10" x14ac:dyDescent="0.25">
      <c r="A240" s="1">
        <v>46006</v>
      </c>
      <c r="B240">
        <v>6816.51</v>
      </c>
      <c r="C240">
        <v>6815</v>
      </c>
      <c r="D240">
        <v>0.13197642900000001</v>
      </c>
      <c r="E240">
        <v>3.6704000000000001E-2</v>
      </c>
      <c r="F240" s="8">
        <f t="shared" si="15"/>
        <v>8.2191780821917804E-2</v>
      </c>
      <c r="G240">
        <f t="shared" si="16"/>
        <v>0.54161582378181861</v>
      </c>
      <c r="H240">
        <f t="shared" si="17"/>
        <v>-0.45838417621818139</v>
      </c>
      <c r="I240">
        <f t="shared" si="18"/>
        <v>8.3231647563637212E-2</v>
      </c>
      <c r="J240">
        <f t="shared" si="19"/>
        <v>-8.3231647563637212E-2</v>
      </c>
    </row>
    <row r="241" spans="1:10" x14ac:dyDescent="0.25">
      <c r="A241" s="1">
        <v>46007</v>
      </c>
      <c r="B241">
        <v>6800.26</v>
      </c>
      <c r="C241">
        <v>6800</v>
      </c>
      <c r="D241">
        <v>0.13223874999999999</v>
      </c>
      <c r="E241">
        <v>3.6573000000000001E-2</v>
      </c>
      <c r="F241" s="8">
        <f t="shared" si="15"/>
        <v>8.2191780821917804E-2</v>
      </c>
      <c r="G241">
        <f t="shared" si="16"/>
        <v>0.53953166771363836</v>
      </c>
      <c r="H241">
        <f t="shared" si="17"/>
        <v>-0.46046833228636164</v>
      </c>
      <c r="I241">
        <f t="shared" si="18"/>
        <v>7.9063335427276726E-2</v>
      </c>
      <c r="J241">
        <f t="shared" si="19"/>
        <v>-7.9063335427276726E-2</v>
      </c>
    </row>
    <row r="242" spans="1:10" x14ac:dyDescent="0.25">
      <c r="A242" s="1">
        <v>46008</v>
      </c>
      <c r="B242">
        <v>6721.43</v>
      </c>
      <c r="C242">
        <v>6720</v>
      </c>
      <c r="D242">
        <v>0.150005</v>
      </c>
      <c r="E242">
        <v>3.6288999999999995E-2</v>
      </c>
      <c r="F242" s="8">
        <f t="shared" si="15"/>
        <v>8.2191780821917804E-2</v>
      </c>
      <c r="G242">
        <f t="shared" si="16"/>
        <v>0.53816272371087681</v>
      </c>
      <c r="H242">
        <f t="shared" si="17"/>
        <v>-0.46183727628912319</v>
      </c>
      <c r="I242">
        <f t="shared" si="18"/>
        <v>7.6325447421753623E-2</v>
      </c>
      <c r="J242">
        <f t="shared" si="19"/>
        <v>-7.6325447421753623E-2</v>
      </c>
    </row>
    <row r="243" spans="1:10" x14ac:dyDescent="0.25">
      <c r="A243" s="1">
        <v>46009</v>
      </c>
      <c r="B243">
        <v>6774.76</v>
      </c>
      <c r="C243">
        <v>6775</v>
      </c>
      <c r="D243">
        <v>0.137185</v>
      </c>
      <c r="E243">
        <v>3.5802E-2</v>
      </c>
      <c r="F243" s="8">
        <f t="shared" si="15"/>
        <v>8.2191780821917804E-2</v>
      </c>
      <c r="G243">
        <f t="shared" si="16"/>
        <v>0.53728005097263454</v>
      </c>
      <c r="H243">
        <f t="shared" si="17"/>
        <v>-0.46271994902736546</v>
      </c>
      <c r="I243">
        <f t="shared" si="18"/>
        <v>7.4560101945269075E-2</v>
      </c>
      <c r="J243">
        <f t="shared" si="19"/>
        <v>-7.4560101945269075E-2</v>
      </c>
    </row>
    <row r="244" spans="1:10" x14ac:dyDescent="0.25">
      <c r="A244" s="1">
        <v>46010</v>
      </c>
      <c r="B244">
        <v>6834.5</v>
      </c>
      <c r="C244">
        <v>6835</v>
      </c>
      <c r="D244">
        <v>0.12334714300000001</v>
      </c>
      <c r="E244">
        <v>3.5867000000000003E-2</v>
      </c>
      <c r="F244" s="8">
        <f t="shared" si="15"/>
        <v>8.2191780821917804E-2</v>
      </c>
      <c r="G244">
        <f t="shared" si="16"/>
        <v>0.53942167093776927</v>
      </c>
      <c r="H244">
        <f t="shared" si="17"/>
        <v>-0.46057832906223073</v>
      </c>
      <c r="I244">
        <f t="shared" si="18"/>
        <v>7.8843341875538542E-2</v>
      </c>
      <c r="J244">
        <f t="shared" si="19"/>
        <v>-7.8843341875538542E-2</v>
      </c>
    </row>
    <row r="245" spans="1:10" x14ac:dyDescent="0.25">
      <c r="A245" s="1">
        <v>46013</v>
      </c>
      <c r="B245">
        <v>6878.49</v>
      </c>
      <c r="C245">
        <v>6880</v>
      </c>
      <c r="D245">
        <v>0.11257642900000001</v>
      </c>
      <c r="E245">
        <v>3.6220000000000002E-2</v>
      </c>
      <c r="F245" s="8">
        <f t="shared" si="15"/>
        <v>8.2191780821917804E-2</v>
      </c>
      <c r="G245">
        <f t="shared" si="16"/>
        <v>0.54045315752341216</v>
      </c>
      <c r="H245">
        <f t="shared" si="17"/>
        <v>-0.45954684247658784</v>
      </c>
      <c r="I245">
        <f t="shared" si="18"/>
        <v>8.0906315046824329E-2</v>
      </c>
      <c r="J245">
        <f t="shared" si="19"/>
        <v>-8.0906315046824329E-2</v>
      </c>
    </row>
    <row r="246" spans="1:10" x14ac:dyDescent="0.25">
      <c r="A246" s="1">
        <v>46014</v>
      </c>
      <c r="B246">
        <v>6909.79</v>
      </c>
      <c r="C246">
        <v>6910</v>
      </c>
      <c r="D246">
        <v>0.111272</v>
      </c>
      <c r="E246">
        <v>3.6139999999999999E-2</v>
      </c>
      <c r="F246" s="8">
        <f t="shared" si="15"/>
        <v>8.2191780821917804E-2</v>
      </c>
      <c r="G246">
        <f t="shared" si="16"/>
        <v>0.54304656667421936</v>
      </c>
      <c r="H246">
        <f t="shared" si="17"/>
        <v>-0.45695343332578064</v>
      </c>
      <c r="I246">
        <f t="shared" si="18"/>
        <v>8.6093133348438711E-2</v>
      </c>
      <c r="J246">
        <f t="shared" si="19"/>
        <v>-8.6093133348438711E-2</v>
      </c>
    </row>
    <row r="247" spans="1:10" x14ac:dyDescent="0.25">
      <c r="A247" s="1">
        <v>46015</v>
      </c>
      <c r="B247">
        <v>6932.05</v>
      </c>
      <c r="C247">
        <v>6930</v>
      </c>
      <c r="D247">
        <v>0.110648</v>
      </c>
      <c r="E247">
        <v>3.6056999999999999E-2</v>
      </c>
      <c r="F247" s="8">
        <f t="shared" si="15"/>
        <v>8.2191780821917804E-2</v>
      </c>
      <c r="G247">
        <f t="shared" si="16"/>
        <v>0.54720751118136612</v>
      </c>
      <c r="H247">
        <f t="shared" si="17"/>
        <v>-0.45279248881863388</v>
      </c>
      <c r="I247">
        <f t="shared" si="18"/>
        <v>9.4415022362732248E-2</v>
      </c>
      <c r="J247">
        <f t="shared" si="19"/>
        <v>-9.4415022362732248E-2</v>
      </c>
    </row>
    <row r="248" spans="1:10" x14ac:dyDescent="0.25">
      <c r="A248" s="1">
        <v>46017</v>
      </c>
      <c r="B248">
        <v>6929.94</v>
      </c>
      <c r="C248">
        <v>6930</v>
      </c>
      <c r="D248">
        <v>0.109943286</v>
      </c>
      <c r="E248">
        <v>3.5790000000000002E-2</v>
      </c>
      <c r="F248" s="8">
        <f t="shared" si="15"/>
        <v>8.2191780821917804E-2</v>
      </c>
      <c r="G248">
        <f t="shared" si="16"/>
        <v>0.54332426338524165</v>
      </c>
      <c r="H248">
        <f t="shared" si="17"/>
        <v>-0.45667573661475835</v>
      </c>
      <c r="I248">
        <f t="shared" si="18"/>
        <v>8.6648526770483292E-2</v>
      </c>
      <c r="J248">
        <f t="shared" si="19"/>
        <v>-8.6648526770483292E-2</v>
      </c>
    </row>
    <row r="249" spans="1:10" x14ac:dyDescent="0.25">
      <c r="A249" s="1">
        <v>46020</v>
      </c>
      <c r="B249">
        <v>6905.74</v>
      </c>
      <c r="C249">
        <v>6905</v>
      </c>
      <c r="D249">
        <v>0.112261714</v>
      </c>
      <c r="E249">
        <v>3.594E-2</v>
      </c>
      <c r="F249" s="8">
        <f t="shared" si="15"/>
        <v>8.2191780821917804E-2</v>
      </c>
      <c r="G249">
        <f t="shared" si="16"/>
        <v>0.54427291642906472</v>
      </c>
      <c r="H249">
        <f t="shared" si="17"/>
        <v>-0.45572708357093528</v>
      </c>
      <c r="I249">
        <f t="shared" si="18"/>
        <v>8.8545832858129447E-2</v>
      </c>
      <c r="J249">
        <f t="shared" si="19"/>
        <v>-8.8545832858129447E-2</v>
      </c>
    </row>
    <row r="250" spans="1:10" x14ac:dyDescent="0.25">
      <c r="A250" s="1">
        <v>46021</v>
      </c>
      <c r="B250">
        <v>6896.24</v>
      </c>
      <c r="C250">
        <v>6895</v>
      </c>
      <c r="D250">
        <v>0.114773714</v>
      </c>
      <c r="E250">
        <v>3.5274E-2</v>
      </c>
      <c r="F250" s="8">
        <f t="shared" si="15"/>
        <v>8.2191780821917804E-2</v>
      </c>
      <c r="G250">
        <f t="shared" si="16"/>
        <v>0.54380624810799083</v>
      </c>
      <c r="H250">
        <f t="shared" si="17"/>
        <v>-0.45619375189200917</v>
      </c>
      <c r="I250">
        <f t="shared" si="18"/>
        <v>8.7612496215981661E-2</v>
      </c>
      <c r="J250">
        <f t="shared" si="19"/>
        <v>-8.7612496215981661E-2</v>
      </c>
    </row>
    <row r="251" spans="1:10" x14ac:dyDescent="0.25">
      <c r="A251" s="1">
        <v>46022</v>
      </c>
      <c r="B251">
        <v>6845.5</v>
      </c>
      <c r="C251">
        <v>6845</v>
      </c>
      <c r="D251">
        <v>0.122406</v>
      </c>
      <c r="E251">
        <v>3.5903999999999998E-2</v>
      </c>
      <c r="F251" s="8">
        <f t="shared" si="15"/>
        <v>8.2191780821917804E-2</v>
      </c>
      <c r="G251">
        <f t="shared" si="16"/>
        <v>0.54130411361011666</v>
      </c>
      <c r="H251">
        <f t="shared" si="17"/>
        <v>-0.45869588638988334</v>
      </c>
      <c r="I251">
        <f t="shared" si="18"/>
        <v>8.260822722023331E-2</v>
      </c>
      <c r="J251">
        <f t="shared" si="19"/>
        <v>-8.260822722023331E-2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FAF1F-25F4-47D4-83E5-9EFA8BE19122}">
  <dimension ref="A1:N251"/>
  <sheetViews>
    <sheetView workbookViewId="0">
      <selection activeCell="N1" sqref="N1:N1048576"/>
    </sheetView>
  </sheetViews>
  <sheetFormatPr defaultRowHeight="15" x14ac:dyDescent="0.25"/>
  <cols>
    <col min="1" max="1" width="10.42578125" style="1" bestFit="1" customWidth="1"/>
    <col min="2" max="2" width="20.140625" bestFit="1" customWidth="1"/>
    <col min="3" max="3" width="10" bestFit="1" customWidth="1"/>
    <col min="4" max="4" width="21.5703125" bestFit="1" customWidth="1"/>
    <col min="5" max="5" width="21.140625" bestFit="1" customWidth="1"/>
    <col min="6" max="6" width="9.85546875" customWidth="1"/>
    <col min="7" max="7" width="9.42578125" customWidth="1"/>
    <col min="8" max="8" width="10.28515625" bestFit="1" customWidth="1"/>
    <col min="9" max="9" width="15.42578125" bestFit="1" customWidth="1"/>
    <col min="10" max="10" width="14.7109375" bestFit="1" customWidth="1"/>
    <col min="11" max="11" width="21" bestFit="1" customWidth="1"/>
    <col min="12" max="12" width="17.7109375" bestFit="1" customWidth="1"/>
    <col min="13" max="13" width="13.42578125" bestFit="1" customWidth="1"/>
    <col min="14" max="14" width="12.140625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6</v>
      </c>
      <c r="E1" t="s">
        <v>7</v>
      </c>
      <c r="F1" t="s">
        <v>834</v>
      </c>
      <c r="G1" t="s">
        <v>835</v>
      </c>
      <c r="H1" t="s">
        <v>828</v>
      </c>
      <c r="I1" t="s">
        <v>836</v>
      </c>
      <c r="J1" t="s">
        <v>837</v>
      </c>
      <c r="K1" s="6" t="s">
        <v>838</v>
      </c>
      <c r="L1" s="4" t="s">
        <v>839</v>
      </c>
      <c r="M1" s="9" t="s">
        <v>840</v>
      </c>
      <c r="N1" s="7" t="s">
        <v>833</v>
      </c>
    </row>
    <row r="2" spans="1:14" x14ac:dyDescent="0.25">
      <c r="A2" s="1">
        <v>45659</v>
      </c>
      <c r="B2">
        <v>5868.55</v>
      </c>
      <c r="C2">
        <v>5870</v>
      </c>
      <c r="D2">
        <v>15</v>
      </c>
      <c r="E2">
        <v>50</v>
      </c>
      <c r="F2">
        <v>14.31</v>
      </c>
      <c r="G2">
        <v>14.372999999999999</v>
      </c>
      <c r="H2">
        <v>4.2911999999999999E-2</v>
      </c>
      <c r="I2">
        <f>_xlfn.NORM.S.DIST((LN(B2/C2)+(H2+0.5*(F2/100)^2)*(D2/365))/((F2/100)*SQRT(D2/365)),TRUE)</f>
        <v>0.52662133427749214</v>
      </c>
      <c r="J2">
        <f>_xlfn.NORM.S.DIST((LN(B2/C2)+(H2+0.5*(G2/100)^2)*(E2/365))/((G2/100)*SQRT(E2/365)),TRUE)</f>
        <v>0.55268831184513401</v>
      </c>
      <c r="K2">
        <f>IF(ABS(D2-30)&lt;ABS(E2-30), I2, J2)</f>
        <v>0.52662133427749214</v>
      </c>
      <c r="L2">
        <f>K2-1</f>
        <v>-0.47337866572250786</v>
      </c>
      <c r="M2">
        <f>K2+L2</f>
        <v>5.3242668554984274E-2</v>
      </c>
      <c r="N2">
        <f>-M2</f>
        <v>-5.3242668554984274E-2</v>
      </c>
    </row>
    <row r="3" spans="1:14" x14ac:dyDescent="0.25">
      <c r="A3" s="1">
        <v>45660</v>
      </c>
      <c r="B3">
        <v>5942.47</v>
      </c>
      <c r="C3">
        <v>5940</v>
      </c>
      <c r="D3">
        <v>14</v>
      </c>
      <c r="E3">
        <v>49</v>
      </c>
      <c r="F3">
        <v>12.103</v>
      </c>
      <c r="G3">
        <v>13.127000000000001</v>
      </c>
      <c r="H3">
        <v>4.2625999999999997E-2</v>
      </c>
      <c r="I3">
        <f t="shared" ref="I3:I66" si="0">_xlfn.NORM.S.DIST((LN(B3/C3)+(H3+0.5*(F3/100)^2)*(D3/365))/((F3/100)*SQRT(D3/365)),TRUE)</f>
        <v>0.53917958949077627</v>
      </c>
      <c r="J3">
        <f t="shared" ref="J3:J66" si="1">_xlfn.NORM.S.DIST((LN(B3/C3)+(H3+0.5*(G3/100)^2)*(E3/365))/((G3/100)*SQRT(E3/365)),TRUE)</f>
        <v>0.56027583239410295</v>
      </c>
      <c r="K3">
        <f t="shared" ref="K3:K66" si="2">IF(ABS(D3-30)&lt;ABS(E3-30), I3, J3)</f>
        <v>0.53917958949077627</v>
      </c>
      <c r="L3">
        <f t="shared" ref="L3:L66" si="3">K3-1</f>
        <v>-0.46082041050922373</v>
      </c>
      <c r="M3">
        <f t="shared" ref="M3:M66" si="4">K3+L3</f>
        <v>7.8359178981552535E-2</v>
      </c>
      <c r="N3">
        <f t="shared" ref="N3:N66" si="5">-M3</f>
        <v>-7.8359178981552535E-2</v>
      </c>
    </row>
    <row r="4" spans="1:14" x14ac:dyDescent="0.25">
      <c r="A4" s="1">
        <v>45663</v>
      </c>
      <c r="B4">
        <v>5975.38</v>
      </c>
      <c r="C4">
        <v>5975</v>
      </c>
      <c r="D4">
        <v>11</v>
      </c>
      <c r="E4">
        <v>46</v>
      </c>
      <c r="F4">
        <v>12.246</v>
      </c>
      <c r="G4">
        <v>12.896000000000001</v>
      </c>
      <c r="H4">
        <v>4.3105999999999998E-2</v>
      </c>
      <c r="I4">
        <f t="shared" si="0"/>
        <v>0.52978458013823293</v>
      </c>
      <c r="J4">
        <f t="shared" si="1"/>
        <v>0.55683228804472484</v>
      </c>
      <c r="K4">
        <f t="shared" si="2"/>
        <v>0.55683228804472484</v>
      </c>
      <c r="L4">
        <f t="shared" si="3"/>
        <v>-0.44316771195527516</v>
      </c>
      <c r="M4">
        <f t="shared" si="4"/>
        <v>0.11366457608944969</v>
      </c>
      <c r="N4">
        <f t="shared" si="5"/>
        <v>-0.11366457608944969</v>
      </c>
    </row>
    <row r="5" spans="1:14" x14ac:dyDescent="0.25">
      <c r="A5" s="1">
        <v>45664</v>
      </c>
      <c r="B5">
        <v>5909.03</v>
      </c>
      <c r="C5">
        <v>5910</v>
      </c>
      <c r="D5">
        <v>10</v>
      </c>
      <c r="E5">
        <v>45</v>
      </c>
      <c r="F5">
        <v>14.436</v>
      </c>
      <c r="G5">
        <v>14.319000000000001</v>
      </c>
      <c r="H5">
        <v>4.3023999999999993E-2</v>
      </c>
      <c r="I5">
        <f t="shared" si="0"/>
        <v>0.52169519882633342</v>
      </c>
      <c r="J5">
        <f t="shared" si="1"/>
        <v>0.55067830913546678</v>
      </c>
      <c r="K5">
        <f t="shared" si="2"/>
        <v>0.55067830913546678</v>
      </c>
      <c r="L5">
        <f t="shared" si="3"/>
        <v>-0.44932169086453322</v>
      </c>
      <c r="M5">
        <f t="shared" si="4"/>
        <v>0.10135661827093356</v>
      </c>
      <c r="N5">
        <f t="shared" si="5"/>
        <v>-0.10135661827093356</v>
      </c>
    </row>
    <row r="6" spans="1:14" x14ac:dyDescent="0.25">
      <c r="A6" s="1">
        <v>45665</v>
      </c>
      <c r="B6">
        <v>5918.25</v>
      </c>
      <c r="C6">
        <v>5920</v>
      </c>
      <c r="D6">
        <v>9</v>
      </c>
      <c r="E6">
        <v>44</v>
      </c>
      <c r="F6">
        <v>14.503</v>
      </c>
      <c r="G6">
        <v>14.170999999999999</v>
      </c>
      <c r="H6">
        <v>4.2942000000000001E-2</v>
      </c>
      <c r="I6">
        <f t="shared" si="0"/>
        <v>0.51790604842182142</v>
      </c>
      <c r="J6">
        <f t="shared" si="1"/>
        <v>0.54926438090468299</v>
      </c>
      <c r="K6">
        <f t="shared" si="2"/>
        <v>0.54926438090468299</v>
      </c>
      <c r="L6">
        <f t="shared" si="3"/>
        <v>-0.45073561909531701</v>
      </c>
      <c r="M6">
        <f t="shared" si="4"/>
        <v>9.8528761809365983E-2</v>
      </c>
      <c r="N6">
        <f t="shared" si="5"/>
        <v>-9.8528761809365983E-2</v>
      </c>
    </row>
    <row r="7" spans="1:14" x14ac:dyDescent="0.25">
      <c r="A7" s="1">
        <v>45667</v>
      </c>
      <c r="B7">
        <v>5827.04</v>
      </c>
      <c r="C7">
        <v>5825</v>
      </c>
      <c r="D7">
        <v>7</v>
      </c>
      <c r="E7">
        <v>42</v>
      </c>
      <c r="F7">
        <v>16.297999999999998</v>
      </c>
      <c r="G7">
        <v>15.64</v>
      </c>
      <c r="H7">
        <v>4.2830000000000007E-2</v>
      </c>
      <c r="I7">
        <f t="shared" si="0"/>
        <v>0.52519316198812827</v>
      </c>
      <c r="J7">
        <f t="shared" si="1"/>
        <v>0.55014242710165373</v>
      </c>
      <c r="K7">
        <f t="shared" si="2"/>
        <v>0.55014242710165373</v>
      </c>
      <c r="L7">
        <f t="shared" si="3"/>
        <v>-0.44985757289834627</v>
      </c>
      <c r="M7">
        <f t="shared" si="4"/>
        <v>0.10028485420330746</v>
      </c>
      <c r="N7">
        <f t="shared" si="5"/>
        <v>-0.10028485420330746</v>
      </c>
    </row>
    <row r="8" spans="1:14" x14ac:dyDescent="0.25">
      <c r="A8" s="1">
        <v>45670</v>
      </c>
      <c r="B8">
        <v>5836.22</v>
      </c>
      <c r="C8">
        <v>5835</v>
      </c>
      <c r="D8">
        <v>4</v>
      </c>
      <c r="E8">
        <v>39</v>
      </c>
      <c r="F8">
        <v>16.766999999999999</v>
      </c>
      <c r="G8">
        <v>15.195</v>
      </c>
      <c r="H8">
        <v>4.3055000000000003E-2</v>
      </c>
      <c r="I8">
        <f t="shared" si="0"/>
        <v>0.51896984021146475</v>
      </c>
      <c r="J8">
        <f t="shared" si="1"/>
        <v>0.54841763306497548</v>
      </c>
      <c r="K8">
        <f t="shared" si="2"/>
        <v>0.54841763306497548</v>
      </c>
      <c r="L8">
        <f t="shared" si="3"/>
        <v>-0.45158236693502452</v>
      </c>
      <c r="M8">
        <f t="shared" si="4"/>
        <v>9.683526612995097E-2</v>
      </c>
      <c r="N8">
        <f t="shared" si="5"/>
        <v>-9.683526612995097E-2</v>
      </c>
    </row>
    <row r="9" spans="1:14" x14ac:dyDescent="0.25">
      <c r="A9" s="1">
        <v>45671</v>
      </c>
      <c r="B9">
        <v>5842.91</v>
      </c>
      <c r="C9">
        <v>5845</v>
      </c>
      <c r="D9">
        <v>3</v>
      </c>
      <c r="E9">
        <v>38</v>
      </c>
      <c r="F9">
        <v>17.260000000000002</v>
      </c>
      <c r="G9">
        <v>15.042</v>
      </c>
      <c r="H9">
        <v>4.2998000000000001E-2</v>
      </c>
      <c r="I9">
        <f t="shared" si="0"/>
        <v>0.5030135185940483</v>
      </c>
      <c r="J9">
        <f t="shared" si="1"/>
        <v>0.54345109263402835</v>
      </c>
      <c r="K9">
        <f t="shared" si="2"/>
        <v>0.54345109263402835</v>
      </c>
      <c r="L9">
        <f t="shared" si="3"/>
        <v>-0.45654890736597165</v>
      </c>
      <c r="M9">
        <f t="shared" si="4"/>
        <v>8.6902185268056709E-2</v>
      </c>
      <c r="N9">
        <f t="shared" si="5"/>
        <v>-8.6902185268056709E-2</v>
      </c>
    </row>
    <row r="10" spans="1:14" x14ac:dyDescent="0.25">
      <c r="A10" s="1">
        <v>45672</v>
      </c>
      <c r="B10">
        <v>5949.91</v>
      </c>
      <c r="C10">
        <v>5950</v>
      </c>
      <c r="D10">
        <v>2</v>
      </c>
      <c r="E10">
        <v>37</v>
      </c>
      <c r="F10">
        <v>11.536</v>
      </c>
      <c r="G10">
        <v>12.836</v>
      </c>
      <c r="H10">
        <v>4.2916999999999997E-2</v>
      </c>
      <c r="I10">
        <f t="shared" si="0"/>
        <v>0.51198121341033898</v>
      </c>
      <c r="J10">
        <f t="shared" si="1"/>
        <v>0.55033824796609521</v>
      </c>
      <c r="K10">
        <f t="shared" si="2"/>
        <v>0.55033824796609521</v>
      </c>
      <c r="L10">
        <f t="shared" si="3"/>
        <v>-0.44966175203390479</v>
      </c>
      <c r="M10">
        <f t="shared" si="4"/>
        <v>0.10067649593219041</v>
      </c>
      <c r="N10">
        <f t="shared" si="5"/>
        <v>-0.10067649593219041</v>
      </c>
    </row>
    <row r="11" spans="1:14" x14ac:dyDescent="0.25">
      <c r="A11" s="1">
        <v>45673</v>
      </c>
      <c r="B11">
        <v>5937.34</v>
      </c>
      <c r="C11">
        <v>5935</v>
      </c>
      <c r="D11">
        <v>1</v>
      </c>
      <c r="E11">
        <v>36</v>
      </c>
      <c r="F11">
        <v>10.444000000000001</v>
      </c>
      <c r="G11">
        <v>13.009</v>
      </c>
      <c r="H11">
        <v>4.2962999999999994E-2</v>
      </c>
      <c r="I11">
        <f t="shared" si="0"/>
        <v>0.53838827165770398</v>
      </c>
      <c r="J11">
        <f t="shared" si="1"/>
        <v>0.55321746766173729</v>
      </c>
      <c r="K11">
        <f t="shared" si="2"/>
        <v>0.55321746766173729</v>
      </c>
      <c r="L11">
        <f t="shared" si="3"/>
        <v>-0.44678253233826271</v>
      </c>
      <c r="M11">
        <f t="shared" si="4"/>
        <v>0.10643493532347459</v>
      </c>
      <c r="N11">
        <f t="shared" si="5"/>
        <v>-0.10643493532347459</v>
      </c>
    </row>
    <row r="12" spans="1:14" x14ac:dyDescent="0.25">
      <c r="A12" s="1">
        <v>45674</v>
      </c>
      <c r="B12">
        <v>5996.66</v>
      </c>
      <c r="C12">
        <v>5995</v>
      </c>
      <c r="D12">
        <v>35</v>
      </c>
      <c r="E12">
        <v>63</v>
      </c>
      <c r="F12">
        <v>12.862</v>
      </c>
      <c r="G12">
        <v>13.145</v>
      </c>
      <c r="H12">
        <v>4.3004000000000001E-2</v>
      </c>
      <c r="I12">
        <f t="shared" si="0"/>
        <v>0.55187532270545936</v>
      </c>
      <c r="J12">
        <f t="shared" si="1"/>
        <v>0.56682315900629343</v>
      </c>
      <c r="K12">
        <f t="shared" si="2"/>
        <v>0.55187532270545936</v>
      </c>
      <c r="L12">
        <f t="shared" si="3"/>
        <v>-0.44812467729454064</v>
      </c>
      <c r="M12">
        <f t="shared" si="4"/>
        <v>0.10375064541091872</v>
      </c>
      <c r="N12">
        <f t="shared" si="5"/>
        <v>-0.10375064541091872</v>
      </c>
    </row>
    <row r="13" spans="1:14" x14ac:dyDescent="0.25">
      <c r="A13" s="1">
        <v>45678</v>
      </c>
      <c r="B13">
        <v>6049.24</v>
      </c>
      <c r="C13">
        <v>6050</v>
      </c>
      <c r="D13">
        <v>31</v>
      </c>
      <c r="E13">
        <v>59</v>
      </c>
      <c r="F13">
        <v>11.612</v>
      </c>
      <c r="G13">
        <v>12.125</v>
      </c>
      <c r="H13">
        <v>4.2998000000000001E-2</v>
      </c>
      <c r="I13">
        <f t="shared" si="0"/>
        <v>0.54820263557414284</v>
      </c>
      <c r="J13">
        <f t="shared" si="1"/>
        <v>0.56528127382001214</v>
      </c>
      <c r="K13">
        <f t="shared" si="2"/>
        <v>0.54820263557414284</v>
      </c>
      <c r="L13">
        <f t="shared" si="3"/>
        <v>-0.45179736442585716</v>
      </c>
      <c r="M13">
        <f t="shared" si="4"/>
        <v>9.6405271148285676E-2</v>
      </c>
      <c r="N13">
        <f t="shared" si="5"/>
        <v>-9.6405271148285676E-2</v>
      </c>
    </row>
    <row r="14" spans="1:14" x14ac:dyDescent="0.25">
      <c r="A14" s="1">
        <v>45679</v>
      </c>
      <c r="B14">
        <v>6086.37</v>
      </c>
      <c r="C14">
        <v>6085</v>
      </c>
      <c r="D14">
        <v>30</v>
      </c>
      <c r="E14">
        <v>58</v>
      </c>
      <c r="F14">
        <v>11.413</v>
      </c>
      <c r="G14">
        <v>12.1</v>
      </c>
      <c r="H14">
        <v>4.3095000000000001E-2</v>
      </c>
      <c r="I14">
        <f t="shared" si="0"/>
        <v>0.55230753338489058</v>
      </c>
      <c r="J14">
        <f t="shared" si="1"/>
        <v>0.56779308451525756</v>
      </c>
      <c r="K14">
        <f t="shared" si="2"/>
        <v>0.55230753338489058</v>
      </c>
      <c r="L14">
        <f t="shared" si="3"/>
        <v>-0.44769246661510942</v>
      </c>
      <c r="M14">
        <f t="shared" si="4"/>
        <v>0.10461506676978116</v>
      </c>
      <c r="N14">
        <f t="shared" si="5"/>
        <v>-0.10461506676978116</v>
      </c>
    </row>
    <row r="15" spans="1:14" x14ac:dyDescent="0.25">
      <c r="A15" s="1">
        <v>45680</v>
      </c>
      <c r="B15">
        <v>6118.71</v>
      </c>
      <c r="C15">
        <v>6120</v>
      </c>
      <c r="D15">
        <v>29</v>
      </c>
      <c r="E15">
        <v>57</v>
      </c>
      <c r="F15">
        <v>11.282999999999999</v>
      </c>
      <c r="G15">
        <v>11.988</v>
      </c>
      <c r="H15">
        <v>4.3090000000000003E-2</v>
      </c>
      <c r="I15">
        <f t="shared" si="0"/>
        <v>0.54653870707416496</v>
      </c>
      <c r="J15">
        <f t="shared" si="1"/>
        <v>0.5640636862615136</v>
      </c>
      <c r="K15">
        <f t="shared" si="2"/>
        <v>0.54653870707416496</v>
      </c>
      <c r="L15">
        <f t="shared" si="3"/>
        <v>-0.45346129292583504</v>
      </c>
      <c r="M15">
        <f t="shared" si="4"/>
        <v>9.3077414148329929E-2</v>
      </c>
      <c r="N15">
        <f t="shared" si="5"/>
        <v>-9.3077414148329929E-2</v>
      </c>
    </row>
    <row r="16" spans="1:14" x14ac:dyDescent="0.25">
      <c r="A16" s="1">
        <v>45681</v>
      </c>
      <c r="B16">
        <v>6101.24</v>
      </c>
      <c r="C16">
        <v>6100</v>
      </c>
      <c r="D16">
        <v>28</v>
      </c>
      <c r="E16">
        <v>56</v>
      </c>
      <c r="F16">
        <v>11.35</v>
      </c>
      <c r="G16">
        <v>11.987</v>
      </c>
      <c r="H16">
        <v>4.3186999999999996E-2</v>
      </c>
      <c r="I16">
        <f t="shared" si="0"/>
        <v>0.55075593963260372</v>
      </c>
      <c r="J16">
        <f t="shared" si="1"/>
        <v>0.56707247293837026</v>
      </c>
      <c r="K16">
        <f t="shared" si="2"/>
        <v>0.55075593963260372</v>
      </c>
      <c r="L16">
        <f t="shared" si="3"/>
        <v>-0.44924406036739628</v>
      </c>
      <c r="M16">
        <f t="shared" si="4"/>
        <v>0.10151187926520744</v>
      </c>
      <c r="N16">
        <f t="shared" si="5"/>
        <v>-0.10151187926520744</v>
      </c>
    </row>
    <row r="17" spans="1:14" x14ac:dyDescent="0.25">
      <c r="A17" s="1">
        <v>45684</v>
      </c>
      <c r="B17">
        <v>6012.28</v>
      </c>
      <c r="C17">
        <v>6010</v>
      </c>
      <c r="D17">
        <v>25</v>
      </c>
      <c r="E17">
        <v>53</v>
      </c>
      <c r="F17">
        <v>13.927</v>
      </c>
      <c r="G17">
        <v>13.840999999999999</v>
      </c>
      <c r="H17">
        <v>4.3232999999999994E-2</v>
      </c>
      <c r="I17">
        <f t="shared" si="0"/>
        <v>0.54374485998376754</v>
      </c>
      <c r="J17">
        <f t="shared" si="1"/>
        <v>0.56063839392477177</v>
      </c>
      <c r="K17">
        <f t="shared" si="2"/>
        <v>0.54374485998376754</v>
      </c>
      <c r="L17">
        <f t="shared" si="3"/>
        <v>-0.45625514001623246</v>
      </c>
      <c r="M17">
        <f t="shared" si="4"/>
        <v>8.7489719967535073E-2</v>
      </c>
      <c r="N17">
        <f t="shared" si="5"/>
        <v>-8.7489719967535073E-2</v>
      </c>
    </row>
    <row r="18" spans="1:14" x14ac:dyDescent="0.25">
      <c r="A18" s="1">
        <v>45685</v>
      </c>
      <c r="B18">
        <v>6067.7</v>
      </c>
      <c r="C18">
        <v>6070</v>
      </c>
      <c r="D18">
        <v>24</v>
      </c>
      <c r="E18">
        <v>52</v>
      </c>
      <c r="F18">
        <v>12.606999999999999</v>
      </c>
      <c r="G18">
        <v>12.847</v>
      </c>
      <c r="H18">
        <v>4.3278999999999998E-2</v>
      </c>
      <c r="I18">
        <f t="shared" si="0"/>
        <v>0.53683735487625028</v>
      </c>
      <c r="J18">
        <f t="shared" si="1"/>
        <v>0.55708544687239847</v>
      </c>
      <c r="K18">
        <f t="shared" si="2"/>
        <v>0.53683735487625028</v>
      </c>
      <c r="L18">
        <f t="shared" si="3"/>
        <v>-0.46316264512374972</v>
      </c>
      <c r="M18">
        <f t="shared" si="4"/>
        <v>7.3674709752500567E-2</v>
      </c>
      <c r="N18">
        <f t="shared" si="5"/>
        <v>-7.3674709752500567E-2</v>
      </c>
    </row>
    <row r="19" spans="1:14" x14ac:dyDescent="0.25">
      <c r="A19" s="1">
        <v>45686</v>
      </c>
      <c r="B19">
        <v>6039.31</v>
      </c>
      <c r="C19">
        <v>6040</v>
      </c>
      <c r="D19">
        <v>23</v>
      </c>
      <c r="E19">
        <v>51</v>
      </c>
      <c r="F19">
        <v>12.91</v>
      </c>
      <c r="G19">
        <v>12.895</v>
      </c>
      <c r="H19">
        <v>4.3274E-2</v>
      </c>
      <c r="I19">
        <f t="shared" si="0"/>
        <v>0.53856591030372658</v>
      </c>
      <c r="J19">
        <f t="shared" si="1"/>
        <v>0.5585022493126337</v>
      </c>
      <c r="K19">
        <f t="shared" si="2"/>
        <v>0.53856591030372658</v>
      </c>
      <c r="L19">
        <f t="shared" si="3"/>
        <v>-0.46143408969627342</v>
      </c>
      <c r="M19">
        <f t="shared" si="4"/>
        <v>7.7131820607453161E-2</v>
      </c>
      <c r="N19">
        <f t="shared" si="5"/>
        <v>-7.7131820607453161E-2</v>
      </c>
    </row>
    <row r="20" spans="1:14" x14ac:dyDescent="0.25">
      <c r="A20" s="1">
        <v>45687</v>
      </c>
      <c r="B20">
        <v>6071.17</v>
      </c>
      <c r="C20">
        <v>6070</v>
      </c>
      <c r="D20">
        <v>22</v>
      </c>
      <c r="E20">
        <v>50</v>
      </c>
      <c r="F20">
        <v>12.291</v>
      </c>
      <c r="G20">
        <v>12.724</v>
      </c>
      <c r="H20">
        <v>4.3166999999999997E-2</v>
      </c>
      <c r="I20">
        <f t="shared" si="0"/>
        <v>0.54288278320356054</v>
      </c>
      <c r="J20">
        <f t="shared" si="1"/>
        <v>0.5608812322605905</v>
      </c>
      <c r="K20">
        <f t="shared" si="2"/>
        <v>0.54288278320356054</v>
      </c>
      <c r="L20">
        <f t="shared" si="3"/>
        <v>-0.45711721679643946</v>
      </c>
      <c r="M20">
        <f t="shared" si="4"/>
        <v>8.5765566407121074E-2</v>
      </c>
      <c r="N20">
        <f t="shared" si="5"/>
        <v>-8.5765566407121074E-2</v>
      </c>
    </row>
    <row r="21" spans="1:14" x14ac:dyDescent="0.25">
      <c r="A21" s="1">
        <v>45688</v>
      </c>
      <c r="B21">
        <v>6040.53</v>
      </c>
      <c r="C21">
        <v>6040</v>
      </c>
      <c r="D21">
        <v>21</v>
      </c>
      <c r="E21">
        <v>49</v>
      </c>
      <c r="F21">
        <v>13.331</v>
      </c>
      <c r="G21">
        <v>13.189</v>
      </c>
      <c r="H21">
        <v>4.2830000000000007E-2</v>
      </c>
      <c r="I21">
        <f t="shared" si="0"/>
        <v>0.53815854352410275</v>
      </c>
      <c r="J21">
        <f t="shared" si="1"/>
        <v>0.55762939663234312</v>
      </c>
      <c r="K21">
        <f t="shared" si="2"/>
        <v>0.53815854352410275</v>
      </c>
      <c r="L21">
        <f t="shared" si="3"/>
        <v>-0.46184145647589725</v>
      </c>
      <c r="M21">
        <f t="shared" si="4"/>
        <v>7.6317087048205501E-2</v>
      </c>
      <c r="N21">
        <f t="shared" si="5"/>
        <v>-7.6317087048205501E-2</v>
      </c>
    </row>
    <row r="22" spans="1:14" x14ac:dyDescent="0.25">
      <c r="A22" s="1">
        <v>45691</v>
      </c>
      <c r="B22">
        <v>5994.57</v>
      </c>
      <c r="C22">
        <v>5995</v>
      </c>
      <c r="D22">
        <v>18</v>
      </c>
      <c r="E22">
        <v>46</v>
      </c>
      <c r="F22">
        <v>14.651999999999999</v>
      </c>
      <c r="G22">
        <v>14.118</v>
      </c>
      <c r="H22">
        <v>4.3156999999999994E-2</v>
      </c>
      <c r="I22">
        <f t="shared" si="0"/>
        <v>0.53167233635469446</v>
      </c>
      <c r="J22">
        <f t="shared" si="1"/>
        <v>0.55256666846569802</v>
      </c>
      <c r="K22">
        <f t="shared" si="2"/>
        <v>0.53167233635469446</v>
      </c>
      <c r="L22">
        <f t="shared" si="3"/>
        <v>-0.46832766364530554</v>
      </c>
      <c r="M22">
        <f t="shared" si="4"/>
        <v>6.3344672709388927E-2</v>
      </c>
      <c r="N22">
        <f t="shared" si="5"/>
        <v>-6.3344672709388927E-2</v>
      </c>
    </row>
    <row r="23" spans="1:14" x14ac:dyDescent="0.25">
      <c r="A23" s="1">
        <v>45692</v>
      </c>
      <c r="B23">
        <v>6037.88</v>
      </c>
      <c r="C23">
        <v>6040</v>
      </c>
      <c r="D23">
        <v>17</v>
      </c>
      <c r="E23">
        <v>45</v>
      </c>
      <c r="F23">
        <v>13.31</v>
      </c>
      <c r="G23">
        <v>13.315</v>
      </c>
      <c r="H23">
        <v>4.3075000000000002E-2</v>
      </c>
      <c r="I23">
        <f t="shared" si="0"/>
        <v>0.52869284035529085</v>
      </c>
      <c r="J23">
        <f t="shared" si="1"/>
        <v>0.5515024450182705</v>
      </c>
      <c r="K23">
        <f t="shared" si="2"/>
        <v>0.52869284035529085</v>
      </c>
      <c r="L23">
        <f t="shared" si="3"/>
        <v>-0.47130715964470915</v>
      </c>
      <c r="M23">
        <f t="shared" si="4"/>
        <v>5.7385680710581699E-2</v>
      </c>
      <c r="N23">
        <f t="shared" si="5"/>
        <v>-5.7385680710581699E-2</v>
      </c>
    </row>
    <row r="24" spans="1:14" x14ac:dyDescent="0.25">
      <c r="A24" s="1">
        <v>45693</v>
      </c>
      <c r="B24">
        <v>6061.48</v>
      </c>
      <c r="C24">
        <v>6060</v>
      </c>
      <c r="D24">
        <v>16</v>
      </c>
      <c r="E24">
        <v>44</v>
      </c>
      <c r="F24">
        <v>12.340999999999999</v>
      </c>
      <c r="G24">
        <v>12.752000000000001</v>
      </c>
      <c r="H24">
        <v>4.2942000000000001E-2</v>
      </c>
      <c r="I24">
        <f t="shared" si="0"/>
        <v>0.53793102900688017</v>
      </c>
      <c r="J24">
        <f t="shared" si="1"/>
        <v>0.55747542468792988</v>
      </c>
      <c r="K24">
        <f t="shared" si="2"/>
        <v>0.55747542468792988</v>
      </c>
      <c r="L24">
        <f t="shared" si="3"/>
        <v>-0.44252457531207012</v>
      </c>
      <c r="M24">
        <f t="shared" si="4"/>
        <v>0.11495084937585975</v>
      </c>
      <c r="N24">
        <f t="shared" si="5"/>
        <v>-0.11495084937585975</v>
      </c>
    </row>
    <row r="25" spans="1:14" x14ac:dyDescent="0.25">
      <c r="A25" s="1">
        <v>45694</v>
      </c>
      <c r="B25">
        <v>6083.57</v>
      </c>
      <c r="C25">
        <v>6085</v>
      </c>
      <c r="D25">
        <v>15</v>
      </c>
      <c r="E25">
        <v>43</v>
      </c>
      <c r="F25">
        <v>11.57</v>
      </c>
      <c r="G25">
        <v>12.372</v>
      </c>
      <c r="H25">
        <v>4.3038999999999994E-2</v>
      </c>
      <c r="I25">
        <f t="shared" si="0"/>
        <v>0.53073462850103204</v>
      </c>
      <c r="J25">
        <f t="shared" si="1"/>
        <v>0.55373325812515817</v>
      </c>
      <c r="K25">
        <f t="shared" si="2"/>
        <v>0.55373325812515817</v>
      </c>
      <c r="L25">
        <f t="shared" si="3"/>
        <v>-0.44626674187484183</v>
      </c>
      <c r="M25">
        <f t="shared" si="4"/>
        <v>0.10746651625031634</v>
      </c>
      <c r="N25">
        <f t="shared" si="5"/>
        <v>-0.10746651625031634</v>
      </c>
    </row>
    <row r="26" spans="1:14" x14ac:dyDescent="0.25">
      <c r="A26" s="1">
        <v>45695</v>
      </c>
      <c r="B26">
        <v>6025.99</v>
      </c>
      <c r="C26">
        <v>6025</v>
      </c>
      <c r="D26">
        <v>14</v>
      </c>
      <c r="E26">
        <v>42</v>
      </c>
      <c r="F26">
        <v>12.819000000000001</v>
      </c>
      <c r="G26">
        <v>13.175000000000001</v>
      </c>
      <c r="H26">
        <v>4.3009000000000006E-2</v>
      </c>
      <c r="I26">
        <f t="shared" si="0"/>
        <v>0.53379216133091789</v>
      </c>
      <c r="J26">
        <f t="shared" si="1"/>
        <v>0.55438887551053528</v>
      </c>
      <c r="K26">
        <f t="shared" si="2"/>
        <v>0.55438887551053528</v>
      </c>
      <c r="L26">
        <f t="shared" si="3"/>
        <v>-0.44561112448946472</v>
      </c>
      <c r="M26">
        <f t="shared" si="4"/>
        <v>0.10877775102107057</v>
      </c>
      <c r="N26">
        <f t="shared" si="5"/>
        <v>-0.10877775102107057</v>
      </c>
    </row>
    <row r="27" spans="1:14" x14ac:dyDescent="0.25">
      <c r="A27" s="1">
        <v>45698</v>
      </c>
      <c r="B27">
        <v>6066.44</v>
      </c>
      <c r="C27">
        <v>6065</v>
      </c>
      <c r="D27">
        <v>11</v>
      </c>
      <c r="E27">
        <v>39</v>
      </c>
      <c r="F27">
        <v>11.138999999999999</v>
      </c>
      <c r="G27">
        <v>12.298</v>
      </c>
      <c r="H27">
        <v>4.3284000000000003E-2</v>
      </c>
      <c r="I27">
        <f t="shared" si="0"/>
        <v>0.53561920252161721</v>
      </c>
      <c r="J27">
        <f t="shared" si="1"/>
        <v>0.55608604199528311</v>
      </c>
      <c r="K27">
        <f t="shared" si="2"/>
        <v>0.55608604199528311</v>
      </c>
      <c r="L27">
        <f t="shared" si="3"/>
        <v>-0.44391395800471689</v>
      </c>
      <c r="M27">
        <f t="shared" si="4"/>
        <v>0.11217208399056622</v>
      </c>
      <c r="N27">
        <f t="shared" si="5"/>
        <v>-0.11217208399056622</v>
      </c>
    </row>
    <row r="28" spans="1:14" x14ac:dyDescent="0.25">
      <c r="A28" s="1">
        <v>45699</v>
      </c>
      <c r="B28">
        <v>6068.5</v>
      </c>
      <c r="C28">
        <v>6070</v>
      </c>
      <c r="D28">
        <v>10</v>
      </c>
      <c r="E28">
        <v>38</v>
      </c>
      <c r="F28">
        <v>11.265000000000001</v>
      </c>
      <c r="G28">
        <v>12.313000000000001</v>
      </c>
      <c r="H28">
        <v>4.3278999999999998E-2</v>
      </c>
      <c r="I28">
        <f t="shared" si="0"/>
        <v>0.52378670861543764</v>
      </c>
      <c r="J28">
        <f t="shared" si="1"/>
        <v>0.55055183663990437</v>
      </c>
      <c r="K28">
        <f t="shared" si="2"/>
        <v>0.55055183663990437</v>
      </c>
      <c r="L28">
        <f t="shared" si="3"/>
        <v>-0.44944816336009563</v>
      </c>
      <c r="M28">
        <f t="shared" si="4"/>
        <v>0.10110367327980874</v>
      </c>
      <c r="N28">
        <f t="shared" si="5"/>
        <v>-0.10110367327980874</v>
      </c>
    </row>
    <row r="29" spans="1:14" x14ac:dyDescent="0.25">
      <c r="A29" s="1">
        <v>45700</v>
      </c>
      <c r="B29">
        <v>6051.97</v>
      </c>
      <c r="C29">
        <v>6050</v>
      </c>
      <c r="D29">
        <v>9</v>
      </c>
      <c r="E29">
        <v>37</v>
      </c>
      <c r="F29">
        <v>11.548</v>
      </c>
      <c r="G29">
        <v>12.6</v>
      </c>
      <c r="H29">
        <v>4.3274E-2</v>
      </c>
      <c r="I29">
        <f t="shared" si="0"/>
        <v>0.53421260687983563</v>
      </c>
      <c r="J29">
        <f t="shared" si="1"/>
        <v>0.55469084169705085</v>
      </c>
      <c r="K29">
        <f t="shared" si="2"/>
        <v>0.55469084169705085</v>
      </c>
      <c r="L29">
        <f t="shared" si="3"/>
        <v>-0.44530915830294915</v>
      </c>
      <c r="M29">
        <f t="shared" si="4"/>
        <v>0.1093816833941017</v>
      </c>
      <c r="N29">
        <f t="shared" si="5"/>
        <v>-0.1093816833941017</v>
      </c>
    </row>
    <row r="30" spans="1:14" x14ac:dyDescent="0.25">
      <c r="A30" s="1">
        <v>45701</v>
      </c>
      <c r="B30">
        <v>6115.07</v>
      </c>
      <c r="C30">
        <v>6115</v>
      </c>
      <c r="D30">
        <v>8</v>
      </c>
      <c r="E30">
        <v>36</v>
      </c>
      <c r="F30">
        <v>10.135</v>
      </c>
      <c r="G30">
        <v>11.853</v>
      </c>
      <c r="H30">
        <v>4.3243000000000004E-2</v>
      </c>
      <c r="I30">
        <f t="shared" si="0"/>
        <v>0.52847312189588846</v>
      </c>
      <c r="J30">
        <f t="shared" si="1"/>
        <v>0.55309927858086316</v>
      </c>
      <c r="K30">
        <f t="shared" si="2"/>
        <v>0.55309927858086316</v>
      </c>
      <c r="L30">
        <f t="shared" si="3"/>
        <v>-0.44690072141913684</v>
      </c>
      <c r="M30">
        <f t="shared" si="4"/>
        <v>0.10619855716172633</v>
      </c>
      <c r="N30">
        <f t="shared" si="5"/>
        <v>-0.10619855716172633</v>
      </c>
    </row>
    <row r="31" spans="1:14" x14ac:dyDescent="0.25">
      <c r="A31" s="1">
        <v>45702</v>
      </c>
      <c r="B31">
        <v>6114.63</v>
      </c>
      <c r="C31">
        <v>6115</v>
      </c>
      <c r="D31">
        <v>7</v>
      </c>
      <c r="E31">
        <v>35</v>
      </c>
      <c r="F31">
        <v>9.202</v>
      </c>
      <c r="G31">
        <v>11.613</v>
      </c>
      <c r="H31">
        <v>4.3208000000000003E-2</v>
      </c>
      <c r="I31">
        <f t="shared" si="0"/>
        <v>0.52656945815013978</v>
      </c>
      <c r="J31">
        <f t="shared" si="1"/>
        <v>0.55231502656957798</v>
      </c>
      <c r="K31">
        <f t="shared" si="2"/>
        <v>0.55231502656957798</v>
      </c>
      <c r="L31">
        <f t="shared" si="3"/>
        <v>-0.44768497343042202</v>
      </c>
      <c r="M31">
        <f t="shared" si="4"/>
        <v>0.10463005313915597</v>
      </c>
      <c r="N31">
        <f t="shared" si="5"/>
        <v>-0.10463005313915597</v>
      </c>
    </row>
    <row r="32" spans="1:14" x14ac:dyDescent="0.25">
      <c r="A32" s="1">
        <v>45706</v>
      </c>
      <c r="B32">
        <v>6129.58</v>
      </c>
      <c r="C32">
        <v>6130</v>
      </c>
      <c r="D32">
        <v>3</v>
      </c>
      <c r="E32">
        <v>31</v>
      </c>
      <c r="F32">
        <v>7.8970000000000002</v>
      </c>
      <c r="G32">
        <v>11.337</v>
      </c>
      <c r="H32">
        <v>4.3254000000000001E-2</v>
      </c>
      <c r="I32">
        <f t="shared" si="0"/>
        <v>0.51741472409069145</v>
      </c>
      <c r="J32">
        <f t="shared" si="1"/>
        <v>0.54998960321937496</v>
      </c>
      <c r="K32">
        <f t="shared" si="2"/>
        <v>0.54998960321937496</v>
      </c>
      <c r="L32">
        <f t="shared" si="3"/>
        <v>-0.45001039678062504</v>
      </c>
      <c r="M32">
        <f t="shared" si="4"/>
        <v>9.9979206438749912E-2</v>
      </c>
      <c r="N32">
        <f t="shared" si="5"/>
        <v>-9.9979206438749912E-2</v>
      </c>
    </row>
    <row r="33" spans="1:14" x14ac:dyDescent="0.25">
      <c r="A33" s="1">
        <v>45707</v>
      </c>
      <c r="B33">
        <v>6144.15</v>
      </c>
      <c r="C33">
        <v>6145</v>
      </c>
      <c r="D33">
        <v>2</v>
      </c>
      <c r="E33">
        <v>30</v>
      </c>
      <c r="F33">
        <v>7.3150000000000004</v>
      </c>
      <c r="G33">
        <v>11.089</v>
      </c>
      <c r="H33">
        <v>4.3196999999999999E-2</v>
      </c>
      <c r="I33">
        <f t="shared" si="0"/>
        <v>0.50832646600947162</v>
      </c>
      <c r="J33">
        <f t="shared" si="1"/>
        <v>0.54903524667074444</v>
      </c>
      <c r="K33">
        <f t="shared" si="2"/>
        <v>0.54903524667074444</v>
      </c>
      <c r="L33">
        <f t="shared" si="3"/>
        <v>-0.45096475332925556</v>
      </c>
      <c r="M33">
        <f t="shared" si="4"/>
        <v>9.8070493341488874E-2</v>
      </c>
      <c r="N33">
        <f t="shared" si="5"/>
        <v>-9.8070493341488874E-2</v>
      </c>
    </row>
    <row r="34" spans="1:14" x14ac:dyDescent="0.25">
      <c r="A34" s="1">
        <v>45708</v>
      </c>
      <c r="B34">
        <v>6117.52</v>
      </c>
      <c r="C34">
        <v>6120</v>
      </c>
      <c r="D34">
        <v>1</v>
      </c>
      <c r="E34">
        <v>29</v>
      </c>
      <c r="F34">
        <v>7.51</v>
      </c>
      <c r="G34">
        <v>11.228999999999999</v>
      </c>
      <c r="H34">
        <v>4.3140999999999999E-2</v>
      </c>
      <c r="I34">
        <f t="shared" si="0"/>
        <v>0.4716689681315398</v>
      </c>
      <c r="J34">
        <f t="shared" si="1"/>
        <v>0.54431616801576022</v>
      </c>
      <c r="K34">
        <f t="shared" si="2"/>
        <v>0.54431616801576022</v>
      </c>
      <c r="L34">
        <f t="shared" si="3"/>
        <v>-0.45568383198423978</v>
      </c>
      <c r="M34">
        <f t="shared" si="4"/>
        <v>8.8632336031520431E-2</v>
      </c>
      <c r="N34">
        <f t="shared" si="5"/>
        <v>-8.8632336031520431E-2</v>
      </c>
    </row>
    <row r="35" spans="1:14" x14ac:dyDescent="0.25">
      <c r="A35" s="1">
        <v>45709</v>
      </c>
      <c r="B35">
        <v>6013.13</v>
      </c>
      <c r="C35">
        <v>6015</v>
      </c>
      <c r="D35">
        <v>28</v>
      </c>
      <c r="E35">
        <v>55</v>
      </c>
      <c r="F35">
        <v>13.858000000000001</v>
      </c>
      <c r="G35">
        <v>13.746</v>
      </c>
      <c r="H35">
        <v>4.3060000000000001E-2</v>
      </c>
      <c r="I35">
        <f t="shared" si="0"/>
        <v>0.53869681788696633</v>
      </c>
      <c r="J35">
        <f t="shared" si="1"/>
        <v>0.55663858930167665</v>
      </c>
      <c r="K35">
        <f t="shared" si="2"/>
        <v>0.53869681788696633</v>
      </c>
      <c r="L35">
        <f t="shared" si="3"/>
        <v>-0.46130318211303367</v>
      </c>
      <c r="M35">
        <f t="shared" si="4"/>
        <v>7.7393635773932656E-2</v>
      </c>
      <c r="N35">
        <f t="shared" si="5"/>
        <v>-7.7393635773932656E-2</v>
      </c>
    </row>
    <row r="36" spans="1:14" x14ac:dyDescent="0.25">
      <c r="A36" s="1">
        <v>45712</v>
      </c>
      <c r="B36">
        <v>5983.25</v>
      </c>
      <c r="C36">
        <v>5985</v>
      </c>
      <c r="D36">
        <v>25</v>
      </c>
      <c r="E36">
        <v>52</v>
      </c>
      <c r="F36">
        <v>14.707000000000001</v>
      </c>
      <c r="G36">
        <v>14.260999999999999</v>
      </c>
      <c r="H36">
        <v>4.308E-2</v>
      </c>
      <c r="I36">
        <f t="shared" si="0"/>
        <v>0.53518417045155542</v>
      </c>
      <c r="J36">
        <f t="shared" si="1"/>
        <v>0.55389206777131483</v>
      </c>
      <c r="K36">
        <f t="shared" si="2"/>
        <v>0.53518417045155542</v>
      </c>
      <c r="L36">
        <f t="shared" si="3"/>
        <v>-0.46481582954844458</v>
      </c>
      <c r="M36">
        <f t="shared" si="4"/>
        <v>7.0368340903110838E-2</v>
      </c>
      <c r="N36">
        <f t="shared" si="5"/>
        <v>-7.0368340903110838E-2</v>
      </c>
    </row>
    <row r="37" spans="1:14" x14ac:dyDescent="0.25">
      <c r="A37" s="1">
        <v>45713</v>
      </c>
      <c r="B37">
        <v>5955.25</v>
      </c>
      <c r="C37">
        <v>5955</v>
      </c>
      <c r="D37">
        <v>24</v>
      </c>
      <c r="E37">
        <v>51</v>
      </c>
      <c r="F37">
        <v>15.441000000000001</v>
      </c>
      <c r="G37">
        <v>14.7</v>
      </c>
      <c r="H37">
        <v>4.2845000000000001E-2</v>
      </c>
      <c r="I37">
        <f t="shared" si="0"/>
        <v>0.53665454741942065</v>
      </c>
      <c r="J37">
        <f t="shared" si="1"/>
        <v>0.55455843276124006</v>
      </c>
      <c r="K37">
        <f t="shared" si="2"/>
        <v>0.53665454741942065</v>
      </c>
      <c r="L37">
        <f t="shared" si="3"/>
        <v>-0.46334545258057935</v>
      </c>
      <c r="M37">
        <f t="shared" si="4"/>
        <v>7.3309094838841293E-2</v>
      </c>
      <c r="N37">
        <f t="shared" si="5"/>
        <v>-7.3309094838841293E-2</v>
      </c>
    </row>
    <row r="38" spans="1:14" x14ac:dyDescent="0.25">
      <c r="A38" s="1">
        <v>45714</v>
      </c>
      <c r="B38">
        <v>5956.06</v>
      </c>
      <c r="C38">
        <v>5955</v>
      </c>
      <c r="D38">
        <v>23</v>
      </c>
      <c r="E38">
        <v>50</v>
      </c>
      <c r="F38">
        <v>15.773</v>
      </c>
      <c r="G38">
        <v>14.776999999999999</v>
      </c>
      <c r="H38">
        <v>4.2866000000000001E-2</v>
      </c>
      <c r="I38">
        <f t="shared" si="0"/>
        <v>0.53685478967906364</v>
      </c>
      <c r="J38">
        <f t="shared" si="1"/>
        <v>0.55486636080569718</v>
      </c>
      <c r="K38">
        <f t="shared" si="2"/>
        <v>0.53685478967906364</v>
      </c>
      <c r="L38">
        <f t="shared" si="3"/>
        <v>-0.46314521032093636</v>
      </c>
      <c r="M38">
        <f t="shared" si="4"/>
        <v>7.3709579358127275E-2</v>
      </c>
      <c r="N38">
        <f t="shared" si="5"/>
        <v>-7.3709579358127275E-2</v>
      </c>
    </row>
    <row r="39" spans="1:14" x14ac:dyDescent="0.25">
      <c r="A39" s="1">
        <v>45715</v>
      </c>
      <c r="B39">
        <v>5861.57</v>
      </c>
      <c r="C39">
        <v>5860</v>
      </c>
      <c r="D39">
        <v>22</v>
      </c>
      <c r="E39">
        <v>49</v>
      </c>
      <c r="F39">
        <v>17.965</v>
      </c>
      <c r="G39">
        <v>16.651</v>
      </c>
      <c r="H39">
        <v>4.3038999999999994E-2</v>
      </c>
      <c r="I39">
        <f t="shared" si="0"/>
        <v>0.53464158546329577</v>
      </c>
      <c r="J39">
        <f t="shared" si="1"/>
        <v>0.55155869272021252</v>
      </c>
      <c r="K39">
        <f t="shared" si="2"/>
        <v>0.53464158546329577</v>
      </c>
      <c r="L39">
        <f t="shared" si="3"/>
        <v>-0.46535841453670423</v>
      </c>
      <c r="M39">
        <f t="shared" si="4"/>
        <v>6.9283170926591531E-2</v>
      </c>
      <c r="N39">
        <f t="shared" si="5"/>
        <v>-6.9283170926591531E-2</v>
      </c>
    </row>
    <row r="40" spans="1:14" x14ac:dyDescent="0.25">
      <c r="A40" s="1">
        <v>45716</v>
      </c>
      <c r="B40">
        <v>5954.5</v>
      </c>
      <c r="C40">
        <v>5955</v>
      </c>
      <c r="D40">
        <v>21</v>
      </c>
      <c r="E40">
        <v>48</v>
      </c>
      <c r="F40">
        <v>16.023</v>
      </c>
      <c r="G40">
        <v>15.294</v>
      </c>
      <c r="H40">
        <v>4.2931999999999998E-2</v>
      </c>
      <c r="I40">
        <f t="shared" si="0"/>
        <v>0.53239860330680633</v>
      </c>
      <c r="J40">
        <f t="shared" si="1"/>
        <v>0.55093099661325984</v>
      </c>
      <c r="K40">
        <f t="shared" si="2"/>
        <v>0.53239860330680633</v>
      </c>
      <c r="L40">
        <f t="shared" si="3"/>
        <v>-0.46760139669319367</v>
      </c>
      <c r="M40">
        <f t="shared" si="4"/>
        <v>6.4797206613612657E-2</v>
      </c>
      <c r="N40">
        <f t="shared" si="5"/>
        <v>-6.4797206613612657E-2</v>
      </c>
    </row>
    <row r="41" spans="1:14" x14ac:dyDescent="0.25">
      <c r="A41" s="1">
        <v>45719</v>
      </c>
      <c r="B41">
        <v>5849.72</v>
      </c>
      <c r="C41">
        <v>5850</v>
      </c>
      <c r="D41">
        <v>18</v>
      </c>
      <c r="E41">
        <v>45</v>
      </c>
      <c r="F41">
        <v>18.925999999999998</v>
      </c>
      <c r="G41">
        <v>17.417000000000002</v>
      </c>
      <c r="H41">
        <v>4.3105999999999998E-2</v>
      </c>
      <c r="I41">
        <f t="shared" si="0"/>
        <v>0.52808402670071897</v>
      </c>
      <c r="J41">
        <f t="shared" si="1"/>
        <v>0.54644943998983153</v>
      </c>
      <c r="K41">
        <f t="shared" si="2"/>
        <v>0.52808402670071897</v>
      </c>
      <c r="L41">
        <f t="shared" si="3"/>
        <v>-0.47191597329928103</v>
      </c>
      <c r="M41">
        <f t="shared" si="4"/>
        <v>5.6168053401437934E-2</v>
      </c>
      <c r="N41">
        <f t="shared" si="5"/>
        <v>-5.6168053401437934E-2</v>
      </c>
    </row>
    <row r="42" spans="1:14" x14ac:dyDescent="0.25">
      <c r="A42" s="1">
        <v>45720</v>
      </c>
      <c r="B42">
        <v>5778.15</v>
      </c>
      <c r="C42">
        <v>5780</v>
      </c>
      <c r="D42">
        <v>17</v>
      </c>
      <c r="E42">
        <v>44</v>
      </c>
      <c r="F42">
        <v>20.396999999999998</v>
      </c>
      <c r="G42">
        <v>18.266999999999999</v>
      </c>
      <c r="H42">
        <v>4.3177E-2</v>
      </c>
      <c r="I42">
        <f t="shared" si="0"/>
        <v>0.52409001776003772</v>
      </c>
      <c r="J42">
        <f t="shared" si="1"/>
        <v>0.54329187395898415</v>
      </c>
      <c r="K42">
        <f t="shared" si="2"/>
        <v>0.52409001776003772</v>
      </c>
      <c r="L42">
        <f t="shared" si="3"/>
        <v>-0.47590998223996228</v>
      </c>
      <c r="M42">
        <f t="shared" si="4"/>
        <v>4.8180035520075437E-2</v>
      </c>
      <c r="N42">
        <f t="shared" si="5"/>
        <v>-4.8180035520075437E-2</v>
      </c>
    </row>
    <row r="43" spans="1:14" x14ac:dyDescent="0.25">
      <c r="A43" s="1">
        <v>45721</v>
      </c>
      <c r="B43">
        <v>5842.63</v>
      </c>
      <c r="C43">
        <v>5845</v>
      </c>
      <c r="D43">
        <v>16</v>
      </c>
      <c r="E43">
        <v>43</v>
      </c>
      <c r="F43">
        <v>19.536000000000001</v>
      </c>
      <c r="G43">
        <v>17.212</v>
      </c>
      <c r="H43">
        <v>4.3043999999999999E-2</v>
      </c>
      <c r="I43">
        <f t="shared" si="0"/>
        <v>0.52259466706623847</v>
      </c>
      <c r="J43">
        <f t="shared" si="1"/>
        <v>0.54320426452031967</v>
      </c>
      <c r="K43">
        <f t="shared" si="2"/>
        <v>0.54320426452031967</v>
      </c>
      <c r="L43">
        <f t="shared" si="3"/>
        <v>-0.45679573547968033</v>
      </c>
      <c r="M43">
        <f t="shared" si="4"/>
        <v>8.6408529040639337E-2</v>
      </c>
      <c r="N43">
        <f t="shared" si="5"/>
        <v>-8.6408529040639337E-2</v>
      </c>
    </row>
    <row r="44" spans="1:14" x14ac:dyDescent="0.25">
      <c r="A44" s="1">
        <v>45722</v>
      </c>
      <c r="B44">
        <v>5738.52</v>
      </c>
      <c r="C44">
        <v>5740</v>
      </c>
      <c r="D44">
        <v>15</v>
      </c>
      <c r="E44">
        <v>42</v>
      </c>
      <c r="F44">
        <v>23.106000000000002</v>
      </c>
      <c r="G44">
        <v>19.884</v>
      </c>
      <c r="H44">
        <v>4.3014000000000004E-2</v>
      </c>
      <c r="I44">
        <f t="shared" si="0"/>
        <v>0.5221910934084586</v>
      </c>
      <c r="J44">
        <f t="shared" si="1"/>
        <v>0.54113079285071386</v>
      </c>
      <c r="K44">
        <f t="shared" si="2"/>
        <v>0.54113079285071386</v>
      </c>
      <c r="L44">
        <f t="shared" si="3"/>
        <v>-0.45886920714928614</v>
      </c>
      <c r="M44">
        <f t="shared" si="4"/>
        <v>8.226158570142772E-2</v>
      </c>
      <c r="N44">
        <f t="shared" si="5"/>
        <v>-8.226158570142772E-2</v>
      </c>
    </row>
    <row r="45" spans="1:14" x14ac:dyDescent="0.25">
      <c r="A45" s="1">
        <v>45723</v>
      </c>
      <c r="B45">
        <v>5770.2</v>
      </c>
      <c r="C45">
        <v>5770</v>
      </c>
      <c r="D45">
        <v>14</v>
      </c>
      <c r="E45">
        <v>41</v>
      </c>
      <c r="F45">
        <v>21.178000000000001</v>
      </c>
      <c r="G45">
        <v>18.626000000000001</v>
      </c>
      <c r="H45">
        <v>4.2855999999999998E-2</v>
      </c>
      <c r="I45">
        <f t="shared" si="0"/>
        <v>0.52440234544180808</v>
      </c>
      <c r="J45">
        <f t="shared" si="1"/>
        <v>0.54335234476080885</v>
      </c>
      <c r="K45">
        <f t="shared" si="2"/>
        <v>0.54335234476080885</v>
      </c>
      <c r="L45">
        <f t="shared" si="3"/>
        <v>-0.45664765523919115</v>
      </c>
      <c r="M45">
        <f t="shared" si="4"/>
        <v>8.6704689521617695E-2</v>
      </c>
      <c r="N45">
        <f t="shared" si="5"/>
        <v>-8.6704689521617695E-2</v>
      </c>
    </row>
    <row r="46" spans="1:14" x14ac:dyDescent="0.25">
      <c r="A46" s="1">
        <v>45726</v>
      </c>
      <c r="B46">
        <v>5614.56</v>
      </c>
      <c r="C46">
        <v>5615</v>
      </c>
      <c r="D46">
        <v>11</v>
      </c>
      <c r="E46">
        <v>38</v>
      </c>
      <c r="F46">
        <v>25.489000000000001</v>
      </c>
      <c r="G46">
        <v>21.942</v>
      </c>
      <c r="H46">
        <v>4.2952999999999998E-2</v>
      </c>
      <c r="I46">
        <f t="shared" si="0"/>
        <v>0.51978254577154215</v>
      </c>
      <c r="J46">
        <f t="shared" si="1"/>
        <v>0.5388175291396412</v>
      </c>
      <c r="K46">
        <f t="shared" si="2"/>
        <v>0.5388175291396412</v>
      </c>
      <c r="L46">
        <f t="shared" si="3"/>
        <v>-0.4611824708603588</v>
      </c>
      <c r="M46">
        <f t="shared" si="4"/>
        <v>7.763505827928241E-2</v>
      </c>
      <c r="N46">
        <f t="shared" si="5"/>
        <v>-7.763505827928241E-2</v>
      </c>
    </row>
    <row r="47" spans="1:14" x14ac:dyDescent="0.25">
      <c r="A47" s="1">
        <v>45727</v>
      </c>
      <c r="B47">
        <v>5572.07</v>
      </c>
      <c r="C47">
        <v>5570</v>
      </c>
      <c r="D47">
        <v>10</v>
      </c>
      <c r="E47">
        <v>37</v>
      </c>
      <c r="F47">
        <v>25.683</v>
      </c>
      <c r="G47">
        <v>22.181000000000001</v>
      </c>
      <c r="H47">
        <v>4.2972999999999997E-2</v>
      </c>
      <c r="I47">
        <f t="shared" si="0"/>
        <v>0.52300262438424627</v>
      </c>
      <c r="J47">
        <f t="shared" si="1"/>
        <v>0.5407230637395174</v>
      </c>
      <c r="K47">
        <f t="shared" si="2"/>
        <v>0.5407230637395174</v>
      </c>
      <c r="L47">
        <f t="shared" si="3"/>
        <v>-0.4592769362604826</v>
      </c>
      <c r="M47">
        <f t="shared" si="4"/>
        <v>8.1446127479034791E-2</v>
      </c>
      <c r="N47">
        <f t="shared" si="5"/>
        <v>-8.1446127479034791E-2</v>
      </c>
    </row>
    <row r="48" spans="1:14" x14ac:dyDescent="0.25">
      <c r="A48" s="1">
        <v>45728</v>
      </c>
      <c r="B48">
        <v>5599.3</v>
      </c>
      <c r="C48">
        <v>5600</v>
      </c>
      <c r="D48">
        <v>9</v>
      </c>
      <c r="E48">
        <v>36</v>
      </c>
      <c r="F48">
        <v>22.739000000000001</v>
      </c>
      <c r="G48">
        <v>20.288</v>
      </c>
      <c r="H48">
        <v>4.2763999999999996E-2</v>
      </c>
      <c r="I48">
        <f t="shared" si="0"/>
        <v>0.51750135048845192</v>
      </c>
      <c r="J48">
        <f t="shared" si="1"/>
        <v>0.53827686424228971</v>
      </c>
      <c r="K48">
        <f t="shared" si="2"/>
        <v>0.53827686424228971</v>
      </c>
      <c r="L48">
        <f t="shared" si="3"/>
        <v>-0.46172313575771029</v>
      </c>
      <c r="M48">
        <f t="shared" si="4"/>
        <v>7.655372848457942E-2</v>
      </c>
      <c r="N48">
        <f t="shared" si="5"/>
        <v>-7.655372848457942E-2</v>
      </c>
    </row>
    <row r="49" spans="1:14" x14ac:dyDescent="0.25">
      <c r="A49" s="1">
        <v>45729</v>
      </c>
      <c r="B49">
        <v>5521.52</v>
      </c>
      <c r="C49">
        <v>5520</v>
      </c>
      <c r="D49">
        <v>8</v>
      </c>
      <c r="E49">
        <v>35</v>
      </c>
      <c r="F49">
        <v>23.370999999999999</v>
      </c>
      <c r="G49">
        <v>21.288</v>
      </c>
      <c r="H49">
        <v>4.2809999999999994E-2</v>
      </c>
      <c r="I49">
        <f t="shared" si="0"/>
        <v>0.52088541145881362</v>
      </c>
      <c r="J49">
        <f t="shared" si="1"/>
        <v>0.53959352121797721</v>
      </c>
      <c r="K49">
        <f t="shared" si="2"/>
        <v>0.53959352121797721</v>
      </c>
      <c r="L49">
        <f t="shared" si="3"/>
        <v>-0.46040647878202279</v>
      </c>
      <c r="M49">
        <f t="shared" si="4"/>
        <v>7.9187042435954424E-2</v>
      </c>
      <c r="N49">
        <f t="shared" si="5"/>
        <v>-7.9187042435954424E-2</v>
      </c>
    </row>
    <row r="50" spans="1:14" x14ac:dyDescent="0.25">
      <c r="A50" s="1">
        <v>45730</v>
      </c>
      <c r="B50">
        <v>5638.94</v>
      </c>
      <c r="C50">
        <v>5640</v>
      </c>
      <c r="D50">
        <v>7</v>
      </c>
      <c r="E50">
        <v>34</v>
      </c>
      <c r="F50">
        <v>19.715</v>
      </c>
      <c r="G50">
        <v>18.547000000000001</v>
      </c>
      <c r="H50">
        <v>4.2855999999999998E-2</v>
      </c>
      <c r="I50">
        <f t="shared" si="0"/>
        <v>0.51470577038583909</v>
      </c>
      <c r="J50">
        <f t="shared" si="1"/>
        <v>0.53804346997524499</v>
      </c>
      <c r="K50">
        <f t="shared" si="2"/>
        <v>0.53804346997524499</v>
      </c>
      <c r="L50">
        <f t="shared" si="3"/>
        <v>-0.46195653002475501</v>
      </c>
      <c r="M50">
        <f t="shared" si="4"/>
        <v>7.6086939950489985E-2</v>
      </c>
      <c r="N50">
        <f t="shared" si="5"/>
        <v>-7.6086939950489985E-2</v>
      </c>
    </row>
    <row r="51" spans="1:14" x14ac:dyDescent="0.25">
      <c r="A51" s="1">
        <v>45733</v>
      </c>
      <c r="B51">
        <v>5675.12</v>
      </c>
      <c r="C51">
        <v>5675</v>
      </c>
      <c r="D51">
        <v>4</v>
      </c>
      <c r="E51">
        <v>31</v>
      </c>
      <c r="F51">
        <v>17.791</v>
      </c>
      <c r="G51">
        <v>17.510999999999999</v>
      </c>
      <c r="H51">
        <v>4.3029000000000005E-2</v>
      </c>
      <c r="I51">
        <f t="shared" si="0"/>
        <v>0.51426570970092589</v>
      </c>
      <c r="J51">
        <f t="shared" si="1"/>
        <v>0.53885214099823042</v>
      </c>
      <c r="K51">
        <f t="shared" si="2"/>
        <v>0.53885214099823042</v>
      </c>
      <c r="L51">
        <f t="shared" si="3"/>
        <v>-0.46114785900176958</v>
      </c>
      <c r="M51">
        <f t="shared" si="4"/>
        <v>7.7704281996460844E-2</v>
      </c>
      <c r="N51">
        <f t="shared" si="5"/>
        <v>-7.7704281996460844E-2</v>
      </c>
    </row>
    <row r="52" spans="1:14" x14ac:dyDescent="0.25">
      <c r="A52" s="1">
        <v>45734</v>
      </c>
      <c r="B52">
        <v>5614.66</v>
      </c>
      <c r="C52">
        <v>5615</v>
      </c>
      <c r="D52">
        <v>3</v>
      </c>
      <c r="E52">
        <v>30</v>
      </c>
      <c r="F52">
        <v>20.013000000000002</v>
      </c>
      <c r="G52">
        <v>18.692</v>
      </c>
      <c r="H52">
        <v>4.2972999999999997E-2</v>
      </c>
      <c r="I52">
        <f t="shared" si="0"/>
        <v>0.51005281656207435</v>
      </c>
      <c r="J52">
        <f t="shared" si="1"/>
        <v>0.53648197866679759</v>
      </c>
      <c r="K52">
        <f t="shared" si="2"/>
        <v>0.53648197866679759</v>
      </c>
      <c r="L52">
        <f t="shared" si="3"/>
        <v>-0.46351802133320241</v>
      </c>
      <c r="M52">
        <f t="shared" si="4"/>
        <v>7.2963957333595175E-2</v>
      </c>
      <c r="N52">
        <f t="shared" si="5"/>
        <v>-7.2963957333595175E-2</v>
      </c>
    </row>
    <row r="53" spans="1:14" x14ac:dyDescent="0.25">
      <c r="A53" s="1">
        <v>45735</v>
      </c>
      <c r="B53">
        <v>5675.29</v>
      </c>
      <c r="C53">
        <v>5675</v>
      </c>
      <c r="D53">
        <v>2</v>
      </c>
      <c r="E53">
        <v>29</v>
      </c>
      <c r="F53">
        <v>16.597000000000001</v>
      </c>
      <c r="G53">
        <v>17.228999999999999</v>
      </c>
      <c r="H53">
        <v>4.2916999999999997E-2</v>
      </c>
      <c r="I53">
        <f t="shared" si="0"/>
        <v>0.51174448580805998</v>
      </c>
      <c r="J53">
        <f t="shared" si="1"/>
        <v>0.53806014620780196</v>
      </c>
      <c r="K53">
        <f t="shared" si="2"/>
        <v>0.53806014620780196</v>
      </c>
      <c r="L53">
        <f t="shared" si="3"/>
        <v>-0.46193985379219804</v>
      </c>
      <c r="M53">
        <f t="shared" si="4"/>
        <v>7.6120292415603918E-2</v>
      </c>
      <c r="N53">
        <f t="shared" si="5"/>
        <v>-7.6120292415603918E-2</v>
      </c>
    </row>
    <row r="54" spans="1:14" x14ac:dyDescent="0.25">
      <c r="A54" s="1">
        <v>45736</v>
      </c>
      <c r="B54">
        <v>5662.89</v>
      </c>
      <c r="C54">
        <v>5665</v>
      </c>
      <c r="D54">
        <v>1</v>
      </c>
      <c r="E54">
        <v>28</v>
      </c>
      <c r="F54">
        <v>13.801</v>
      </c>
      <c r="G54">
        <v>17.187999999999999</v>
      </c>
      <c r="H54">
        <v>4.2861000000000003E-2</v>
      </c>
      <c r="I54">
        <f t="shared" si="0"/>
        <v>0.48735457663714887</v>
      </c>
      <c r="J54">
        <f t="shared" si="1"/>
        <v>0.53388689207664997</v>
      </c>
      <c r="K54">
        <f t="shared" si="2"/>
        <v>0.53388689207664997</v>
      </c>
      <c r="L54">
        <f t="shared" si="3"/>
        <v>-0.46611310792335003</v>
      </c>
      <c r="M54">
        <f t="shared" si="4"/>
        <v>6.7773784153299932E-2</v>
      </c>
      <c r="N54">
        <f t="shared" si="5"/>
        <v>-6.7773784153299932E-2</v>
      </c>
    </row>
    <row r="55" spans="1:14" x14ac:dyDescent="0.25">
      <c r="A55" s="1">
        <v>45737</v>
      </c>
      <c r="B55">
        <v>5667.56</v>
      </c>
      <c r="C55">
        <v>5670</v>
      </c>
      <c r="D55">
        <v>27</v>
      </c>
      <c r="E55">
        <v>56</v>
      </c>
      <c r="F55">
        <v>16.863</v>
      </c>
      <c r="G55">
        <v>16.475000000000001</v>
      </c>
      <c r="H55">
        <v>4.2752999999999999E-2</v>
      </c>
      <c r="I55">
        <f t="shared" si="0"/>
        <v>0.53287632987591504</v>
      </c>
      <c r="J55">
        <f t="shared" si="1"/>
        <v>0.5506253543946763</v>
      </c>
      <c r="K55">
        <f t="shared" si="2"/>
        <v>0.53287632987591504</v>
      </c>
      <c r="L55">
        <f t="shared" si="3"/>
        <v>-0.46712367012408496</v>
      </c>
      <c r="M55">
        <f t="shared" si="4"/>
        <v>6.5752659751830089E-2</v>
      </c>
      <c r="N55">
        <f t="shared" si="5"/>
        <v>-6.5752659751830089E-2</v>
      </c>
    </row>
    <row r="56" spans="1:14" x14ac:dyDescent="0.25">
      <c r="A56" s="1">
        <v>45740</v>
      </c>
      <c r="B56">
        <v>5767.57</v>
      </c>
      <c r="C56">
        <v>5770</v>
      </c>
      <c r="D56">
        <v>24</v>
      </c>
      <c r="E56">
        <v>53</v>
      </c>
      <c r="F56">
        <v>14.872999999999999</v>
      </c>
      <c r="G56">
        <v>14.875999999999999</v>
      </c>
      <c r="H56">
        <v>4.2824999999999995E-2</v>
      </c>
      <c r="I56">
        <f t="shared" si="0"/>
        <v>0.53262030361879376</v>
      </c>
      <c r="J56">
        <f t="shared" si="1"/>
        <v>0.55195855168033281</v>
      </c>
      <c r="K56">
        <f t="shared" si="2"/>
        <v>0.53262030361879376</v>
      </c>
      <c r="L56">
        <f t="shared" si="3"/>
        <v>-0.46737969638120624</v>
      </c>
      <c r="M56">
        <f t="shared" si="4"/>
        <v>6.5240607237587511E-2</v>
      </c>
      <c r="N56">
        <f t="shared" si="5"/>
        <v>-6.5240607237587511E-2</v>
      </c>
    </row>
    <row r="57" spans="1:14" x14ac:dyDescent="0.25">
      <c r="A57" s="1">
        <v>45741</v>
      </c>
      <c r="B57">
        <v>5776.65</v>
      </c>
      <c r="C57">
        <v>5775</v>
      </c>
      <c r="D57">
        <v>23</v>
      </c>
      <c r="E57">
        <v>52</v>
      </c>
      <c r="F57">
        <v>14.62</v>
      </c>
      <c r="G57">
        <v>14.821</v>
      </c>
      <c r="H57">
        <v>4.2896000000000004E-2</v>
      </c>
      <c r="I57">
        <f t="shared" si="0"/>
        <v>0.53974304343689927</v>
      </c>
      <c r="J57">
        <f t="shared" si="1"/>
        <v>0.556586594066528</v>
      </c>
      <c r="K57">
        <f t="shared" si="2"/>
        <v>0.53974304343689927</v>
      </c>
      <c r="L57">
        <f t="shared" si="3"/>
        <v>-0.46025695656310073</v>
      </c>
      <c r="M57">
        <f t="shared" si="4"/>
        <v>7.9486086873798545E-2</v>
      </c>
      <c r="N57">
        <f t="shared" si="5"/>
        <v>-7.9486086873798545E-2</v>
      </c>
    </row>
    <row r="58" spans="1:14" x14ac:dyDescent="0.25">
      <c r="A58" s="1">
        <v>45742</v>
      </c>
      <c r="B58">
        <v>5712.2</v>
      </c>
      <c r="C58">
        <v>5710</v>
      </c>
      <c r="D58">
        <v>22</v>
      </c>
      <c r="E58">
        <v>51</v>
      </c>
      <c r="F58">
        <v>16.141999999999999</v>
      </c>
      <c r="G58">
        <v>15.803000000000001</v>
      </c>
      <c r="H58">
        <v>4.2891000000000006E-2</v>
      </c>
      <c r="I58">
        <f t="shared" si="0"/>
        <v>0.53775092359385601</v>
      </c>
      <c r="J58">
        <f t="shared" si="1"/>
        <v>0.55468616082079292</v>
      </c>
      <c r="K58">
        <f t="shared" si="2"/>
        <v>0.53775092359385601</v>
      </c>
      <c r="L58">
        <f t="shared" si="3"/>
        <v>-0.46224907640614399</v>
      </c>
      <c r="M58">
        <f t="shared" si="4"/>
        <v>7.5501847187712023E-2</v>
      </c>
      <c r="N58">
        <f t="shared" si="5"/>
        <v>-7.5501847187712023E-2</v>
      </c>
    </row>
    <row r="59" spans="1:14" x14ac:dyDescent="0.25">
      <c r="A59" s="1">
        <v>45743</v>
      </c>
      <c r="B59">
        <v>5693.31</v>
      </c>
      <c r="C59">
        <v>5695</v>
      </c>
      <c r="D59">
        <v>21</v>
      </c>
      <c r="E59">
        <v>50</v>
      </c>
      <c r="F59">
        <v>16.63</v>
      </c>
      <c r="G59">
        <v>16.097000000000001</v>
      </c>
      <c r="H59">
        <v>4.3064999999999999E-2</v>
      </c>
      <c r="I59">
        <f t="shared" si="0"/>
        <v>0.52974105418267725</v>
      </c>
      <c r="J59">
        <f t="shared" si="1"/>
        <v>0.54927350605549807</v>
      </c>
      <c r="K59">
        <f t="shared" si="2"/>
        <v>0.52974105418267725</v>
      </c>
      <c r="L59">
        <f t="shared" si="3"/>
        <v>-0.47025894581732275</v>
      </c>
      <c r="M59">
        <f t="shared" si="4"/>
        <v>5.9482108365354502E-2</v>
      </c>
      <c r="N59">
        <f t="shared" si="5"/>
        <v>-5.9482108365354502E-2</v>
      </c>
    </row>
    <row r="60" spans="1:14" x14ac:dyDescent="0.25">
      <c r="A60" s="1">
        <v>45744</v>
      </c>
      <c r="B60">
        <v>5580.94</v>
      </c>
      <c r="C60">
        <v>5580</v>
      </c>
      <c r="D60">
        <v>20</v>
      </c>
      <c r="E60">
        <v>49</v>
      </c>
      <c r="F60">
        <v>19.523</v>
      </c>
      <c r="G60">
        <v>18.439</v>
      </c>
      <c r="H60">
        <v>4.2599999999999999E-2</v>
      </c>
      <c r="I60">
        <f t="shared" si="0"/>
        <v>0.53093227311017088</v>
      </c>
      <c r="J60">
        <f t="shared" si="1"/>
        <v>0.54812383051214697</v>
      </c>
      <c r="K60">
        <f t="shared" si="2"/>
        <v>0.53093227311017088</v>
      </c>
      <c r="L60">
        <f t="shared" si="3"/>
        <v>-0.46906772688982912</v>
      </c>
      <c r="M60">
        <f t="shared" si="4"/>
        <v>6.1864546220341765E-2</v>
      </c>
      <c r="N60">
        <f t="shared" si="5"/>
        <v>-6.1864546220341765E-2</v>
      </c>
    </row>
    <row r="61" spans="1:14" x14ac:dyDescent="0.25">
      <c r="A61" s="1">
        <v>45747</v>
      </c>
      <c r="B61">
        <v>5611.85</v>
      </c>
      <c r="C61">
        <v>5610</v>
      </c>
      <c r="D61">
        <v>17</v>
      </c>
      <c r="E61">
        <v>46</v>
      </c>
      <c r="F61">
        <v>19.387</v>
      </c>
      <c r="G61">
        <v>18.169</v>
      </c>
      <c r="H61">
        <v>4.2977999999999995E-2</v>
      </c>
      <c r="I61">
        <f t="shared" si="0"/>
        <v>0.53054611866935453</v>
      </c>
      <c r="J61">
        <f t="shared" si="1"/>
        <v>0.54828779443600961</v>
      </c>
      <c r="K61">
        <f t="shared" si="2"/>
        <v>0.53054611866935453</v>
      </c>
      <c r="L61">
        <f t="shared" si="3"/>
        <v>-0.46945388133064547</v>
      </c>
      <c r="M61">
        <f t="shared" si="4"/>
        <v>6.1092237338709054E-2</v>
      </c>
      <c r="N61">
        <f t="shared" si="5"/>
        <v>-6.1092237338709054E-2</v>
      </c>
    </row>
    <row r="62" spans="1:14" x14ac:dyDescent="0.25">
      <c r="A62" s="1">
        <v>45748</v>
      </c>
      <c r="B62">
        <v>5633.07</v>
      </c>
      <c r="C62">
        <v>5635</v>
      </c>
      <c r="D62">
        <v>16</v>
      </c>
      <c r="E62">
        <v>45</v>
      </c>
      <c r="F62">
        <v>19.222999999999999</v>
      </c>
      <c r="G62">
        <v>17.800999999999998</v>
      </c>
      <c r="H62">
        <v>4.3075000000000002E-2</v>
      </c>
      <c r="I62">
        <f t="shared" si="0"/>
        <v>0.52333587432979756</v>
      </c>
      <c r="J62">
        <f t="shared" si="1"/>
        <v>0.54408723054879427</v>
      </c>
      <c r="K62">
        <f t="shared" si="2"/>
        <v>0.52333587432979756</v>
      </c>
      <c r="L62">
        <f t="shared" si="3"/>
        <v>-0.47666412567020244</v>
      </c>
      <c r="M62">
        <f t="shared" si="4"/>
        <v>4.6671748659595114E-2</v>
      </c>
      <c r="N62">
        <f t="shared" si="5"/>
        <v>-4.6671748659595114E-2</v>
      </c>
    </row>
    <row r="63" spans="1:14" x14ac:dyDescent="0.25">
      <c r="A63" s="1">
        <v>45749</v>
      </c>
      <c r="B63">
        <v>5670.97</v>
      </c>
      <c r="C63">
        <v>5670</v>
      </c>
      <c r="D63">
        <v>15</v>
      </c>
      <c r="E63">
        <v>44</v>
      </c>
      <c r="F63">
        <v>19.367000000000001</v>
      </c>
      <c r="G63">
        <v>17.634</v>
      </c>
      <c r="H63">
        <v>4.3019000000000002E-2</v>
      </c>
      <c r="I63">
        <f t="shared" si="0"/>
        <v>0.52751197053982213</v>
      </c>
      <c r="J63">
        <f t="shared" si="1"/>
        <v>0.54700886475406207</v>
      </c>
      <c r="K63">
        <f t="shared" si="2"/>
        <v>0.54700886475406207</v>
      </c>
      <c r="L63">
        <f t="shared" si="3"/>
        <v>-0.45299113524593793</v>
      </c>
      <c r="M63">
        <f t="shared" si="4"/>
        <v>9.4017729508124148E-2</v>
      </c>
      <c r="N63">
        <f t="shared" si="5"/>
        <v>-9.4017729508124148E-2</v>
      </c>
    </row>
    <row r="64" spans="1:14" x14ac:dyDescent="0.25">
      <c r="A64" s="1">
        <v>45750</v>
      </c>
      <c r="B64">
        <v>5396.52</v>
      </c>
      <c r="C64">
        <v>5395</v>
      </c>
      <c r="D64">
        <v>14</v>
      </c>
      <c r="E64">
        <v>43</v>
      </c>
      <c r="F64">
        <v>27.170999999999999</v>
      </c>
      <c r="G64">
        <v>24.100999999999999</v>
      </c>
      <c r="H64">
        <v>4.3014000000000004E-2</v>
      </c>
      <c r="I64">
        <f t="shared" si="0"/>
        <v>0.52507889459723489</v>
      </c>
      <c r="J64">
        <f t="shared" si="1"/>
        <v>0.54221855872288538</v>
      </c>
      <c r="K64">
        <f t="shared" si="2"/>
        <v>0.54221855872288538</v>
      </c>
      <c r="L64">
        <f t="shared" si="3"/>
        <v>-0.45778144127711462</v>
      </c>
      <c r="M64">
        <f t="shared" si="4"/>
        <v>8.443711744577076E-2</v>
      </c>
      <c r="N64">
        <f t="shared" si="5"/>
        <v>-8.443711744577076E-2</v>
      </c>
    </row>
    <row r="65" spans="1:14" x14ac:dyDescent="0.25">
      <c r="A65" s="1">
        <v>45751</v>
      </c>
      <c r="B65">
        <v>5074.08</v>
      </c>
      <c r="C65">
        <v>5075</v>
      </c>
      <c r="D65">
        <v>13</v>
      </c>
      <c r="E65">
        <v>42</v>
      </c>
      <c r="F65">
        <v>44.277000000000001</v>
      </c>
      <c r="G65">
        <v>34.15</v>
      </c>
      <c r="H65">
        <v>4.2728000000000002E-2</v>
      </c>
      <c r="I65">
        <f t="shared" si="0"/>
        <v>0.52305516093404547</v>
      </c>
      <c r="J65">
        <f t="shared" si="1"/>
        <v>0.53935097671362786</v>
      </c>
      <c r="K65">
        <f t="shared" si="2"/>
        <v>0.53935097671362786</v>
      </c>
      <c r="L65">
        <f t="shared" si="3"/>
        <v>-0.46064902328637214</v>
      </c>
      <c r="M65">
        <f t="shared" si="4"/>
        <v>7.8701953427255722E-2</v>
      </c>
      <c r="N65">
        <f t="shared" si="5"/>
        <v>-7.8701953427255722E-2</v>
      </c>
    </row>
    <row r="66" spans="1:14" x14ac:dyDescent="0.25">
      <c r="A66" s="1">
        <v>45754</v>
      </c>
      <c r="B66">
        <v>5062.25</v>
      </c>
      <c r="C66">
        <v>5060</v>
      </c>
      <c r="D66">
        <v>10</v>
      </c>
      <c r="E66">
        <v>39</v>
      </c>
      <c r="F66">
        <v>50.368000000000002</v>
      </c>
      <c r="G66">
        <v>35.945</v>
      </c>
      <c r="H66">
        <v>4.2977999999999995E-2</v>
      </c>
      <c r="I66">
        <f t="shared" si="0"/>
        <v>0.52437650051657825</v>
      </c>
      <c r="J66">
        <f t="shared" si="1"/>
        <v>0.54046899708237817</v>
      </c>
      <c r="K66">
        <f t="shared" si="2"/>
        <v>0.54046899708237817</v>
      </c>
      <c r="L66">
        <f t="shared" si="3"/>
        <v>-0.45953100291762183</v>
      </c>
      <c r="M66">
        <f t="shared" si="4"/>
        <v>8.0937994164756333E-2</v>
      </c>
      <c r="N66">
        <f t="shared" si="5"/>
        <v>-8.0937994164756333E-2</v>
      </c>
    </row>
    <row r="67" spans="1:14" x14ac:dyDescent="0.25">
      <c r="A67" s="1">
        <v>45755</v>
      </c>
      <c r="B67">
        <v>4982.7700000000004</v>
      </c>
      <c r="C67">
        <v>4985</v>
      </c>
      <c r="D67">
        <v>9</v>
      </c>
      <c r="E67">
        <v>38</v>
      </c>
      <c r="F67">
        <v>55.03</v>
      </c>
      <c r="G67">
        <v>39.448999999999998</v>
      </c>
      <c r="H67">
        <v>4.3075000000000002E-2</v>
      </c>
      <c r="I67">
        <f t="shared" ref="I67:I130" si="6">_xlfn.NORM.S.DIST((LN(B67/C67)+(H67+0.5*(F67/100)^2)*(D67/365))/((F67/100)*SQRT(D67/365)),TRUE)</f>
        <v>0.52006606804744115</v>
      </c>
      <c r="J67">
        <f t="shared" ref="J67:J130" si="7">_xlfn.NORM.S.DIST((LN(B67/C67)+(H67+0.5*(G67/100)^2)*(E67/365))/((G67/100)*SQRT(E67/365)),TRUE)</f>
        <v>0.53798541680478507</v>
      </c>
      <c r="K67">
        <f t="shared" ref="K67:K130" si="8">IF(ABS(D67-30)&lt;ABS(E67-30), I67, J67)</f>
        <v>0.53798541680478507</v>
      </c>
      <c r="L67">
        <f t="shared" ref="L67:L130" si="9">K67-1</f>
        <v>-0.46201458319521493</v>
      </c>
      <c r="M67">
        <f t="shared" ref="M67:M130" si="10">K67+L67</f>
        <v>7.5970833609570132E-2</v>
      </c>
      <c r="N67">
        <f t="shared" ref="N67:N130" si="11">-M67</f>
        <v>-7.5970833609570132E-2</v>
      </c>
    </row>
    <row r="68" spans="1:14" x14ac:dyDescent="0.25">
      <c r="A68" s="1">
        <v>45756</v>
      </c>
      <c r="B68">
        <v>5456.9</v>
      </c>
      <c r="C68">
        <v>5455</v>
      </c>
      <c r="D68">
        <v>8</v>
      </c>
      <c r="E68">
        <v>37</v>
      </c>
      <c r="F68">
        <v>34.654000000000003</v>
      </c>
      <c r="G68">
        <v>25.925999999999998</v>
      </c>
      <c r="H68">
        <v>4.2942000000000001E-2</v>
      </c>
      <c r="I68">
        <f t="shared" si="6"/>
        <v>0.52025169304584495</v>
      </c>
      <c r="J68">
        <f t="shared" si="7"/>
        <v>0.53912379358867901</v>
      </c>
      <c r="K68">
        <f t="shared" si="8"/>
        <v>0.53912379358867901</v>
      </c>
      <c r="L68">
        <f t="shared" si="9"/>
        <v>-0.46087620641132099</v>
      </c>
      <c r="M68">
        <f t="shared" si="10"/>
        <v>7.8247587177358024E-2</v>
      </c>
      <c r="N68">
        <f t="shared" si="11"/>
        <v>-7.8247587177358024E-2</v>
      </c>
    </row>
    <row r="69" spans="1:14" x14ac:dyDescent="0.25">
      <c r="A69" s="1">
        <v>45757</v>
      </c>
      <c r="B69">
        <v>5268.05</v>
      </c>
      <c r="C69">
        <v>5270</v>
      </c>
      <c r="D69">
        <v>7</v>
      </c>
      <c r="E69">
        <v>36</v>
      </c>
      <c r="F69">
        <v>46.581000000000003</v>
      </c>
      <c r="G69">
        <v>33.655000000000001</v>
      </c>
      <c r="H69">
        <v>4.2911999999999999E-2</v>
      </c>
      <c r="I69">
        <f t="shared" si="6"/>
        <v>0.51566420569493676</v>
      </c>
      <c r="J69">
        <f t="shared" si="7"/>
        <v>0.53561389945742488</v>
      </c>
      <c r="K69">
        <f t="shared" si="8"/>
        <v>0.53561389945742488</v>
      </c>
      <c r="L69">
        <f t="shared" si="9"/>
        <v>-0.46438610054257512</v>
      </c>
      <c r="M69">
        <f t="shared" si="10"/>
        <v>7.122779891484976E-2</v>
      </c>
      <c r="N69">
        <f t="shared" si="11"/>
        <v>-7.122779891484976E-2</v>
      </c>
    </row>
    <row r="70" spans="1:14" x14ac:dyDescent="0.25">
      <c r="A70" s="1">
        <v>45758</v>
      </c>
      <c r="B70">
        <v>5363.36</v>
      </c>
      <c r="C70">
        <v>5365</v>
      </c>
      <c r="D70">
        <v>6</v>
      </c>
      <c r="E70">
        <v>35</v>
      </c>
      <c r="F70">
        <v>39.954000000000001</v>
      </c>
      <c r="G70">
        <v>31.359000000000002</v>
      </c>
      <c r="H70">
        <v>4.2752999999999999E-2</v>
      </c>
      <c r="I70">
        <f t="shared" si="6"/>
        <v>0.51330786077692758</v>
      </c>
      <c r="J70">
        <f t="shared" si="7"/>
        <v>0.53491162458682029</v>
      </c>
      <c r="K70">
        <f t="shared" si="8"/>
        <v>0.53491162458682029</v>
      </c>
      <c r="L70">
        <f t="shared" si="9"/>
        <v>-0.46508837541317971</v>
      </c>
      <c r="M70">
        <f t="shared" si="10"/>
        <v>6.9823249173640578E-2</v>
      </c>
      <c r="N70">
        <f t="shared" si="11"/>
        <v>-6.9823249173640578E-2</v>
      </c>
    </row>
    <row r="71" spans="1:14" x14ac:dyDescent="0.25">
      <c r="A71" s="1">
        <v>45761</v>
      </c>
      <c r="B71">
        <v>5405.97</v>
      </c>
      <c r="C71">
        <v>5405</v>
      </c>
      <c r="D71">
        <v>3</v>
      </c>
      <c r="E71">
        <v>32</v>
      </c>
      <c r="F71">
        <v>26.62</v>
      </c>
      <c r="G71">
        <v>25.565000000000001</v>
      </c>
      <c r="H71">
        <v>4.2849999999999999E-2</v>
      </c>
      <c r="I71">
        <f t="shared" si="6"/>
        <v>0.51359962099560041</v>
      </c>
      <c r="J71">
        <f t="shared" si="7"/>
        <v>0.53579580999590326</v>
      </c>
      <c r="K71">
        <f t="shared" si="8"/>
        <v>0.53579580999590326</v>
      </c>
      <c r="L71">
        <f t="shared" si="9"/>
        <v>-0.46420419000409674</v>
      </c>
      <c r="M71">
        <f t="shared" si="10"/>
        <v>7.1591619991806521E-2</v>
      </c>
      <c r="N71">
        <f t="shared" si="11"/>
        <v>-7.1591619991806521E-2</v>
      </c>
    </row>
    <row r="72" spans="1:14" x14ac:dyDescent="0.25">
      <c r="A72" s="1">
        <v>45762</v>
      </c>
      <c r="B72">
        <v>5396.63</v>
      </c>
      <c r="C72">
        <v>5395</v>
      </c>
      <c r="D72">
        <v>2</v>
      </c>
      <c r="E72">
        <v>31</v>
      </c>
      <c r="F72">
        <v>21.292000000000002</v>
      </c>
      <c r="G72">
        <v>24.754999999999999</v>
      </c>
      <c r="H72">
        <v>4.2896000000000004E-2</v>
      </c>
      <c r="I72">
        <f t="shared" si="6"/>
        <v>0.51673481742236915</v>
      </c>
      <c r="J72">
        <f t="shared" si="7"/>
        <v>0.53615783358041902</v>
      </c>
      <c r="K72">
        <f t="shared" si="8"/>
        <v>0.53615783358041902</v>
      </c>
      <c r="L72">
        <f t="shared" si="9"/>
        <v>-0.46384216641958098</v>
      </c>
      <c r="M72">
        <f t="shared" si="10"/>
        <v>7.2315667160838037E-2</v>
      </c>
      <c r="N72">
        <f t="shared" si="11"/>
        <v>-7.2315667160838037E-2</v>
      </c>
    </row>
    <row r="73" spans="1:14" x14ac:dyDescent="0.25">
      <c r="A73" s="1">
        <v>45763</v>
      </c>
      <c r="B73">
        <v>5275.7</v>
      </c>
      <c r="C73">
        <v>5275</v>
      </c>
      <c r="D73">
        <v>1</v>
      </c>
      <c r="E73">
        <v>30</v>
      </c>
      <c r="F73">
        <v>28.268999999999998</v>
      </c>
      <c r="G73">
        <v>27.847000000000001</v>
      </c>
      <c r="H73">
        <v>4.2839999999999996E-2</v>
      </c>
      <c r="I73">
        <f t="shared" si="6"/>
        <v>0.50969264568599648</v>
      </c>
      <c r="J73">
        <f t="shared" si="7"/>
        <v>0.53414129258340259</v>
      </c>
      <c r="K73">
        <f t="shared" si="8"/>
        <v>0.53414129258340259</v>
      </c>
      <c r="L73">
        <f t="shared" si="9"/>
        <v>-0.46585870741659741</v>
      </c>
      <c r="M73">
        <f t="shared" si="10"/>
        <v>6.8282585166805188E-2</v>
      </c>
      <c r="N73">
        <f t="shared" si="11"/>
        <v>-6.8282585166805188E-2</v>
      </c>
    </row>
    <row r="74" spans="1:14" x14ac:dyDescent="0.25">
      <c r="A74" s="1">
        <v>45764</v>
      </c>
      <c r="B74">
        <v>5282.7</v>
      </c>
      <c r="C74">
        <v>5285</v>
      </c>
      <c r="D74">
        <v>29</v>
      </c>
      <c r="E74">
        <v>64</v>
      </c>
      <c r="F74">
        <v>26.012</v>
      </c>
      <c r="G74">
        <v>24.928999999999998</v>
      </c>
      <c r="H74">
        <v>4.2743999999999997E-2</v>
      </c>
      <c r="I74">
        <f t="shared" si="6"/>
        <v>0.5307049296575439</v>
      </c>
      <c r="J74">
        <f t="shared" si="7"/>
        <v>0.54768794595651193</v>
      </c>
      <c r="K74">
        <f t="shared" si="8"/>
        <v>0.5307049296575439</v>
      </c>
      <c r="L74">
        <f t="shared" si="9"/>
        <v>-0.4692950703424561</v>
      </c>
      <c r="M74">
        <f t="shared" si="10"/>
        <v>6.14098593150878E-2</v>
      </c>
      <c r="N74">
        <f t="shared" si="11"/>
        <v>-6.14098593150878E-2</v>
      </c>
    </row>
    <row r="75" spans="1:14" x14ac:dyDescent="0.25">
      <c r="A75" s="1">
        <v>45768</v>
      </c>
      <c r="B75">
        <v>5158.2</v>
      </c>
      <c r="C75">
        <v>5160</v>
      </c>
      <c r="D75">
        <v>25</v>
      </c>
      <c r="E75">
        <v>60</v>
      </c>
      <c r="F75">
        <v>29.085000000000001</v>
      </c>
      <c r="G75">
        <v>27.047999999999998</v>
      </c>
      <c r="H75">
        <v>4.3004000000000001E-2</v>
      </c>
      <c r="I75">
        <f t="shared" si="6"/>
        <v>0.52876733814375809</v>
      </c>
      <c r="J75">
        <f t="shared" si="7"/>
        <v>0.546218263448909</v>
      </c>
      <c r="K75">
        <f t="shared" si="8"/>
        <v>0.52876733814375809</v>
      </c>
      <c r="L75">
        <f t="shared" si="9"/>
        <v>-0.47123266185624191</v>
      </c>
      <c r="M75">
        <f t="shared" si="10"/>
        <v>5.7534676287516184E-2</v>
      </c>
      <c r="N75">
        <f t="shared" si="11"/>
        <v>-5.7534676287516184E-2</v>
      </c>
    </row>
    <row r="76" spans="1:14" x14ac:dyDescent="0.25">
      <c r="A76" s="1">
        <v>45769</v>
      </c>
      <c r="B76">
        <v>5287.76</v>
      </c>
      <c r="C76">
        <v>5290</v>
      </c>
      <c r="D76">
        <v>24</v>
      </c>
      <c r="E76">
        <v>59</v>
      </c>
      <c r="F76">
        <v>25.571000000000002</v>
      </c>
      <c r="G76">
        <v>25.241</v>
      </c>
      <c r="H76">
        <v>4.2667000000000004E-2</v>
      </c>
      <c r="I76">
        <f t="shared" si="6"/>
        <v>0.52754981958718217</v>
      </c>
      <c r="J76">
        <f t="shared" si="7"/>
        <v>0.54559077985477433</v>
      </c>
      <c r="K76">
        <f t="shared" si="8"/>
        <v>0.52754981958718217</v>
      </c>
      <c r="L76">
        <f t="shared" si="9"/>
        <v>-0.47245018041281783</v>
      </c>
      <c r="M76">
        <f t="shared" si="10"/>
        <v>5.5099639174364334E-2</v>
      </c>
      <c r="N76">
        <f t="shared" si="11"/>
        <v>-5.5099639174364334E-2</v>
      </c>
    </row>
    <row r="77" spans="1:14" x14ac:dyDescent="0.25">
      <c r="A77" s="1">
        <v>45770</v>
      </c>
      <c r="B77">
        <v>5375.86</v>
      </c>
      <c r="C77">
        <v>5375</v>
      </c>
      <c r="D77">
        <v>23</v>
      </c>
      <c r="E77">
        <v>58</v>
      </c>
      <c r="F77">
        <v>24.91</v>
      </c>
      <c r="G77">
        <v>23.972999999999999</v>
      </c>
      <c r="H77">
        <v>4.2636E-2</v>
      </c>
      <c r="I77">
        <f t="shared" si="6"/>
        <v>0.53060441253780088</v>
      </c>
      <c r="J77">
        <f t="shared" si="7"/>
        <v>0.5478977072528447</v>
      </c>
      <c r="K77">
        <f t="shared" si="8"/>
        <v>0.53060441253780088</v>
      </c>
      <c r="L77">
        <f t="shared" si="9"/>
        <v>-0.46939558746219912</v>
      </c>
      <c r="M77">
        <f t="shared" si="10"/>
        <v>6.1208825075601769E-2</v>
      </c>
      <c r="N77">
        <f t="shared" si="11"/>
        <v>-6.1208825075601769E-2</v>
      </c>
    </row>
    <row r="78" spans="1:14" x14ac:dyDescent="0.25">
      <c r="A78" s="1">
        <v>45771</v>
      </c>
      <c r="B78">
        <v>5484.77</v>
      </c>
      <c r="C78">
        <v>5485</v>
      </c>
      <c r="D78">
        <v>22</v>
      </c>
      <c r="E78">
        <v>57</v>
      </c>
      <c r="F78">
        <v>22.927</v>
      </c>
      <c r="G78">
        <v>22.24</v>
      </c>
      <c r="H78">
        <v>4.2529000000000004E-2</v>
      </c>
      <c r="I78">
        <f t="shared" si="6"/>
        <v>0.52907299094400873</v>
      </c>
      <c r="J78">
        <f t="shared" si="7"/>
        <v>0.5473762217468624</v>
      </c>
      <c r="K78">
        <f t="shared" si="8"/>
        <v>0.52907299094400873</v>
      </c>
      <c r="L78">
        <f t="shared" si="9"/>
        <v>-0.47092700905599127</v>
      </c>
      <c r="M78">
        <f t="shared" si="10"/>
        <v>5.8145981888017451E-2</v>
      </c>
      <c r="N78">
        <f t="shared" si="11"/>
        <v>-5.8145981888017451E-2</v>
      </c>
    </row>
    <row r="79" spans="1:14" x14ac:dyDescent="0.25">
      <c r="A79" s="1">
        <v>45772</v>
      </c>
      <c r="B79">
        <v>5525.21</v>
      </c>
      <c r="C79">
        <v>5525</v>
      </c>
      <c r="D79">
        <v>21</v>
      </c>
      <c r="E79">
        <v>56</v>
      </c>
      <c r="F79">
        <v>21.5</v>
      </c>
      <c r="G79">
        <v>21.283000000000001</v>
      </c>
      <c r="H79">
        <v>4.2575000000000002E-2</v>
      </c>
      <c r="I79">
        <f t="shared" si="6"/>
        <v>0.52950305610791015</v>
      </c>
      <c r="J79">
        <f t="shared" si="7"/>
        <v>0.5479539229956979</v>
      </c>
      <c r="K79">
        <f t="shared" si="8"/>
        <v>0.52950305610791015</v>
      </c>
      <c r="L79">
        <f t="shared" si="9"/>
        <v>-0.47049694389208985</v>
      </c>
      <c r="M79">
        <f t="shared" si="10"/>
        <v>5.9006112215820306E-2</v>
      </c>
      <c r="N79">
        <f t="shared" si="11"/>
        <v>-5.9006112215820306E-2</v>
      </c>
    </row>
    <row r="80" spans="1:14" x14ac:dyDescent="0.25">
      <c r="A80" s="1">
        <v>45775</v>
      </c>
      <c r="B80">
        <v>5528.75</v>
      </c>
      <c r="C80">
        <v>5530</v>
      </c>
      <c r="D80">
        <v>18</v>
      </c>
      <c r="E80">
        <v>53</v>
      </c>
      <c r="F80">
        <v>21.09</v>
      </c>
      <c r="G80">
        <v>21.158999999999999</v>
      </c>
      <c r="H80">
        <v>4.2927E-2</v>
      </c>
      <c r="I80">
        <f t="shared" si="6"/>
        <v>0.52543165457302421</v>
      </c>
      <c r="J80">
        <f t="shared" si="7"/>
        <v>0.54570558936487057</v>
      </c>
      <c r="K80">
        <f t="shared" si="8"/>
        <v>0.52543165457302421</v>
      </c>
      <c r="L80">
        <f t="shared" si="9"/>
        <v>-0.47456834542697579</v>
      </c>
      <c r="M80">
        <f t="shared" si="10"/>
        <v>5.0863309146048419E-2</v>
      </c>
      <c r="N80">
        <f t="shared" si="11"/>
        <v>-5.0863309146048419E-2</v>
      </c>
    </row>
    <row r="81" spans="1:14" x14ac:dyDescent="0.25">
      <c r="A81" s="1">
        <v>45776</v>
      </c>
      <c r="B81">
        <v>5560.83</v>
      </c>
      <c r="C81">
        <v>5560</v>
      </c>
      <c r="D81">
        <v>17</v>
      </c>
      <c r="E81">
        <v>52</v>
      </c>
      <c r="F81">
        <v>20.484000000000002</v>
      </c>
      <c r="G81">
        <v>20.78</v>
      </c>
      <c r="H81">
        <v>4.2946999999999999E-2</v>
      </c>
      <c r="I81">
        <f t="shared" si="6"/>
        <v>0.52819281605010193</v>
      </c>
      <c r="J81">
        <f t="shared" si="7"/>
        <v>0.54741319317291093</v>
      </c>
      <c r="K81">
        <f t="shared" si="8"/>
        <v>0.52819281605010193</v>
      </c>
      <c r="L81">
        <f t="shared" si="9"/>
        <v>-0.47180718394989807</v>
      </c>
      <c r="M81">
        <f t="shared" si="10"/>
        <v>5.6385632100203864E-2</v>
      </c>
      <c r="N81">
        <f t="shared" si="11"/>
        <v>-5.6385632100203864E-2</v>
      </c>
    </row>
    <row r="82" spans="1:14" x14ac:dyDescent="0.25">
      <c r="A82" s="1">
        <v>45777</v>
      </c>
      <c r="B82">
        <v>5569.06</v>
      </c>
      <c r="C82">
        <v>5570</v>
      </c>
      <c r="D82">
        <v>16</v>
      </c>
      <c r="E82">
        <v>51</v>
      </c>
      <c r="F82">
        <v>21.231999999999999</v>
      </c>
      <c r="G82">
        <v>21.021000000000001</v>
      </c>
      <c r="H82">
        <v>4.2891000000000006E-2</v>
      </c>
      <c r="I82">
        <f t="shared" si="6"/>
        <v>0.52421087588666526</v>
      </c>
      <c r="J82">
        <f t="shared" si="7"/>
        <v>0.54514719355244712</v>
      </c>
      <c r="K82">
        <f t="shared" si="8"/>
        <v>0.52421087588666526</v>
      </c>
      <c r="L82">
        <f t="shared" si="9"/>
        <v>-0.47578912411333474</v>
      </c>
      <c r="M82">
        <f t="shared" si="10"/>
        <v>4.8421751773330524E-2</v>
      </c>
      <c r="N82">
        <f t="shared" si="11"/>
        <v>-4.8421751773330524E-2</v>
      </c>
    </row>
    <row r="83" spans="1:14" x14ac:dyDescent="0.25">
      <c r="A83" s="1">
        <v>45778</v>
      </c>
      <c r="B83">
        <v>5604.14</v>
      </c>
      <c r="C83">
        <v>5605</v>
      </c>
      <c r="D83">
        <v>15</v>
      </c>
      <c r="E83">
        <v>50</v>
      </c>
      <c r="F83">
        <v>20.91</v>
      </c>
      <c r="G83">
        <v>20.983000000000001</v>
      </c>
      <c r="H83">
        <v>4.2886000000000001E-2</v>
      </c>
      <c r="I83">
        <f t="shared" si="6"/>
        <v>0.52358458830288956</v>
      </c>
      <c r="J83">
        <f t="shared" si="7"/>
        <v>0.54478693121393729</v>
      </c>
      <c r="K83">
        <f t="shared" si="8"/>
        <v>0.52358458830288956</v>
      </c>
      <c r="L83">
        <f t="shared" si="9"/>
        <v>-0.47641541169711044</v>
      </c>
      <c r="M83">
        <f t="shared" si="10"/>
        <v>4.7169176605779128E-2</v>
      </c>
      <c r="N83">
        <f t="shared" si="11"/>
        <v>-4.7169176605779128E-2</v>
      </c>
    </row>
    <row r="84" spans="1:14" x14ac:dyDescent="0.25">
      <c r="A84" s="1">
        <v>45779</v>
      </c>
      <c r="B84">
        <v>5686.67</v>
      </c>
      <c r="C84">
        <v>5685</v>
      </c>
      <c r="D84">
        <v>14</v>
      </c>
      <c r="E84">
        <v>49</v>
      </c>
      <c r="F84">
        <v>18.350000000000001</v>
      </c>
      <c r="G84">
        <v>19.364000000000001</v>
      </c>
      <c r="H84">
        <v>4.2830000000000007E-2</v>
      </c>
      <c r="I84">
        <f t="shared" si="6"/>
        <v>0.52864082356697473</v>
      </c>
      <c r="J84">
        <f t="shared" si="7"/>
        <v>0.54801795224630068</v>
      </c>
      <c r="K84">
        <f t="shared" si="8"/>
        <v>0.52864082356697473</v>
      </c>
      <c r="L84">
        <f t="shared" si="9"/>
        <v>-0.47135917643302527</v>
      </c>
      <c r="M84">
        <f t="shared" si="10"/>
        <v>5.7281647133949454E-2</v>
      </c>
      <c r="N84">
        <f t="shared" si="11"/>
        <v>-5.7281647133949454E-2</v>
      </c>
    </row>
    <row r="85" spans="1:14" x14ac:dyDescent="0.25">
      <c r="A85" s="1">
        <v>45782</v>
      </c>
      <c r="B85">
        <v>5650.38</v>
      </c>
      <c r="C85">
        <v>5650</v>
      </c>
      <c r="D85">
        <v>11</v>
      </c>
      <c r="E85">
        <v>46</v>
      </c>
      <c r="F85">
        <v>18.442</v>
      </c>
      <c r="G85">
        <v>19.757000000000001</v>
      </c>
      <c r="H85">
        <v>4.3029000000000005E-2</v>
      </c>
      <c r="I85">
        <f t="shared" si="6"/>
        <v>0.52336975989118961</v>
      </c>
      <c r="J85">
        <f t="shared" si="7"/>
        <v>0.54512127783347353</v>
      </c>
      <c r="K85">
        <f t="shared" si="8"/>
        <v>0.54512127783347353</v>
      </c>
      <c r="L85">
        <f t="shared" si="9"/>
        <v>-0.45487872216652647</v>
      </c>
      <c r="M85">
        <f t="shared" si="10"/>
        <v>9.0242555666947055E-2</v>
      </c>
      <c r="N85">
        <f t="shared" si="11"/>
        <v>-9.0242555666947055E-2</v>
      </c>
    </row>
    <row r="86" spans="1:14" x14ac:dyDescent="0.25">
      <c r="A86" s="1">
        <v>45783</v>
      </c>
      <c r="B86">
        <v>5606.91</v>
      </c>
      <c r="C86">
        <v>5605</v>
      </c>
      <c r="D86">
        <v>10</v>
      </c>
      <c r="E86">
        <v>45</v>
      </c>
      <c r="F86">
        <v>19.795999999999999</v>
      </c>
      <c r="G86">
        <v>20.734000000000002</v>
      </c>
      <c r="H86">
        <v>4.2946999999999999E-2</v>
      </c>
      <c r="I86">
        <f t="shared" si="6"/>
        <v>0.52499364746701349</v>
      </c>
      <c r="J86">
        <f t="shared" si="7"/>
        <v>0.54530588918246115</v>
      </c>
      <c r="K86">
        <f t="shared" si="8"/>
        <v>0.54530588918246115</v>
      </c>
      <c r="L86">
        <f t="shared" si="9"/>
        <v>-0.45469411081753885</v>
      </c>
      <c r="M86">
        <f t="shared" si="10"/>
        <v>9.0611778364922291E-2</v>
      </c>
      <c r="N86">
        <f t="shared" si="11"/>
        <v>-9.0611778364922291E-2</v>
      </c>
    </row>
    <row r="87" spans="1:14" x14ac:dyDescent="0.25">
      <c r="A87" s="1">
        <v>45784</v>
      </c>
      <c r="B87">
        <v>5631.28</v>
      </c>
      <c r="C87">
        <v>5630</v>
      </c>
      <c r="D87">
        <v>9</v>
      </c>
      <c r="E87">
        <v>44</v>
      </c>
      <c r="F87">
        <v>19.170999999999999</v>
      </c>
      <c r="G87">
        <v>20.131</v>
      </c>
      <c r="H87">
        <v>4.2789000000000001E-2</v>
      </c>
      <c r="I87">
        <f t="shared" si="6"/>
        <v>0.52298678501255547</v>
      </c>
      <c r="J87">
        <f t="shared" si="7"/>
        <v>0.54458758743465618</v>
      </c>
      <c r="K87">
        <f t="shared" si="8"/>
        <v>0.54458758743465618</v>
      </c>
      <c r="L87">
        <f t="shared" si="9"/>
        <v>-0.45541241256534382</v>
      </c>
      <c r="M87">
        <f t="shared" si="10"/>
        <v>8.9175174869312368E-2</v>
      </c>
      <c r="N87">
        <f t="shared" si="11"/>
        <v>-8.9175174869312368E-2</v>
      </c>
    </row>
    <row r="88" spans="1:14" x14ac:dyDescent="0.25">
      <c r="A88" s="1">
        <v>45785</v>
      </c>
      <c r="B88">
        <v>5663.94</v>
      </c>
      <c r="C88">
        <v>5665</v>
      </c>
      <c r="D88">
        <v>8</v>
      </c>
      <c r="E88">
        <v>43</v>
      </c>
      <c r="F88">
        <v>18.887</v>
      </c>
      <c r="G88">
        <v>19.375</v>
      </c>
      <c r="H88">
        <v>4.2809999999999994E-2</v>
      </c>
      <c r="I88">
        <f t="shared" si="6"/>
        <v>0.51629033029377713</v>
      </c>
      <c r="J88">
        <f t="shared" si="7"/>
        <v>0.54231808455986563</v>
      </c>
      <c r="K88">
        <f t="shared" si="8"/>
        <v>0.54231808455986563</v>
      </c>
      <c r="L88">
        <f t="shared" si="9"/>
        <v>-0.45768191544013437</v>
      </c>
      <c r="M88">
        <f t="shared" si="10"/>
        <v>8.4636169119731264E-2</v>
      </c>
      <c r="N88">
        <f t="shared" si="11"/>
        <v>-8.4636169119731264E-2</v>
      </c>
    </row>
    <row r="89" spans="1:14" x14ac:dyDescent="0.25">
      <c r="A89" s="1">
        <v>45786</v>
      </c>
      <c r="B89">
        <v>5659.91</v>
      </c>
      <c r="C89">
        <v>5660</v>
      </c>
      <c r="D89">
        <v>7</v>
      </c>
      <c r="E89">
        <v>42</v>
      </c>
      <c r="F89">
        <v>19.532</v>
      </c>
      <c r="G89">
        <v>19.262</v>
      </c>
      <c r="H89">
        <v>4.2752999999999999E-2</v>
      </c>
      <c r="I89">
        <f t="shared" si="6"/>
        <v>0.51724852583192216</v>
      </c>
      <c r="J89">
        <f t="shared" si="7"/>
        <v>0.54289020050187786</v>
      </c>
      <c r="K89">
        <f t="shared" si="8"/>
        <v>0.54289020050187786</v>
      </c>
      <c r="L89">
        <f t="shared" si="9"/>
        <v>-0.45710979949812214</v>
      </c>
      <c r="M89">
        <f t="shared" si="10"/>
        <v>8.5780401003755724E-2</v>
      </c>
      <c r="N89">
        <f t="shared" si="11"/>
        <v>-8.5780401003755724E-2</v>
      </c>
    </row>
    <row r="90" spans="1:14" x14ac:dyDescent="0.25">
      <c r="A90" s="1">
        <v>45789</v>
      </c>
      <c r="B90">
        <v>5844.19</v>
      </c>
      <c r="C90">
        <v>5845</v>
      </c>
      <c r="D90">
        <v>4</v>
      </c>
      <c r="E90">
        <v>39</v>
      </c>
      <c r="F90">
        <v>14.156000000000001</v>
      </c>
      <c r="G90">
        <v>15.162000000000001</v>
      </c>
      <c r="H90">
        <v>4.308E-2</v>
      </c>
      <c r="I90">
        <f t="shared" si="6"/>
        <v>0.51193280214474024</v>
      </c>
      <c r="J90">
        <f t="shared" si="7"/>
        <v>0.54572220777627656</v>
      </c>
      <c r="K90">
        <f t="shared" si="8"/>
        <v>0.54572220777627656</v>
      </c>
      <c r="L90">
        <f t="shared" si="9"/>
        <v>-0.45427779222372344</v>
      </c>
      <c r="M90">
        <f t="shared" si="10"/>
        <v>9.1444415552553115E-2</v>
      </c>
      <c r="N90">
        <f t="shared" si="11"/>
        <v>-9.1444415552553115E-2</v>
      </c>
    </row>
    <row r="91" spans="1:14" x14ac:dyDescent="0.25">
      <c r="A91" s="1">
        <v>45790</v>
      </c>
      <c r="B91">
        <v>5886.55</v>
      </c>
      <c r="C91">
        <v>5885</v>
      </c>
      <c r="D91">
        <v>3</v>
      </c>
      <c r="E91">
        <v>38</v>
      </c>
      <c r="F91">
        <v>13.048</v>
      </c>
      <c r="G91">
        <v>14.769</v>
      </c>
      <c r="H91">
        <v>4.3101E-2</v>
      </c>
      <c r="I91">
        <f t="shared" si="6"/>
        <v>0.5231751611075266</v>
      </c>
      <c r="J91">
        <f t="shared" si="7"/>
        <v>0.5491509033185944</v>
      </c>
      <c r="K91">
        <f t="shared" si="8"/>
        <v>0.5491509033185944</v>
      </c>
      <c r="L91">
        <f t="shared" si="9"/>
        <v>-0.4508490966814056</v>
      </c>
      <c r="M91">
        <f t="shared" si="10"/>
        <v>9.8301806637188793E-2</v>
      </c>
      <c r="N91">
        <f t="shared" si="11"/>
        <v>-9.8301806637188793E-2</v>
      </c>
    </row>
    <row r="92" spans="1:14" x14ac:dyDescent="0.25">
      <c r="A92" s="1">
        <v>45791</v>
      </c>
      <c r="B92">
        <v>5892.58</v>
      </c>
      <c r="C92">
        <v>5895</v>
      </c>
      <c r="D92">
        <v>2</v>
      </c>
      <c r="E92">
        <v>37</v>
      </c>
      <c r="F92">
        <v>12.978</v>
      </c>
      <c r="G92">
        <v>15.226000000000001</v>
      </c>
      <c r="H92">
        <v>4.3121E-2</v>
      </c>
      <c r="I92">
        <f t="shared" si="6"/>
        <v>0.49467729487537898</v>
      </c>
      <c r="J92">
        <f t="shared" si="7"/>
        <v>0.54218416692582649</v>
      </c>
      <c r="K92">
        <f t="shared" si="8"/>
        <v>0.54218416692582649</v>
      </c>
      <c r="L92">
        <f t="shared" si="9"/>
        <v>-0.45781583307417351</v>
      </c>
      <c r="M92">
        <f t="shared" si="10"/>
        <v>8.4368333851652988E-2</v>
      </c>
      <c r="N92">
        <f t="shared" si="11"/>
        <v>-8.4368333851652988E-2</v>
      </c>
    </row>
    <row r="93" spans="1:14" x14ac:dyDescent="0.25">
      <c r="A93" s="1">
        <v>45792</v>
      </c>
      <c r="B93">
        <v>5916.93</v>
      </c>
      <c r="C93">
        <v>5915</v>
      </c>
      <c r="D93">
        <v>1</v>
      </c>
      <c r="E93">
        <v>36</v>
      </c>
      <c r="F93">
        <v>11.114000000000001</v>
      </c>
      <c r="G93">
        <v>14.875999999999999</v>
      </c>
      <c r="H93">
        <v>4.3064999999999999E-2</v>
      </c>
      <c r="I93">
        <f t="shared" si="6"/>
        <v>0.53159126001195589</v>
      </c>
      <c r="J93">
        <f t="shared" si="7"/>
        <v>0.54825702298759693</v>
      </c>
      <c r="K93">
        <f t="shared" si="8"/>
        <v>0.54825702298759693</v>
      </c>
      <c r="L93">
        <f t="shared" si="9"/>
        <v>-0.45174297701240307</v>
      </c>
      <c r="M93">
        <f t="shared" si="10"/>
        <v>9.6514045975193863E-2</v>
      </c>
      <c r="N93">
        <f t="shared" si="11"/>
        <v>-9.6514045975193863E-2</v>
      </c>
    </row>
    <row r="94" spans="1:14" x14ac:dyDescent="0.25">
      <c r="A94" s="1">
        <v>45793</v>
      </c>
      <c r="B94">
        <v>5958.38</v>
      </c>
      <c r="C94">
        <v>5960</v>
      </c>
      <c r="D94">
        <v>35</v>
      </c>
      <c r="E94">
        <v>63</v>
      </c>
      <c r="F94">
        <v>14.609</v>
      </c>
      <c r="G94">
        <v>15.398</v>
      </c>
      <c r="H94">
        <v>4.2752999999999999E-2</v>
      </c>
      <c r="I94">
        <f t="shared" si="6"/>
        <v>0.54269754034272255</v>
      </c>
      <c r="J94">
        <f t="shared" si="7"/>
        <v>0.55688990216250311</v>
      </c>
      <c r="K94">
        <f t="shared" si="8"/>
        <v>0.54269754034272255</v>
      </c>
      <c r="L94">
        <f t="shared" si="9"/>
        <v>-0.45730245965727745</v>
      </c>
      <c r="M94">
        <f t="shared" si="10"/>
        <v>8.5395080685445102E-2</v>
      </c>
      <c r="N94">
        <f t="shared" si="11"/>
        <v>-8.5395080685445102E-2</v>
      </c>
    </row>
    <row r="95" spans="1:14" x14ac:dyDescent="0.25">
      <c r="A95" s="1">
        <v>45796</v>
      </c>
      <c r="B95">
        <v>5963.6</v>
      </c>
      <c r="C95">
        <v>5965</v>
      </c>
      <c r="D95">
        <v>32</v>
      </c>
      <c r="E95">
        <v>60</v>
      </c>
      <c r="F95">
        <v>14.951000000000001</v>
      </c>
      <c r="G95">
        <v>15.641</v>
      </c>
      <c r="H95">
        <v>4.2977999999999995E-2</v>
      </c>
      <c r="I95">
        <f t="shared" si="6"/>
        <v>0.54060053919533613</v>
      </c>
      <c r="J95">
        <f t="shared" si="7"/>
        <v>0.55543799681998407</v>
      </c>
      <c r="K95">
        <f t="shared" si="8"/>
        <v>0.54060053919533613</v>
      </c>
      <c r="L95">
        <f t="shared" si="9"/>
        <v>-0.45939946080466387</v>
      </c>
      <c r="M95">
        <f t="shared" si="10"/>
        <v>8.1201078390672254E-2</v>
      </c>
      <c r="N95">
        <f t="shared" si="11"/>
        <v>-8.1201078390672254E-2</v>
      </c>
    </row>
    <row r="96" spans="1:14" x14ac:dyDescent="0.25">
      <c r="A96" s="1">
        <v>45797</v>
      </c>
      <c r="B96">
        <v>5940.46</v>
      </c>
      <c r="C96">
        <v>5940</v>
      </c>
      <c r="D96">
        <v>31</v>
      </c>
      <c r="E96">
        <v>59</v>
      </c>
      <c r="F96">
        <v>15.146000000000001</v>
      </c>
      <c r="G96">
        <v>15.824</v>
      </c>
      <c r="H96">
        <v>4.2793999999999999E-2</v>
      </c>
      <c r="I96">
        <f t="shared" si="6"/>
        <v>0.54227467046082545</v>
      </c>
      <c r="J96">
        <f t="shared" si="7"/>
        <v>0.5563638465305758</v>
      </c>
      <c r="K96">
        <f t="shared" si="8"/>
        <v>0.54227467046082545</v>
      </c>
      <c r="L96">
        <f t="shared" si="9"/>
        <v>-0.45772532953917455</v>
      </c>
      <c r="M96">
        <f t="shared" si="10"/>
        <v>8.4549340921650895E-2</v>
      </c>
      <c r="N96">
        <f t="shared" si="11"/>
        <v>-8.4549340921650895E-2</v>
      </c>
    </row>
    <row r="97" spans="1:14" x14ac:dyDescent="0.25">
      <c r="A97" s="1">
        <v>45798</v>
      </c>
      <c r="B97">
        <v>5844.61</v>
      </c>
      <c r="C97">
        <v>5845</v>
      </c>
      <c r="D97">
        <v>30</v>
      </c>
      <c r="E97">
        <v>58</v>
      </c>
      <c r="F97">
        <v>17.469000000000001</v>
      </c>
      <c r="G97">
        <v>17.672000000000001</v>
      </c>
      <c r="H97">
        <v>4.2610999999999996E-2</v>
      </c>
      <c r="I97">
        <f t="shared" si="6"/>
        <v>0.53730219548881109</v>
      </c>
      <c r="J97">
        <f t="shared" si="7"/>
        <v>0.55187236642307114</v>
      </c>
      <c r="K97">
        <f t="shared" si="8"/>
        <v>0.53730219548881109</v>
      </c>
      <c r="L97">
        <f t="shared" si="9"/>
        <v>-0.46269780451118891</v>
      </c>
      <c r="M97">
        <f t="shared" si="10"/>
        <v>7.460439097762217E-2</v>
      </c>
      <c r="N97">
        <f t="shared" si="11"/>
        <v>-7.460439097762217E-2</v>
      </c>
    </row>
    <row r="98" spans="1:14" x14ac:dyDescent="0.25">
      <c r="A98" s="1">
        <v>45799</v>
      </c>
      <c r="B98">
        <v>5842.01</v>
      </c>
      <c r="C98">
        <v>5840</v>
      </c>
      <c r="D98">
        <v>29</v>
      </c>
      <c r="E98">
        <v>57</v>
      </c>
      <c r="F98">
        <v>17.32</v>
      </c>
      <c r="G98">
        <v>17.614000000000001</v>
      </c>
      <c r="H98">
        <v>4.2606000000000005E-2</v>
      </c>
      <c r="I98">
        <f t="shared" si="6"/>
        <v>0.54014439190361263</v>
      </c>
      <c r="J98">
        <f t="shared" si="7"/>
        <v>0.55382651511383063</v>
      </c>
      <c r="K98">
        <f t="shared" si="8"/>
        <v>0.54014439190361263</v>
      </c>
      <c r="L98">
        <f t="shared" si="9"/>
        <v>-0.45985560809638737</v>
      </c>
      <c r="M98">
        <f t="shared" si="10"/>
        <v>8.0288783807225261E-2</v>
      </c>
      <c r="N98">
        <f t="shared" si="11"/>
        <v>-8.0288783807225261E-2</v>
      </c>
    </row>
    <row r="99" spans="1:14" x14ac:dyDescent="0.25">
      <c r="A99" s="1">
        <v>45800</v>
      </c>
      <c r="B99">
        <v>5802.82</v>
      </c>
      <c r="C99">
        <v>5805</v>
      </c>
      <c r="D99">
        <v>28</v>
      </c>
      <c r="E99">
        <v>56</v>
      </c>
      <c r="F99">
        <v>19.103999999999999</v>
      </c>
      <c r="G99">
        <v>19.07</v>
      </c>
      <c r="H99">
        <v>4.2774E-2</v>
      </c>
      <c r="I99">
        <f t="shared" si="6"/>
        <v>0.53242663751298225</v>
      </c>
      <c r="J99">
        <f t="shared" si="7"/>
        <v>0.54782839993478971</v>
      </c>
      <c r="K99">
        <f t="shared" si="8"/>
        <v>0.53242663751298225</v>
      </c>
      <c r="L99">
        <f t="shared" si="9"/>
        <v>-0.46757336248701775</v>
      </c>
      <c r="M99">
        <f t="shared" si="10"/>
        <v>6.4853275025964496E-2</v>
      </c>
      <c r="N99">
        <f t="shared" si="11"/>
        <v>-6.4853275025964496E-2</v>
      </c>
    </row>
    <row r="100" spans="1:14" x14ac:dyDescent="0.25">
      <c r="A100" s="1">
        <v>45804</v>
      </c>
      <c r="B100">
        <v>5921.54</v>
      </c>
      <c r="C100">
        <v>5920</v>
      </c>
      <c r="D100">
        <v>24</v>
      </c>
      <c r="E100">
        <v>52</v>
      </c>
      <c r="F100">
        <v>15.366</v>
      </c>
      <c r="G100">
        <v>15.962999999999999</v>
      </c>
      <c r="H100">
        <v>4.2667000000000004E-2</v>
      </c>
      <c r="I100">
        <f t="shared" si="6"/>
        <v>0.53883691746376861</v>
      </c>
      <c r="J100">
        <f t="shared" si="7"/>
        <v>0.55382421521270919</v>
      </c>
      <c r="K100">
        <f t="shared" si="8"/>
        <v>0.53883691746376861</v>
      </c>
      <c r="L100">
        <f t="shared" si="9"/>
        <v>-0.46116308253623139</v>
      </c>
      <c r="M100">
        <f t="shared" si="10"/>
        <v>7.7673834927537211E-2</v>
      </c>
      <c r="N100">
        <f t="shared" si="11"/>
        <v>-7.7673834927537211E-2</v>
      </c>
    </row>
    <row r="101" spans="1:14" x14ac:dyDescent="0.25">
      <c r="A101" s="1">
        <v>45805</v>
      </c>
      <c r="B101">
        <v>5888.55</v>
      </c>
      <c r="C101">
        <v>5890</v>
      </c>
      <c r="D101">
        <v>23</v>
      </c>
      <c r="E101">
        <v>51</v>
      </c>
      <c r="F101">
        <v>15.768000000000001</v>
      </c>
      <c r="G101">
        <v>16.507000000000001</v>
      </c>
      <c r="H101">
        <v>4.2737999999999998E-2</v>
      </c>
      <c r="I101">
        <f t="shared" si="6"/>
        <v>0.53252120838942318</v>
      </c>
      <c r="J101">
        <f t="shared" si="7"/>
        <v>0.54920027135495497</v>
      </c>
      <c r="K101">
        <f t="shared" si="8"/>
        <v>0.53252120838942318</v>
      </c>
      <c r="L101">
        <f t="shared" si="9"/>
        <v>-0.46747879161057682</v>
      </c>
      <c r="M101">
        <f t="shared" si="10"/>
        <v>6.5042416778846368E-2</v>
      </c>
      <c r="N101">
        <f t="shared" si="11"/>
        <v>-6.5042416778846368E-2</v>
      </c>
    </row>
    <row r="102" spans="1:14" x14ac:dyDescent="0.25">
      <c r="A102" s="1">
        <v>45806</v>
      </c>
      <c r="B102">
        <v>5912.17</v>
      </c>
      <c r="C102">
        <v>5910</v>
      </c>
      <c r="D102">
        <v>22</v>
      </c>
      <c r="E102">
        <v>50</v>
      </c>
      <c r="F102">
        <v>15.627000000000001</v>
      </c>
      <c r="G102">
        <v>16.361000000000001</v>
      </c>
      <c r="H102">
        <v>4.2733E-2</v>
      </c>
      <c r="I102">
        <f t="shared" si="6"/>
        <v>0.53819483399437362</v>
      </c>
      <c r="J102">
        <f t="shared" si="7"/>
        <v>0.55290721225927475</v>
      </c>
      <c r="K102">
        <f t="shared" si="8"/>
        <v>0.53819483399437362</v>
      </c>
      <c r="L102">
        <f t="shared" si="9"/>
        <v>-0.46180516600562638</v>
      </c>
      <c r="M102">
        <f t="shared" si="10"/>
        <v>7.6389667988747245E-2</v>
      </c>
      <c r="N102">
        <f t="shared" si="11"/>
        <v>-7.6389667988747245E-2</v>
      </c>
    </row>
    <row r="103" spans="1:14" x14ac:dyDescent="0.25">
      <c r="A103" s="1">
        <v>45807</v>
      </c>
      <c r="B103">
        <v>5911.69</v>
      </c>
      <c r="C103">
        <v>5910</v>
      </c>
      <c r="D103">
        <v>21</v>
      </c>
      <c r="E103">
        <v>49</v>
      </c>
      <c r="F103">
        <v>15.590999999999999</v>
      </c>
      <c r="G103">
        <v>16.167000000000002</v>
      </c>
      <c r="H103">
        <v>4.2625999999999997E-2</v>
      </c>
      <c r="I103">
        <f t="shared" si="6"/>
        <v>0.53662029899868779</v>
      </c>
      <c r="J103">
        <f t="shared" si="7"/>
        <v>0.5521316523260853</v>
      </c>
      <c r="K103">
        <f t="shared" si="8"/>
        <v>0.53662029899868779</v>
      </c>
      <c r="L103">
        <f t="shared" si="9"/>
        <v>-0.46337970100131221</v>
      </c>
      <c r="M103">
        <f t="shared" si="10"/>
        <v>7.3240597997375589E-2</v>
      </c>
      <c r="N103">
        <f t="shared" si="11"/>
        <v>-7.3240597997375589E-2</v>
      </c>
    </row>
    <row r="104" spans="1:14" x14ac:dyDescent="0.25">
      <c r="A104" s="1">
        <v>45810</v>
      </c>
      <c r="B104">
        <v>5935.94</v>
      </c>
      <c r="C104">
        <v>5935</v>
      </c>
      <c r="D104">
        <v>18</v>
      </c>
      <c r="E104">
        <v>46</v>
      </c>
      <c r="F104">
        <v>14.888</v>
      </c>
      <c r="G104">
        <v>15.755000000000001</v>
      </c>
      <c r="H104">
        <v>4.2824999999999995E-2</v>
      </c>
      <c r="I104">
        <f t="shared" si="6"/>
        <v>0.53394838318227555</v>
      </c>
      <c r="J104">
        <f t="shared" si="7"/>
        <v>0.55064590813668568</v>
      </c>
      <c r="K104">
        <f t="shared" si="8"/>
        <v>0.53394838318227555</v>
      </c>
      <c r="L104">
        <f t="shared" si="9"/>
        <v>-0.46605161681772445</v>
      </c>
      <c r="M104">
        <f t="shared" si="10"/>
        <v>6.7896766364551109E-2</v>
      </c>
      <c r="N104">
        <f t="shared" si="11"/>
        <v>-6.7896766364551109E-2</v>
      </c>
    </row>
    <row r="105" spans="1:14" x14ac:dyDescent="0.25">
      <c r="A105" s="1">
        <v>45811</v>
      </c>
      <c r="B105">
        <v>5970.37</v>
      </c>
      <c r="C105">
        <v>5970</v>
      </c>
      <c r="D105">
        <v>17</v>
      </c>
      <c r="E105">
        <v>45</v>
      </c>
      <c r="F105">
        <v>14.002000000000001</v>
      </c>
      <c r="G105">
        <v>15.202</v>
      </c>
      <c r="H105">
        <v>4.2743000000000003E-2</v>
      </c>
      <c r="I105">
        <f t="shared" si="6"/>
        <v>0.533090090471256</v>
      </c>
      <c r="J105">
        <f t="shared" si="7"/>
        <v>0.55036131356076456</v>
      </c>
      <c r="K105">
        <f t="shared" si="8"/>
        <v>0.533090090471256</v>
      </c>
      <c r="L105">
        <f t="shared" si="9"/>
        <v>-0.466909909528744</v>
      </c>
      <c r="M105">
        <f t="shared" si="10"/>
        <v>6.618018094251199E-2</v>
      </c>
      <c r="N105">
        <f t="shared" si="11"/>
        <v>-6.618018094251199E-2</v>
      </c>
    </row>
    <row r="106" spans="1:14" x14ac:dyDescent="0.25">
      <c r="A106" s="1">
        <v>45812</v>
      </c>
      <c r="B106">
        <v>5970.81</v>
      </c>
      <c r="C106">
        <v>5970</v>
      </c>
      <c r="D106">
        <v>16</v>
      </c>
      <c r="E106">
        <v>44</v>
      </c>
      <c r="F106">
        <v>14.135999999999999</v>
      </c>
      <c r="G106">
        <v>15.32</v>
      </c>
      <c r="H106">
        <v>4.2687000000000003E-2</v>
      </c>
      <c r="I106">
        <f t="shared" si="6"/>
        <v>0.53291770595090959</v>
      </c>
      <c r="J106">
        <f t="shared" si="7"/>
        <v>0.55008991274777996</v>
      </c>
      <c r="K106">
        <f t="shared" si="8"/>
        <v>0.55008991274777996</v>
      </c>
      <c r="L106">
        <f t="shared" si="9"/>
        <v>-0.44991008725222004</v>
      </c>
      <c r="M106">
        <f t="shared" si="10"/>
        <v>0.10017982549555993</v>
      </c>
      <c r="N106">
        <f t="shared" si="11"/>
        <v>-0.10017982549555993</v>
      </c>
    </row>
    <row r="107" spans="1:14" x14ac:dyDescent="0.25">
      <c r="A107" s="1">
        <v>45813</v>
      </c>
      <c r="B107">
        <v>5939.3</v>
      </c>
      <c r="C107">
        <v>5940</v>
      </c>
      <c r="D107">
        <v>15</v>
      </c>
      <c r="E107">
        <v>43</v>
      </c>
      <c r="F107">
        <v>15.115</v>
      </c>
      <c r="G107">
        <v>15.779</v>
      </c>
      <c r="H107">
        <v>4.2325000000000002E-2</v>
      </c>
      <c r="I107">
        <f t="shared" si="6"/>
        <v>0.52720288105464563</v>
      </c>
      <c r="J107">
        <f t="shared" si="7"/>
        <v>0.54655828840936571</v>
      </c>
      <c r="K107">
        <f t="shared" si="8"/>
        <v>0.54655828840936571</v>
      </c>
      <c r="L107">
        <f t="shared" si="9"/>
        <v>-0.45344171159063429</v>
      </c>
      <c r="M107">
        <f t="shared" si="10"/>
        <v>9.3116576818731422E-2</v>
      </c>
      <c r="N107">
        <f t="shared" si="11"/>
        <v>-9.3116576818731422E-2</v>
      </c>
    </row>
    <row r="108" spans="1:14" x14ac:dyDescent="0.25">
      <c r="A108" s="1">
        <v>45814</v>
      </c>
      <c r="B108">
        <v>6000.36</v>
      </c>
      <c r="C108">
        <v>6000</v>
      </c>
      <c r="D108">
        <v>14</v>
      </c>
      <c r="E108">
        <v>42</v>
      </c>
      <c r="F108">
        <v>12.83</v>
      </c>
      <c r="G108">
        <v>14.313000000000001</v>
      </c>
      <c r="H108">
        <v>4.2192E-2</v>
      </c>
      <c r="I108">
        <f t="shared" si="6"/>
        <v>0.53162550544030585</v>
      </c>
      <c r="J108">
        <f t="shared" si="7"/>
        <v>0.5499387892392793</v>
      </c>
      <c r="K108">
        <f t="shared" si="8"/>
        <v>0.5499387892392793</v>
      </c>
      <c r="L108">
        <f t="shared" si="9"/>
        <v>-0.4500612107607207</v>
      </c>
      <c r="M108">
        <f t="shared" si="10"/>
        <v>9.9877578478558604E-2</v>
      </c>
      <c r="N108">
        <f t="shared" si="11"/>
        <v>-9.9877578478558604E-2</v>
      </c>
    </row>
    <row r="109" spans="1:14" x14ac:dyDescent="0.25">
      <c r="A109" s="1">
        <v>45817</v>
      </c>
      <c r="B109">
        <v>6005.88</v>
      </c>
      <c r="C109">
        <v>6005</v>
      </c>
      <c r="D109">
        <v>11</v>
      </c>
      <c r="E109">
        <v>39</v>
      </c>
      <c r="F109">
        <v>12.896000000000001</v>
      </c>
      <c r="G109">
        <v>14.371</v>
      </c>
      <c r="H109">
        <v>4.2390999999999998E-2</v>
      </c>
      <c r="I109">
        <f t="shared" si="6"/>
        <v>0.52981463696329001</v>
      </c>
      <c r="J109">
        <f t="shared" si="7"/>
        <v>0.54895769050305088</v>
      </c>
      <c r="K109">
        <f t="shared" si="8"/>
        <v>0.54895769050305088</v>
      </c>
      <c r="L109">
        <f t="shared" si="9"/>
        <v>-0.45104230949694912</v>
      </c>
      <c r="M109">
        <f t="shared" si="10"/>
        <v>9.7915381006101754E-2</v>
      </c>
      <c r="N109">
        <f t="shared" si="11"/>
        <v>-9.7915381006101754E-2</v>
      </c>
    </row>
    <row r="110" spans="1:14" x14ac:dyDescent="0.25">
      <c r="A110" s="1">
        <v>45818</v>
      </c>
      <c r="B110">
        <v>6038.81</v>
      </c>
      <c r="C110">
        <v>6040</v>
      </c>
      <c r="D110">
        <v>10</v>
      </c>
      <c r="E110">
        <v>38</v>
      </c>
      <c r="F110">
        <v>12.757999999999999</v>
      </c>
      <c r="G110">
        <v>14.159000000000001</v>
      </c>
      <c r="H110">
        <v>4.2283999999999995E-2</v>
      </c>
      <c r="I110">
        <f t="shared" si="6"/>
        <v>0.52236364489569742</v>
      </c>
      <c r="J110">
        <f t="shared" si="7"/>
        <v>0.54573305579268161</v>
      </c>
      <c r="K110">
        <f t="shared" si="8"/>
        <v>0.54573305579268161</v>
      </c>
      <c r="L110">
        <f t="shared" si="9"/>
        <v>-0.45426694420731839</v>
      </c>
      <c r="M110">
        <f t="shared" si="10"/>
        <v>9.1466111585363219E-2</v>
      </c>
      <c r="N110">
        <f t="shared" si="11"/>
        <v>-9.1466111585363219E-2</v>
      </c>
    </row>
    <row r="111" spans="1:14" x14ac:dyDescent="0.25">
      <c r="A111" s="1">
        <v>45819</v>
      </c>
      <c r="B111">
        <v>6022.24</v>
      </c>
      <c r="C111">
        <v>6020</v>
      </c>
      <c r="D111">
        <v>9</v>
      </c>
      <c r="E111">
        <v>37</v>
      </c>
      <c r="F111">
        <v>13.385</v>
      </c>
      <c r="G111">
        <v>14.561999999999999</v>
      </c>
      <c r="H111">
        <v>4.2407E-2</v>
      </c>
      <c r="I111">
        <f t="shared" si="6"/>
        <v>0.53106979482327199</v>
      </c>
      <c r="J111">
        <f t="shared" si="7"/>
        <v>0.54931277491305885</v>
      </c>
      <c r="K111">
        <f t="shared" si="8"/>
        <v>0.54931277491305885</v>
      </c>
      <c r="L111">
        <f t="shared" si="9"/>
        <v>-0.45068722508694115</v>
      </c>
      <c r="M111">
        <f t="shared" si="10"/>
        <v>9.8625549826117709E-2</v>
      </c>
      <c r="N111">
        <f t="shared" si="11"/>
        <v>-9.8625549826117709E-2</v>
      </c>
    </row>
    <row r="112" spans="1:14" x14ac:dyDescent="0.25">
      <c r="A112" s="1">
        <v>45820</v>
      </c>
      <c r="B112">
        <v>6045.26</v>
      </c>
      <c r="C112">
        <v>6045</v>
      </c>
      <c r="D112">
        <v>8</v>
      </c>
      <c r="E112">
        <v>36</v>
      </c>
      <c r="F112">
        <v>13.401999999999999</v>
      </c>
      <c r="G112">
        <v>14.706</v>
      </c>
      <c r="H112">
        <v>4.1867000000000001E-2</v>
      </c>
      <c r="I112">
        <f t="shared" si="6"/>
        <v>0.52325995836247463</v>
      </c>
      <c r="J112">
        <f t="shared" si="7"/>
        <v>0.54515630071824206</v>
      </c>
      <c r="K112">
        <f t="shared" si="8"/>
        <v>0.54515630071824206</v>
      </c>
      <c r="L112">
        <f t="shared" si="9"/>
        <v>-0.45484369928175794</v>
      </c>
      <c r="M112">
        <f t="shared" si="10"/>
        <v>9.0312601436484119E-2</v>
      </c>
      <c r="N112">
        <f t="shared" si="11"/>
        <v>-9.0312601436484119E-2</v>
      </c>
    </row>
    <row r="113" spans="1:14" x14ac:dyDescent="0.25">
      <c r="A113" s="1">
        <v>45821</v>
      </c>
      <c r="B113">
        <v>5976.97</v>
      </c>
      <c r="C113">
        <v>5975</v>
      </c>
      <c r="D113">
        <v>7</v>
      </c>
      <c r="E113">
        <v>35</v>
      </c>
      <c r="F113">
        <v>18.053999999999998</v>
      </c>
      <c r="G113">
        <v>16.82</v>
      </c>
      <c r="H113">
        <v>4.1809000000000006E-2</v>
      </c>
      <c r="I113">
        <f t="shared" si="6"/>
        <v>0.52302852736276773</v>
      </c>
      <c r="J113">
        <f t="shared" si="7"/>
        <v>0.54353494767662403</v>
      </c>
      <c r="K113">
        <f t="shared" si="8"/>
        <v>0.54353494767662403</v>
      </c>
      <c r="L113">
        <f t="shared" si="9"/>
        <v>-0.45646505232337597</v>
      </c>
      <c r="M113">
        <f t="shared" si="10"/>
        <v>8.706989535324805E-2</v>
      </c>
      <c r="N113">
        <f t="shared" si="11"/>
        <v>-8.706989535324805E-2</v>
      </c>
    </row>
    <row r="114" spans="1:14" x14ac:dyDescent="0.25">
      <c r="A114" s="1">
        <v>45824</v>
      </c>
      <c r="B114">
        <v>6033.11</v>
      </c>
      <c r="C114">
        <v>6035</v>
      </c>
      <c r="D114">
        <v>4</v>
      </c>
      <c r="E114">
        <v>32</v>
      </c>
      <c r="F114">
        <v>13.301</v>
      </c>
      <c r="G114">
        <v>14.846</v>
      </c>
      <c r="H114">
        <v>4.1829999999999999E-2</v>
      </c>
      <c r="I114">
        <f t="shared" si="6"/>
        <v>0.50693693731658018</v>
      </c>
      <c r="J114">
        <f t="shared" si="7"/>
        <v>0.53914525191784901</v>
      </c>
      <c r="K114">
        <f t="shared" si="8"/>
        <v>0.53914525191784901</v>
      </c>
      <c r="L114">
        <f t="shared" si="9"/>
        <v>-0.46085474808215099</v>
      </c>
      <c r="M114">
        <f t="shared" si="10"/>
        <v>7.8290503835698022E-2</v>
      </c>
      <c r="N114">
        <f t="shared" si="11"/>
        <v>-7.8290503835698022E-2</v>
      </c>
    </row>
    <row r="115" spans="1:14" x14ac:dyDescent="0.25">
      <c r="A115" s="1">
        <v>45825</v>
      </c>
      <c r="B115">
        <v>5982.72</v>
      </c>
      <c r="C115">
        <v>5985</v>
      </c>
      <c r="D115">
        <v>3</v>
      </c>
      <c r="E115">
        <v>31</v>
      </c>
      <c r="F115">
        <v>19.561</v>
      </c>
      <c r="G115">
        <v>17.065999999999999</v>
      </c>
      <c r="H115">
        <v>4.1698000000000006E-2</v>
      </c>
      <c r="I115">
        <f t="shared" si="6"/>
        <v>0.50267575578326873</v>
      </c>
      <c r="J115">
        <f t="shared" si="7"/>
        <v>0.5352257510292443</v>
      </c>
      <c r="K115">
        <f t="shared" si="8"/>
        <v>0.5352257510292443</v>
      </c>
      <c r="L115">
        <f t="shared" si="9"/>
        <v>-0.4647742489707557</v>
      </c>
      <c r="M115">
        <f t="shared" si="10"/>
        <v>7.0451502058488602E-2</v>
      </c>
      <c r="N115">
        <f t="shared" si="11"/>
        <v>-7.0451502058488602E-2</v>
      </c>
    </row>
    <row r="116" spans="1:14" x14ac:dyDescent="0.25">
      <c r="A116" s="1">
        <v>45826</v>
      </c>
      <c r="B116">
        <v>5980.87</v>
      </c>
      <c r="C116">
        <v>5980</v>
      </c>
      <c r="D116">
        <v>2</v>
      </c>
      <c r="E116">
        <v>30</v>
      </c>
      <c r="F116">
        <v>16.097000000000001</v>
      </c>
      <c r="G116">
        <v>16.472999999999999</v>
      </c>
      <c r="H116">
        <v>4.1637000000000007E-2</v>
      </c>
      <c r="I116">
        <f t="shared" si="6"/>
        <v>0.51488254650572463</v>
      </c>
      <c r="J116">
        <f t="shared" si="7"/>
        <v>0.5394933623496535</v>
      </c>
      <c r="K116">
        <f t="shared" si="8"/>
        <v>0.5394933623496535</v>
      </c>
      <c r="L116">
        <f t="shared" si="9"/>
        <v>-0.4605066376503465</v>
      </c>
      <c r="M116">
        <f t="shared" si="10"/>
        <v>7.8986724699307009E-2</v>
      </c>
      <c r="N116">
        <f t="shared" si="11"/>
        <v>-7.8986724699307009E-2</v>
      </c>
    </row>
    <row r="117" spans="1:14" x14ac:dyDescent="0.25">
      <c r="A117" s="1">
        <v>45828</v>
      </c>
      <c r="B117">
        <v>5967.84</v>
      </c>
      <c r="C117">
        <v>5970</v>
      </c>
      <c r="D117">
        <v>28</v>
      </c>
      <c r="E117">
        <v>56</v>
      </c>
      <c r="F117">
        <v>16.457000000000001</v>
      </c>
      <c r="G117">
        <v>16.768000000000001</v>
      </c>
      <c r="H117">
        <v>4.1502999999999998E-2</v>
      </c>
      <c r="I117">
        <f t="shared" si="6"/>
        <v>0.53375025081892447</v>
      </c>
      <c r="J117">
        <f t="shared" si="7"/>
        <v>0.54945301561990578</v>
      </c>
      <c r="K117">
        <f t="shared" si="8"/>
        <v>0.53375025081892447</v>
      </c>
      <c r="L117">
        <f t="shared" si="9"/>
        <v>-0.46624974918107553</v>
      </c>
      <c r="M117">
        <f t="shared" si="10"/>
        <v>6.7500501637848931E-2</v>
      </c>
      <c r="N117">
        <f t="shared" si="11"/>
        <v>-6.7500501637848931E-2</v>
      </c>
    </row>
    <row r="118" spans="1:14" x14ac:dyDescent="0.25">
      <c r="A118" s="1">
        <v>45831</v>
      </c>
      <c r="B118">
        <v>6025.17</v>
      </c>
      <c r="C118">
        <v>6025</v>
      </c>
      <c r="D118">
        <v>25</v>
      </c>
      <c r="E118">
        <v>53</v>
      </c>
      <c r="F118">
        <v>14.997</v>
      </c>
      <c r="G118">
        <v>15.675000000000001</v>
      </c>
      <c r="H118">
        <v>4.1166999999999995E-2</v>
      </c>
      <c r="I118">
        <f t="shared" si="6"/>
        <v>0.53672395467035006</v>
      </c>
      <c r="J118">
        <f t="shared" si="7"/>
        <v>0.551880779902712</v>
      </c>
      <c r="K118">
        <f t="shared" si="8"/>
        <v>0.53672395467035006</v>
      </c>
      <c r="L118">
        <f t="shared" si="9"/>
        <v>-0.46327604532964994</v>
      </c>
      <c r="M118">
        <f t="shared" si="10"/>
        <v>7.3447909340700113E-2</v>
      </c>
      <c r="N118">
        <f t="shared" si="11"/>
        <v>-7.3447909340700113E-2</v>
      </c>
    </row>
    <row r="119" spans="1:14" x14ac:dyDescent="0.25">
      <c r="A119" s="1">
        <v>45832</v>
      </c>
      <c r="B119">
        <v>6092.18</v>
      </c>
      <c r="C119">
        <v>6090</v>
      </c>
      <c r="D119">
        <v>24</v>
      </c>
      <c r="E119">
        <v>52</v>
      </c>
      <c r="F119">
        <v>13.545999999999999</v>
      </c>
      <c r="G119">
        <v>14.363</v>
      </c>
      <c r="H119">
        <v>4.1035000000000002E-2</v>
      </c>
      <c r="I119">
        <f t="shared" si="6"/>
        <v>0.54195098688314136</v>
      </c>
      <c r="J119">
        <f t="shared" si="7"/>
        <v>0.5562800076130292</v>
      </c>
      <c r="K119">
        <f t="shared" si="8"/>
        <v>0.54195098688314136</v>
      </c>
      <c r="L119">
        <f t="shared" si="9"/>
        <v>-0.45804901311685864</v>
      </c>
      <c r="M119">
        <f t="shared" si="10"/>
        <v>8.3901973766282723E-2</v>
      </c>
      <c r="N119">
        <f t="shared" si="11"/>
        <v>-8.3901973766282723E-2</v>
      </c>
    </row>
    <row r="120" spans="1:14" x14ac:dyDescent="0.25">
      <c r="A120" s="1">
        <v>45833</v>
      </c>
      <c r="B120">
        <v>6092.16</v>
      </c>
      <c r="C120">
        <v>6090</v>
      </c>
      <c r="D120">
        <v>23</v>
      </c>
      <c r="E120">
        <v>51</v>
      </c>
      <c r="F120">
        <v>13.243</v>
      </c>
      <c r="G120">
        <v>14.186999999999999</v>
      </c>
      <c r="H120">
        <v>4.1055000000000001E-2</v>
      </c>
      <c r="I120">
        <f t="shared" si="6"/>
        <v>0.54185574976613893</v>
      </c>
      <c r="J120">
        <f t="shared" si="7"/>
        <v>0.55621285963803202</v>
      </c>
      <c r="K120">
        <f t="shared" si="8"/>
        <v>0.54185574976613893</v>
      </c>
      <c r="L120">
        <f t="shared" si="9"/>
        <v>-0.45814425023386107</v>
      </c>
      <c r="M120">
        <f t="shared" si="10"/>
        <v>8.3711499532277855E-2</v>
      </c>
      <c r="N120">
        <f t="shared" si="11"/>
        <v>-8.3711499532277855E-2</v>
      </c>
    </row>
    <row r="121" spans="1:14" x14ac:dyDescent="0.25">
      <c r="A121" s="1">
        <v>45834</v>
      </c>
      <c r="B121">
        <v>6141.02</v>
      </c>
      <c r="C121">
        <v>6140</v>
      </c>
      <c r="D121">
        <v>22</v>
      </c>
      <c r="E121">
        <v>50</v>
      </c>
      <c r="F121">
        <v>12.952</v>
      </c>
      <c r="G121">
        <v>13.986000000000001</v>
      </c>
      <c r="H121">
        <v>4.0898000000000004E-2</v>
      </c>
      <c r="I121">
        <f t="shared" si="6"/>
        <v>0.53929028132063239</v>
      </c>
      <c r="J121">
        <f t="shared" si="7"/>
        <v>0.55461149330042248</v>
      </c>
      <c r="K121">
        <f t="shared" si="8"/>
        <v>0.53929028132063239</v>
      </c>
      <c r="L121">
        <f t="shared" si="9"/>
        <v>-0.46070971867936761</v>
      </c>
      <c r="M121">
        <f t="shared" si="10"/>
        <v>7.8580562641264784E-2</v>
      </c>
      <c r="N121">
        <f t="shared" si="11"/>
        <v>-7.8580562641264784E-2</v>
      </c>
    </row>
    <row r="122" spans="1:14" x14ac:dyDescent="0.25">
      <c r="A122" s="1">
        <v>45835</v>
      </c>
      <c r="B122">
        <v>6173.07</v>
      </c>
      <c r="C122">
        <v>6175</v>
      </c>
      <c r="D122">
        <v>21</v>
      </c>
      <c r="E122">
        <v>49</v>
      </c>
      <c r="F122">
        <v>12.712</v>
      </c>
      <c r="G122">
        <v>13.99</v>
      </c>
      <c r="H122">
        <v>4.1272999999999997E-2</v>
      </c>
      <c r="I122">
        <f t="shared" si="6"/>
        <v>0.53302323543686392</v>
      </c>
      <c r="J122">
        <f t="shared" si="7"/>
        <v>0.55077696795173126</v>
      </c>
      <c r="K122">
        <f t="shared" si="8"/>
        <v>0.53302323543686392</v>
      </c>
      <c r="L122">
        <f t="shared" si="9"/>
        <v>-0.46697676456313608</v>
      </c>
      <c r="M122">
        <f t="shared" si="10"/>
        <v>6.6046470873727836E-2</v>
      </c>
      <c r="N122">
        <f t="shared" si="11"/>
        <v>-6.6046470873727836E-2</v>
      </c>
    </row>
    <row r="123" spans="1:14" x14ac:dyDescent="0.25">
      <c r="A123" s="1">
        <v>45838</v>
      </c>
      <c r="B123">
        <v>6204.95</v>
      </c>
      <c r="C123">
        <v>6205</v>
      </c>
      <c r="D123">
        <v>18</v>
      </c>
      <c r="E123">
        <v>46</v>
      </c>
      <c r="F123">
        <v>12.536</v>
      </c>
      <c r="G123">
        <v>13.787000000000001</v>
      </c>
      <c r="H123">
        <v>4.2084999999999997E-2</v>
      </c>
      <c r="I123">
        <f t="shared" si="6"/>
        <v>0.53513386751223191</v>
      </c>
      <c r="J123">
        <f t="shared" si="7"/>
        <v>0.55277391105949369</v>
      </c>
      <c r="K123">
        <f t="shared" si="8"/>
        <v>0.53513386751223191</v>
      </c>
      <c r="L123">
        <f t="shared" si="9"/>
        <v>-0.46486613248776809</v>
      </c>
      <c r="M123">
        <f t="shared" si="10"/>
        <v>7.0267735024463818E-2</v>
      </c>
      <c r="N123">
        <f t="shared" si="11"/>
        <v>-7.0267735024463818E-2</v>
      </c>
    </row>
    <row r="124" spans="1:14" x14ac:dyDescent="0.25">
      <c r="A124" s="1">
        <v>45839</v>
      </c>
      <c r="B124">
        <v>6198.01</v>
      </c>
      <c r="C124">
        <v>6200</v>
      </c>
      <c r="D124">
        <v>17</v>
      </c>
      <c r="E124">
        <v>45</v>
      </c>
      <c r="F124">
        <v>12.8</v>
      </c>
      <c r="G124">
        <v>14.006</v>
      </c>
      <c r="H124">
        <v>4.2539E-2</v>
      </c>
      <c r="I124">
        <f t="shared" si="6"/>
        <v>0.52946041003693889</v>
      </c>
      <c r="J124">
        <f t="shared" si="7"/>
        <v>0.54962132144459042</v>
      </c>
      <c r="K124">
        <f t="shared" si="8"/>
        <v>0.52946041003693889</v>
      </c>
      <c r="L124">
        <f t="shared" si="9"/>
        <v>-0.47053958996306111</v>
      </c>
      <c r="M124">
        <f t="shared" si="10"/>
        <v>5.8920820073877778E-2</v>
      </c>
      <c r="N124">
        <f t="shared" si="11"/>
        <v>-5.8920820073877778E-2</v>
      </c>
    </row>
    <row r="125" spans="1:14" x14ac:dyDescent="0.25">
      <c r="A125" s="1">
        <v>45840</v>
      </c>
      <c r="B125">
        <v>6227.42</v>
      </c>
      <c r="C125">
        <v>6225</v>
      </c>
      <c r="D125">
        <v>16</v>
      </c>
      <c r="E125">
        <v>44</v>
      </c>
      <c r="F125">
        <v>12.554</v>
      </c>
      <c r="G125">
        <v>13.912000000000001</v>
      </c>
      <c r="H125">
        <v>4.2126000000000004E-2</v>
      </c>
      <c r="I125">
        <f t="shared" si="6"/>
        <v>0.53910745530370519</v>
      </c>
      <c r="J125">
        <f t="shared" si="7"/>
        <v>0.55461556868410056</v>
      </c>
      <c r="K125">
        <f t="shared" si="8"/>
        <v>0.55461556868410056</v>
      </c>
      <c r="L125">
        <f t="shared" si="9"/>
        <v>-0.44538443131589944</v>
      </c>
      <c r="M125">
        <f t="shared" si="10"/>
        <v>0.10923113736820111</v>
      </c>
      <c r="N125">
        <f t="shared" si="11"/>
        <v>-0.10923113736820111</v>
      </c>
    </row>
    <row r="126" spans="1:14" x14ac:dyDescent="0.25">
      <c r="A126" s="1">
        <v>45841</v>
      </c>
      <c r="B126">
        <v>6279.35</v>
      </c>
      <c r="C126">
        <v>6280</v>
      </c>
      <c r="D126">
        <v>15</v>
      </c>
      <c r="E126">
        <v>43</v>
      </c>
      <c r="F126">
        <v>12.342000000000001</v>
      </c>
      <c r="G126">
        <v>13.765000000000001</v>
      </c>
      <c r="H126">
        <v>4.2182999999999998E-2</v>
      </c>
      <c r="I126">
        <f t="shared" si="6"/>
        <v>0.53095065089201077</v>
      </c>
      <c r="J126">
        <f t="shared" si="7"/>
        <v>0.55037781037229794</v>
      </c>
      <c r="K126">
        <f t="shared" si="8"/>
        <v>0.55037781037229794</v>
      </c>
      <c r="L126">
        <f t="shared" si="9"/>
        <v>-0.44962218962770206</v>
      </c>
      <c r="M126">
        <f t="shared" si="10"/>
        <v>0.10075562074459588</v>
      </c>
      <c r="N126">
        <f t="shared" si="11"/>
        <v>-0.10075562074459588</v>
      </c>
    </row>
    <row r="127" spans="1:14" x14ac:dyDescent="0.25">
      <c r="A127" s="1">
        <v>45845</v>
      </c>
      <c r="B127">
        <v>6229.98</v>
      </c>
      <c r="C127">
        <v>6230</v>
      </c>
      <c r="D127">
        <v>11</v>
      </c>
      <c r="E127">
        <v>39</v>
      </c>
      <c r="F127">
        <v>12.625999999999999</v>
      </c>
      <c r="G127">
        <v>14.291</v>
      </c>
      <c r="H127">
        <v>4.3055000000000003E-2</v>
      </c>
      <c r="I127">
        <f t="shared" si="6"/>
        <v>0.5279075491677061</v>
      </c>
      <c r="J127">
        <f t="shared" si="7"/>
        <v>0.54845865468058852</v>
      </c>
      <c r="K127">
        <f t="shared" si="8"/>
        <v>0.54845865468058852</v>
      </c>
      <c r="L127">
        <f t="shared" si="9"/>
        <v>-0.45154134531941148</v>
      </c>
      <c r="M127">
        <f t="shared" si="10"/>
        <v>9.691730936117704E-2</v>
      </c>
      <c r="N127">
        <f t="shared" si="11"/>
        <v>-9.691730936117704E-2</v>
      </c>
    </row>
    <row r="128" spans="1:14" x14ac:dyDescent="0.25">
      <c r="A128" s="1">
        <v>45846</v>
      </c>
      <c r="B128">
        <v>6225.52</v>
      </c>
      <c r="C128">
        <v>6225</v>
      </c>
      <c r="D128">
        <v>10</v>
      </c>
      <c r="E128">
        <v>38</v>
      </c>
      <c r="F128">
        <v>11.27</v>
      </c>
      <c r="G128">
        <v>13.708</v>
      </c>
      <c r="H128">
        <v>4.2896000000000004E-2</v>
      </c>
      <c r="I128">
        <f t="shared" si="6"/>
        <v>0.53061098643767268</v>
      </c>
      <c r="J128">
        <f t="shared" si="7"/>
        <v>0.5497274073966123</v>
      </c>
      <c r="K128">
        <f t="shared" si="8"/>
        <v>0.5497274073966123</v>
      </c>
      <c r="L128">
        <f t="shared" si="9"/>
        <v>-0.4502725926033877</v>
      </c>
      <c r="M128">
        <f t="shared" si="10"/>
        <v>9.94548147932246E-2</v>
      </c>
      <c r="N128">
        <f t="shared" si="11"/>
        <v>-9.94548147932246E-2</v>
      </c>
    </row>
    <row r="129" spans="1:14" x14ac:dyDescent="0.25">
      <c r="A129" s="1">
        <v>45847</v>
      </c>
      <c r="B129">
        <v>6263.26</v>
      </c>
      <c r="C129">
        <v>6265</v>
      </c>
      <c r="D129">
        <v>9</v>
      </c>
      <c r="E129">
        <v>37</v>
      </c>
      <c r="F129">
        <v>10.379</v>
      </c>
      <c r="G129">
        <v>12.989000000000001</v>
      </c>
      <c r="H129">
        <v>4.2942000000000001E-2</v>
      </c>
      <c r="I129">
        <f t="shared" si="6"/>
        <v>0.5223584767679581</v>
      </c>
      <c r="J129">
        <f t="shared" si="7"/>
        <v>0.54744958229820262</v>
      </c>
      <c r="K129">
        <f t="shared" si="8"/>
        <v>0.54744958229820262</v>
      </c>
      <c r="L129">
        <f t="shared" si="9"/>
        <v>-0.45255041770179738</v>
      </c>
      <c r="M129">
        <f t="shared" si="10"/>
        <v>9.4899164596405239E-2</v>
      </c>
      <c r="N129">
        <f t="shared" si="11"/>
        <v>-9.4899164596405239E-2</v>
      </c>
    </row>
    <row r="130" spans="1:14" x14ac:dyDescent="0.25">
      <c r="A130" s="1">
        <v>45848</v>
      </c>
      <c r="B130">
        <v>6280.46</v>
      </c>
      <c r="C130">
        <v>6280</v>
      </c>
      <c r="D130">
        <v>8</v>
      </c>
      <c r="E130">
        <v>36</v>
      </c>
      <c r="F130">
        <v>10.113</v>
      </c>
      <c r="G130">
        <v>12.769</v>
      </c>
      <c r="H130">
        <v>4.2987999999999998E-2</v>
      </c>
      <c r="I130">
        <f t="shared" si="6"/>
        <v>0.53001570531569642</v>
      </c>
      <c r="J130">
        <f t="shared" si="7"/>
        <v>0.55076982981330702</v>
      </c>
      <c r="K130">
        <f t="shared" si="8"/>
        <v>0.55076982981330702</v>
      </c>
      <c r="L130">
        <f t="shared" si="9"/>
        <v>-0.44923017018669298</v>
      </c>
      <c r="M130">
        <f t="shared" si="10"/>
        <v>0.10153965962661404</v>
      </c>
      <c r="N130">
        <f t="shared" si="11"/>
        <v>-0.10153965962661404</v>
      </c>
    </row>
    <row r="131" spans="1:14" x14ac:dyDescent="0.25">
      <c r="A131" s="1">
        <v>45849</v>
      </c>
      <c r="B131">
        <v>6259.75</v>
      </c>
      <c r="C131">
        <v>6260</v>
      </c>
      <c r="D131">
        <v>7</v>
      </c>
      <c r="E131">
        <v>35</v>
      </c>
      <c r="F131">
        <v>10.804</v>
      </c>
      <c r="G131">
        <v>13.271000000000001</v>
      </c>
      <c r="H131">
        <v>4.2907000000000001E-2</v>
      </c>
      <c r="I131">
        <f t="shared" ref="I131:I194" si="12">_xlfn.NORM.S.DIST((LN(B131/C131)+(H131+0.5*(F131/100)^2)*(D131/365))/((F131/100)*SQRT(D131/365)),TRUE)</f>
        <v>0.52384637092478203</v>
      </c>
      <c r="J131">
        <f t="shared" ref="J131:J194" si="13">_xlfn.NORM.S.DIST((LN(B131/C131)+(H131+0.5*(G131/100)^2)*(E131/365))/((G131/100)*SQRT(E131/365)),TRUE)</f>
        <v>0.54763713437962469</v>
      </c>
      <c r="K131">
        <f t="shared" ref="K131:K194" si="14">IF(ABS(D131-30)&lt;ABS(E131-30), I131, J131)</f>
        <v>0.54763713437962469</v>
      </c>
      <c r="L131">
        <f t="shared" ref="L131:L194" si="15">K131-1</f>
        <v>-0.45236286562037531</v>
      </c>
      <c r="M131">
        <f t="shared" ref="M131:M194" si="16">K131+L131</f>
        <v>9.5274268759249381E-2</v>
      </c>
      <c r="N131">
        <f t="shared" ref="N131:N194" si="17">-M131</f>
        <v>-9.5274268759249381E-2</v>
      </c>
    </row>
    <row r="132" spans="1:14" x14ac:dyDescent="0.25">
      <c r="A132" s="1">
        <v>45852</v>
      </c>
      <c r="B132">
        <v>6268.56</v>
      </c>
      <c r="C132">
        <v>6270</v>
      </c>
      <c r="D132">
        <v>4</v>
      </c>
      <c r="E132">
        <v>32</v>
      </c>
      <c r="F132">
        <v>10.587999999999999</v>
      </c>
      <c r="G132">
        <v>13.45</v>
      </c>
      <c r="H132">
        <v>4.3055000000000003E-2</v>
      </c>
      <c r="I132">
        <f t="shared" si="12"/>
        <v>0.51092496237238794</v>
      </c>
      <c r="J132">
        <f t="shared" si="13"/>
        <v>0.5433700269247197</v>
      </c>
      <c r="K132">
        <f t="shared" si="14"/>
        <v>0.5433700269247197</v>
      </c>
      <c r="L132">
        <f t="shared" si="15"/>
        <v>-0.4566299730752803</v>
      </c>
      <c r="M132">
        <f t="shared" si="16"/>
        <v>8.6740053849439391E-2</v>
      </c>
      <c r="N132">
        <f t="shared" si="17"/>
        <v>-8.6740053849439391E-2</v>
      </c>
    </row>
    <row r="133" spans="1:14" x14ac:dyDescent="0.25">
      <c r="A133" s="1">
        <v>45853</v>
      </c>
      <c r="B133">
        <v>6243.76</v>
      </c>
      <c r="C133">
        <v>6245</v>
      </c>
      <c r="D133">
        <v>3</v>
      </c>
      <c r="E133">
        <v>31</v>
      </c>
      <c r="F133">
        <v>11.239000000000001</v>
      </c>
      <c r="G133">
        <v>13.859</v>
      </c>
      <c r="H133">
        <v>4.2998000000000001E-2</v>
      </c>
      <c r="I133">
        <f t="shared" si="12"/>
        <v>0.50809399389068477</v>
      </c>
      <c r="J133">
        <f t="shared" si="13"/>
        <v>0.54208789680062663</v>
      </c>
      <c r="K133">
        <f t="shared" si="14"/>
        <v>0.54208789680062663</v>
      </c>
      <c r="L133">
        <f t="shared" si="15"/>
        <v>-0.45791210319937337</v>
      </c>
      <c r="M133">
        <f t="shared" si="16"/>
        <v>8.4175793601253268E-2</v>
      </c>
      <c r="N133">
        <f t="shared" si="17"/>
        <v>-8.4175793601253268E-2</v>
      </c>
    </row>
    <row r="134" spans="1:14" x14ac:dyDescent="0.25">
      <c r="A134" s="1">
        <v>45854</v>
      </c>
      <c r="B134">
        <v>6263.7</v>
      </c>
      <c r="C134">
        <v>6265</v>
      </c>
      <c r="D134">
        <v>2</v>
      </c>
      <c r="E134">
        <v>30</v>
      </c>
      <c r="F134">
        <v>9.6519999999999992</v>
      </c>
      <c r="G134">
        <v>13.568</v>
      </c>
      <c r="H134">
        <v>4.2967999999999999E-2</v>
      </c>
      <c r="I134">
        <f t="shared" si="12"/>
        <v>0.50298398068798544</v>
      </c>
      <c r="J134">
        <f t="shared" si="13"/>
        <v>0.54177449728317439</v>
      </c>
      <c r="K134">
        <f t="shared" si="14"/>
        <v>0.54177449728317439</v>
      </c>
      <c r="L134">
        <f t="shared" si="15"/>
        <v>-0.45822550271682561</v>
      </c>
      <c r="M134">
        <f t="shared" si="16"/>
        <v>8.3548994566348789E-2</v>
      </c>
      <c r="N134">
        <f t="shared" si="17"/>
        <v>-8.3548994566348789E-2</v>
      </c>
    </row>
    <row r="135" spans="1:14" x14ac:dyDescent="0.25">
      <c r="A135" s="1">
        <v>45855</v>
      </c>
      <c r="B135">
        <v>6297.36</v>
      </c>
      <c r="C135">
        <v>6295</v>
      </c>
      <c r="D135">
        <v>1</v>
      </c>
      <c r="E135">
        <v>29</v>
      </c>
      <c r="F135">
        <v>8.66</v>
      </c>
      <c r="G135">
        <v>13.019</v>
      </c>
      <c r="H135">
        <v>4.2937000000000003E-2</v>
      </c>
      <c r="I135">
        <f t="shared" si="12"/>
        <v>0.54415622265470387</v>
      </c>
      <c r="J135">
        <f t="shared" si="13"/>
        <v>0.54836237074755934</v>
      </c>
      <c r="K135">
        <f t="shared" si="14"/>
        <v>0.54836237074755934</v>
      </c>
      <c r="L135">
        <f t="shared" si="15"/>
        <v>-0.45163762925244066</v>
      </c>
      <c r="M135">
        <f t="shared" si="16"/>
        <v>9.6724741495118671E-2</v>
      </c>
      <c r="N135">
        <f t="shared" si="17"/>
        <v>-9.6724741495118671E-2</v>
      </c>
    </row>
    <row r="136" spans="1:14" x14ac:dyDescent="0.25">
      <c r="A136" s="1">
        <v>45856</v>
      </c>
      <c r="B136">
        <v>6296.79</v>
      </c>
      <c r="C136">
        <v>6295</v>
      </c>
      <c r="D136">
        <v>28</v>
      </c>
      <c r="E136">
        <v>63</v>
      </c>
      <c r="F136">
        <v>12.974</v>
      </c>
      <c r="G136">
        <v>14.173</v>
      </c>
      <c r="H136">
        <v>4.2804000000000002E-2</v>
      </c>
      <c r="I136">
        <f t="shared" si="12"/>
        <v>0.54667195218287001</v>
      </c>
      <c r="J136">
        <f t="shared" si="13"/>
        <v>0.56345767122075974</v>
      </c>
      <c r="K136">
        <f t="shared" si="14"/>
        <v>0.54667195218287001</v>
      </c>
      <c r="L136">
        <f t="shared" si="15"/>
        <v>-0.45332804781712999</v>
      </c>
      <c r="M136">
        <f t="shared" si="16"/>
        <v>9.3343904365740027E-2</v>
      </c>
      <c r="N136">
        <f t="shared" si="17"/>
        <v>-9.3343904365740027E-2</v>
      </c>
    </row>
    <row r="137" spans="1:14" x14ac:dyDescent="0.25">
      <c r="A137" s="1">
        <v>45859</v>
      </c>
      <c r="B137">
        <v>6305.6</v>
      </c>
      <c r="C137">
        <v>6305</v>
      </c>
      <c r="D137">
        <v>25</v>
      </c>
      <c r="E137">
        <v>60</v>
      </c>
      <c r="F137">
        <v>12.677</v>
      </c>
      <c r="G137">
        <v>13.920999999999999</v>
      </c>
      <c r="H137">
        <v>4.2952999999999998E-2</v>
      </c>
      <c r="I137">
        <f t="shared" si="12"/>
        <v>0.54305437323770978</v>
      </c>
      <c r="J137">
        <f t="shared" si="13"/>
        <v>0.56159143860025873</v>
      </c>
      <c r="K137">
        <f t="shared" si="14"/>
        <v>0.54305437323770978</v>
      </c>
      <c r="L137">
        <f t="shared" si="15"/>
        <v>-0.45694562676229022</v>
      </c>
      <c r="M137">
        <f t="shared" si="16"/>
        <v>8.6108746475419551E-2</v>
      </c>
      <c r="N137">
        <f t="shared" si="17"/>
        <v>-8.6108746475419551E-2</v>
      </c>
    </row>
    <row r="138" spans="1:14" x14ac:dyDescent="0.25">
      <c r="A138" s="1">
        <v>45860</v>
      </c>
      <c r="B138">
        <v>6309.62</v>
      </c>
      <c r="C138">
        <v>6310</v>
      </c>
      <c r="D138">
        <v>24</v>
      </c>
      <c r="E138">
        <v>59</v>
      </c>
      <c r="F138">
        <v>12.612</v>
      </c>
      <c r="G138">
        <v>13.773</v>
      </c>
      <c r="H138">
        <v>4.2870999999999999E-2</v>
      </c>
      <c r="I138">
        <f t="shared" si="12"/>
        <v>0.54041221333185807</v>
      </c>
      <c r="J138">
        <f t="shared" si="13"/>
        <v>0.56030592681336566</v>
      </c>
      <c r="K138">
        <f t="shared" si="14"/>
        <v>0.54041221333185807</v>
      </c>
      <c r="L138">
        <f t="shared" si="15"/>
        <v>-0.45958778666814193</v>
      </c>
      <c r="M138">
        <f t="shared" si="16"/>
        <v>8.0824426663716142E-2</v>
      </c>
      <c r="N138">
        <f t="shared" si="17"/>
        <v>-8.0824426663716142E-2</v>
      </c>
    </row>
    <row r="139" spans="1:14" x14ac:dyDescent="0.25">
      <c r="A139" s="1">
        <v>45861</v>
      </c>
      <c r="B139">
        <v>6358.91</v>
      </c>
      <c r="C139">
        <v>6360</v>
      </c>
      <c r="D139">
        <v>23</v>
      </c>
      <c r="E139">
        <v>58</v>
      </c>
      <c r="F139">
        <v>11.805999999999999</v>
      </c>
      <c r="G139">
        <v>13.111000000000001</v>
      </c>
      <c r="H139">
        <v>4.2815000000000006E-2</v>
      </c>
      <c r="I139">
        <f t="shared" si="12"/>
        <v>0.53985564579505063</v>
      </c>
      <c r="J139">
        <f t="shared" si="13"/>
        <v>0.56081174911773546</v>
      </c>
      <c r="K139">
        <f t="shared" si="14"/>
        <v>0.53985564579505063</v>
      </c>
      <c r="L139">
        <f t="shared" si="15"/>
        <v>-0.46014435420494937</v>
      </c>
      <c r="M139">
        <f t="shared" si="16"/>
        <v>7.9711291590101263E-2</v>
      </c>
      <c r="N139">
        <f t="shared" si="17"/>
        <v>-7.9711291590101263E-2</v>
      </c>
    </row>
    <row r="140" spans="1:14" x14ac:dyDescent="0.25">
      <c r="A140" s="1">
        <v>45862</v>
      </c>
      <c r="B140">
        <v>6363.35</v>
      </c>
      <c r="C140">
        <v>6365</v>
      </c>
      <c r="D140">
        <v>22</v>
      </c>
      <c r="E140">
        <v>57</v>
      </c>
      <c r="F140">
        <v>11.712</v>
      </c>
      <c r="G140">
        <v>13.042999999999999</v>
      </c>
      <c r="H140">
        <v>4.2834999999999998E-2</v>
      </c>
      <c r="I140">
        <f t="shared" si="12"/>
        <v>0.5379026428075343</v>
      </c>
      <c r="J140">
        <f t="shared" si="13"/>
        <v>0.55982388340855538</v>
      </c>
      <c r="K140">
        <f t="shared" si="14"/>
        <v>0.5379026428075343</v>
      </c>
      <c r="L140">
        <f t="shared" si="15"/>
        <v>-0.4620973571924657</v>
      </c>
      <c r="M140">
        <f t="shared" si="16"/>
        <v>7.5805285615068607E-2</v>
      </c>
      <c r="N140">
        <f t="shared" si="17"/>
        <v>-7.5805285615068607E-2</v>
      </c>
    </row>
    <row r="141" spans="1:14" x14ac:dyDescent="0.25">
      <c r="A141" s="1">
        <v>45863</v>
      </c>
      <c r="B141">
        <v>6388.64</v>
      </c>
      <c r="C141">
        <v>6390</v>
      </c>
      <c r="D141">
        <v>21</v>
      </c>
      <c r="E141">
        <v>56</v>
      </c>
      <c r="F141">
        <v>11.173999999999999</v>
      </c>
      <c r="G141">
        <v>12.731999999999999</v>
      </c>
      <c r="H141">
        <v>4.3110999999999997E-2</v>
      </c>
      <c r="I141">
        <f t="shared" si="12"/>
        <v>0.5390347531169698</v>
      </c>
      <c r="J141">
        <f t="shared" si="13"/>
        <v>0.56091768812475828</v>
      </c>
      <c r="K141">
        <f t="shared" si="14"/>
        <v>0.5390347531169698</v>
      </c>
      <c r="L141">
        <f t="shared" si="15"/>
        <v>-0.4609652468830302</v>
      </c>
      <c r="M141">
        <f t="shared" si="16"/>
        <v>7.8069506233939601E-2</v>
      </c>
      <c r="N141">
        <f t="shared" si="17"/>
        <v>-7.8069506233939601E-2</v>
      </c>
    </row>
    <row r="142" spans="1:14" x14ac:dyDescent="0.25">
      <c r="A142" s="1">
        <v>45866</v>
      </c>
      <c r="B142">
        <v>6389.77</v>
      </c>
      <c r="C142">
        <v>6390</v>
      </c>
      <c r="D142">
        <v>18</v>
      </c>
      <c r="E142">
        <v>53</v>
      </c>
      <c r="F142">
        <v>10.648999999999999</v>
      </c>
      <c r="G142">
        <v>12.38</v>
      </c>
      <c r="H142">
        <v>4.3258999999999999E-2</v>
      </c>
      <c r="I142">
        <f t="shared" si="12"/>
        <v>0.54003131731689535</v>
      </c>
      <c r="J142">
        <f t="shared" si="13"/>
        <v>0.56197419047774155</v>
      </c>
      <c r="K142">
        <f t="shared" si="14"/>
        <v>0.54003131731689535</v>
      </c>
      <c r="L142">
        <f t="shared" si="15"/>
        <v>-0.45996868268310465</v>
      </c>
      <c r="M142">
        <f t="shared" si="16"/>
        <v>8.0062634633790708E-2</v>
      </c>
      <c r="N142">
        <f t="shared" si="17"/>
        <v>-8.0062634633790708E-2</v>
      </c>
    </row>
    <row r="143" spans="1:14" x14ac:dyDescent="0.25">
      <c r="A143" s="1">
        <v>45867</v>
      </c>
      <c r="B143">
        <v>6370.86</v>
      </c>
      <c r="C143">
        <v>6370</v>
      </c>
      <c r="D143">
        <v>17</v>
      </c>
      <c r="E143">
        <v>52</v>
      </c>
      <c r="F143">
        <v>11.442</v>
      </c>
      <c r="G143">
        <v>12.994</v>
      </c>
      <c r="H143">
        <v>4.3254000000000001E-2</v>
      </c>
      <c r="I143">
        <f t="shared" si="12"/>
        <v>0.53958854208024842</v>
      </c>
      <c r="J143">
        <f t="shared" si="13"/>
        <v>0.56076865565850964</v>
      </c>
      <c r="K143">
        <f t="shared" si="14"/>
        <v>0.53958854208024842</v>
      </c>
      <c r="L143">
        <f t="shared" si="15"/>
        <v>-0.46041145791975158</v>
      </c>
      <c r="M143">
        <f t="shared" si="16"/>
        <v>7.9177084160496847E-2</v>
      </c>
      <c r="N143">
        <f t="shared" si="17"/>
        <v>-7.9177084160496847E-2</v>
      </c>
    </row>
    <row r="144" spans="1:14" x14ac:dyDescent="0.25">
      <c r="A144" s="1">
        <v>45868</v>
      </c>
      <c r="B144">
        <v>6362.9</v>
      </c>
      <c r="C144">
        <v>6365</v>
      </c>
      <c r="D144">
        <v>16</v>
      </c>
      <c r="E144">
        <v>51</v>
      </c>
      <c r="F144">
        <v>11.227</v>
      </c>
      <c r="G144">
        <v>12.928000000000001</v>
      </c>
      <c r="H144">
        <v>4.3400999999999995E-2</v>
      </c>
      <c r="I144">
        <f t="shared" si="12"/>
        <v>0.53134532584218852</v>
      </c>
      <c r="J144">
        <f t="shared" si="13"/>
        <v>0.5567851489293818</v>
      </c>
      <c r="K144">
        <f t="shared" si="14"/>
        <v>0.53134532584218852</v>
      </c>
      <c r="L144">
        <f t="shared" si="15"/>
        <v>-0.46865467415781148</v>
      </c>
      <c r="M144">
        <f t="shared" si="16"/>
        <v>6.2690651684377041E-2</v>
      </c>
      <c r="N144">
        <f t="shared" si="17"/>
        <v>-6.2690651684377041E-2</v>
      </c>
    </row>
    <row r="145" spans="1:14" x14ac:dyDescent="0.25">
      <c r="A145" s="1">
        <v>45869</v>
      </c>
      <c r="B145">
        <v>6339.39</v>
      </c>
      <c r="C145">
        <v>6340</v>
      </c>
      <c r="D145">
        <v>15</v>
      </c>
      <c r="E145">
        <v>50</v>
      </c>
      <c r="F145">
        <v>12.288</v>
      </c>
      <c r="G145">
        <v>13.404</v>
      </c>
      <c r="H145">
        <v>4.3548999999999997E-2</v>
      </c>
      <c r="I145">
        <f t="shared" si="12"/>
        <v>0.53205535601259346</v>
      </c>
      <c r="J145">
        <f t="shared" si="13"/>
        <v>0.5569003048987764</v>
      </c>
      <c r="K145">
        <f t="shared" si="14"/>
        <v>0.53205535601259346</v>
      </c>
      <c r="L145">
        <f t="shared" si="15"/>
        <v>-0.46794464398740654</v>
      </c>
      <c r="M145">
        <f t="shared" si="16"/>
        <v>6.4110712025186922E-2</v>
      </c>
      <c r="N145">
        <f t="shared" si="17"/>
        <v>-6.4110712025186922E-2</v>
      </c>
    </row>
    <row r="146" spans="1:14" x14ac:dyDescent="0.25">
      <c r="A146" s="1">
        <v>45870</v>
      </c>
      <c r="B146">
        <v>6238.01</v>
      </c>
      <c r="C146">
        <v>6240</v>
      </c>
      <c r="D146">
        <v>14</v>
      </c>
      <c r="E146">
        <v>49</v>
      </c>
      <c r="F146">
        <v>15.935</v>
      </c>
      <c r="G146">
        <v>15.759</v>
      </c>
      <c r="H146">
        <v>4.3238000000000006E-2</v>
      </c>
      <c r="I146">
        <f t="shared" si="12"/>
        <v>0.52333473510140727</v>
      </c>
      <c r="J146">
        <f t="shared" si="13"/>
        <v>0.54929269090988075</v>
      </c>
      <c r="K146">
        <f t="shared" si="14"/>
        <v>0.52333473510140727</v>
      </c>
      <c r="L146">
        <f t="shared" si="15"/>
        <v>-0.47666526489859273</v>
      </c>
      <c r="M146">
        <f t="shared" si="16"/>
        <v>4.6669470202814534E-2</v>
      </c>
      <c r="N146">
        <f t="shared" si="17"/>
        <v>-4.6669470202814534E-2</v>
      </c>
    </row>
    <row r="147" spans="1:14" x14ac:dyDescent="0.25">
      <c r="A147" s="1">
        <v>45873</v>
      </c>
      <c r="B147">
        <v>6329.94</v>
      </c>
      <c r="C147">
        <v>6330</v>
      </c>
      <c r="D147">
        <v>11</v>
      </c>
      <c r="E147">
        <v>46</v>
      </c>
      <c r="F147">
        <v>11.659000000000001</v>
      </c>
      <c r="G147">
        <v>13.41</v>
      </c>
      <c r="H147">
        <v>4.3616000000000002E-2</v>
      </c>
      <c r="I147">
        <f t="shared" si="12"/>
        <v>0.52973152950854008</v>
      </c>
      <c r="J147">
        <f t="shared" si="13"/>
        <v>0.55530204965051944</v>
      </c>
      <c r="K147">
        <f t="shared" si="14"/>
        <v>0.55530204965051944</v>
      </c>
      <c r="L147">
        <f t="shared" si="15"/>
        <v>-0.44469795034948056</v>
      </c>
      <c r="M147">
        <f t="shared" si="16"/>
        <v>0.11060409930103887</v>
      </c>
      <c r="N147">
        <f t="shared" si="17"/>
        <v>-0.11060409930103887</v>
      </c>
    </row>
    <row r="148" spans="1:14" x14ac:dyDescent="0.25">
      <c r="A148" s="1">
        <v>45874</v>
      </c>
      <c r="B148">
        <v>6299.19</v>
      </c>
      <c r="C148">
        <v>6300</v>
      </c>
      <c r="D148">
        <v>10</v>
      </c>
      <c r="E148">
        <v>45</v>
      </c>
      <c r="F148">
        <v>13.124000000000001</v>
      </c>
      <c r="G148">
        <v>14.246</v>
      </c>
      <c r="H148">
        <v>4.3508999999999999E-2</v>
      </c>
      <c r="I148">
        <f t="shared" si="12"/>
        <v>0.52384907613280207</v>
      </c>
      <c r="J148">
        <f t="shared" si="13"/>
        <v>0.55158914411885751</v>
      </c>
      <c r="K148">
        <f t="shared" si="14"/>
        <v>0.55158914411885751</v>
      </c>
      <c r="L148">
        <f t="shared" si="15"/>
        <v>-0.44841085588114249</v>
      </c>
      <c r="M148">
        <f t="shared" si="16"/>
        <v>0.10317828823771502</v>
      </c>
      <c r="N148">
        <f t="shared" si="17"/>
        <v>-0.10317828823771502</v>
      </c>
    </row>
    <row r="149" spans="1:14" x14ac:dyDescent="0.25">
      <c r="A149" s="1">
        <v>45875</v>
      </c>
      <c r="B149">
        <v>6345.06</v>
      </c>
      <c r="C149">
        <v>6345</v>
      </c>
      <c r="D149">
        <v>9</v>
      </c>
      <c r="E149">
        <v>44</v>
      </c>
      <c r="F149">
        <v>11.763</v>
      </c>
      <c r="G149">
        <v>13.436</v>
      </c>
      <c r="H149">
        <v>4.3503E-2</v>
      </c>
      <c r="I149">
        <f t="shared" si="12"/>
        <v>0.52703582657707893</v>
      </c>
      <c r="J149">
        <f t="shared" si="13"/>
        <v>0.55406717251400806</v>
      </c>
      <c r="K149">
        <f t="shared" si="14"/>
        <v>0.55406717251400806</v>
      </c>
      <c r="L149">
        <f t="shared" si="15"/>
        <v>-0.44593282748599194</v>
      </c>
      <c r="M149">
        <f t="shared" si="16"/>
        <v>0.10813434502801611</v>
      </c>
      <c r="N149">
        <f t="shared" si="17"/>
        <v>-0.10813434502801611</v>
      </c>
    </row>
    <row r="150" spans="1:14" x14ac:dyDescent="0.25">
      <c r="A150" s="1">
        <v>45876</v>
      </c>
      <c r="B150">
        <v>6340</v>
      </c>
      <c r="C150">
        <v>6340</v>
      </c>
      <c r="D150">
        <v>8</v>
      </c>
      <c r="E150">
        <v>43</v>
      </c>
      <c r="F150">
        <v>12.250999999999999</v>
      </c>
      <c r="G150">
        <v>13.598000000000001</v>
      </c>
      <c r="H150">
        <v>4.3319999999999997E-2</v>
      </c>
      <c r="I150">
        <f t="shared" si="12"/>
        <v>0.52448702059897434</v>
      </c>
      <c r="J150">
        <f t="shared" si="13"/>
        <v>0.55277752831289606</v>
      </c>
      <c r="K150">
        <f t="shared" si="14"/>
        <v>0.55277752831289606</v>
      </c>
      <c r="L150">
        <f t="shared" si="15"/>
        <v>-0.44722247168710394</v>
      </c>
      <c r="M150">
        <f t="shared" si="16"/>
        <v>0.10555505662579212</v>
      </c>
      <c r="N150">
        <f t="shared" si="17"/>
        <v>-0.10555505662579212</v>
      </c>
    </row>
    <row r="151" spans="1:14" x14ac:dyDescent="0.25">
      <c r="A151" s="1">
        <v>45877</v>
      </c>
      <c r="B151">
        <v>6389.45</v>
      </c>
      <c r="C151">
        <v>6390</v>
      </c>
      <c r="D151">
        <v>7</v>
      </c>
      <c r="E151">
        <v>42</v>
      </c>
      <c r="F151">
        <v>10.579000000000001</v>
      </c>
      <c r="G151">
        <v>12.558999999999999</v>
      </c>
      <c r="H151">
        <v>4.3238000000000006E-2</v>
      </c>
      <c r="I151">
        <f t="shared" si="12"/>
        <v>0.5231458969836158</v>
      </c>
      <c r="J151">
        <f t="shared" si="13"/>
        <v>0.55411551367553913</v>
      </c>
      <c r="K151">
        <f t="shared" si="14"/>
        <v>0.55411551367553913</v>
      </c>
      <c r="L151">
        <f t="shared" si="15"/>
        <v>-0.44588448632446087</v>
      </c>
      <c r="M151">
        <f t="shared" si="16"/>
        <v>0.10823102735107826</v>
      </c>
      <c r="N151">
        <f t="shared" si="17"/>
        <v>-0.10823102735107826</v>
      </c>
    </row>
    <row r="152" spans="1:14" x14ac:dyDescent="0.25">
      <c r="A152" s="1">
        <v>45880</v>
      </c>
      <c r="B152">
        <v>6373.45</v>
      </c>
      <c r="C152">
        <v>6375</v>
      </c>
      <c r="D152">
        <v>4</v>
      </c>
      <c r="E152">
        <v>39</v>
      </c>
      <c r="F152">
        <v>11.481999999999999</v>
      </c>
      <c r="G152">
        <v>12.82</v>
      </c>
      <c r="H152">
        <v>4.3361000000000004E-2</v>
      </c>
      <c r="I152">
        <f t="shared" si="12"/>
        <v>0.51009739408591659</v>
      </c>
      <c r="J152">
        <f t="shared" si="13"/>
        <v>0.55001923998287849</v>
      </c>
      <c r="K152">
        <f t="shared" si="14"/>
        <v>0.55001923998287849</v>
      </c>
      <c r="L152">
        <f t="shared" si="15"/>
        <v>-0.44998076001712151</v>
      </c>
      <c r="M152">
        <f t="shared" si="16"/>
        <v>0.10003847996575699</v>
      </c>
      <c r="N152">
        <f t="shared" si="17"/>
        <v>-0.10003847996575699</v>
      </c>
    </row>
    <row r="153" spans="1:14" x14ac:dyDescent="0.25">
      <c r="A153" s="1">
        <v>45881</v>
      </c>
      <c r="B153">
        <v>6445.76</v>
      </c>
      <c r="C153">
        <v>6445</v>
      </c>
      <c r="D153">
        <v>3</v>
      </c>
      <c r="E153">
        <v>38</v>
      </c>
      <c r="F153">
        <v>8.1020000000000003</v>
      </c>
      <c r="G153">
        <v>11.842000000000001</v>
      </c>
      <c r="H153">
        <v>4.3023999999999993E-2</v>
      </c>
      <c r="I153">
        <f t="shared" si="12"/>
        <v>0.52705490979062564</v>
      </c>
      <c r="J153">
        <f t="shared" si="13"/>
        <v>0.55544032398529608</v>
      </c>
      <c r="K153">
        <f t="shared" si="14"/>
        <v>0.55544032398529608</v>
      </c>
      <c r="L153">
        <f t="shared" si="15"/>
        <v>-0.44455967601470392</v>
      </c>
      <c r="M153">
        <f t="shared" si="16"/>
        <v>0.11088064797059216</v>
      </c>
      <c r="N153">
        <f t="shared" si="17"/>
        <v>-0.11088064797059216</v>
      </c>
    </row>
    <row r="154" spans="1:14" x14ac:dyDescent="0.25">
      <c r="A154" s="1">
        <v>45882</v>
      </c>
      <c r="B154">
        <v>6466.58</v>
      </c>
      <c r="C154">
        <v>6465</v>
      </c>
      <c r="D154">
        <v>2</v>
      </c>
      <c r="E154">
        <v>37</v>
      </c>
      <c r="F154">
        <v>8.1620000000000008</v>
      </c>
      <c r="G154">
        <v>11.664</v>
      </c>
      <c r="H154">
        <v>4.2992999999999996E-2</v>
      </c>
      <c r="I154">
        <f t="shared" si="12"/>
        <v>0.53285869614637837</v>
      </c>
      <c r="J154">
        <f t="shared" si="13"/>
        <v>0.55665913379240628</v>
      </c>
      <c r="K154">
        <f t="shared" si="14"/>
        <v>0.55665913379240628</v>
      </c>
      <c r="L154">
        <f t="shared" si="15"/>
        <v>-0.44334086620759372</v>
      </c>
      <c r="M154">
        <f t="shared" si="16"/>
        <v>0.11331826758481256</v>
      </c>
      <c r="N154">
        <f t="shared" si="17"/>
        <v>-0.11331826758481256</v>
      </c>
    </row>
    <row r="155" spans="1:14" x14ac:dyDescent="0.25">
      <c r="A155" s="1">
        <v>45883</v>
      </c>
      <c r="B155">
        <v>6468.54</v>
      </c>
      <c r="C155">
        <v>6470</v>
      </c>
      <c r="D155">
        <v>1</v>
      </c>
      <c r="E155">
        <v>36</v>
      </c>
      <c r="F155">
        <v>8.1370000000000005</v>
      </c>
      <c r="G155">
        <v>11.64</v>
      </c>
      <c r="H155">
        <v>4.3038999999999994E-2</v>
      </c>
      <c r="I155">
        <f t="shared" si="12"/>
        <v>0.49075602824369374</v>
      </c>
      <c r="J155">
        <f t="shared" si="13"/>
        <v>0.55101502144389092</v>
      </c>
      <c r="K155">
        <f t="shared" si="14"/>
        <v>0.55101502144389092</v>
      </c>
      <c r="L155">
        <f t="shared" si="15"/>
        <v>-0.44898497855610908</v>
      </c>
      <c r="M155">
        <f t="shared" si="16"/>
        <v>0.10203004288778184</v>
      </c>
      <c r="N155">
        <f t="shared" si="17"/>
        <v>-0.10203004288778184</v>
      </c>
    </row>
    <row r="156" spans="1:14" x14ac:dyDescent="0.25">
      <c r="A156" s="1">
        <v>45884</v>
      </c>
      <c r="B156">
        <v>6449.8</v>
      </c>
      <c r="C156">
        <v>6450</v>
      </c>
      <c r="D156">
        <v>35</v>
      </c>
      <c r="E156">
        <v>63</v>
      </c>
      <c r="F156">
        <v>12.010999999999999</v>
      </c>
      <c r="G156">
        <v>12.904999999999999</v>
      </c>
      <c r="H156">
        <v>4.3136000000000001E-2</v>
      </c>
      <c r="I156">
        <f t="shared" si="12"/>
        <v>0.55131095898917537</v>
      </c>
      <c r="J156">
        <f t="shared" si="13"/>
        <v>0.56556657463851279</v>
      </c>
      <c r="K156">
        <f t="shared" si="14"/>
        <v>0.55131095898917537</v>
      </c>
      <c r="L156">
        <f t="shared" si="15"/>
        <v>-0.44868904101082463</v>
      </c>
      <c r="M156">
        <f t="shared" si="16"/>
        <v>0.10262191797835074</v>
      </c>
      <c r="N156">
        <f t="shared" si="17"/>
        <v>-0.10262191797835074</v>
      </c>
    </row>
    <row r="157" spans="1:14" x14ac:dyDescent="0.25">
      <c r="A157" s="1">
        <v>45887</v>
      </c>
      <c r="B157">
        <v>6449.15</v>
      </c>
      <c r="C157">
        <v>6450</v>
      </c>
      <c r="D157">
        <v>32</v>
      </c>
      <c r="E157">
        <v>60</v>
      </c>
      <c r="F157">
        <v>11.624000000000001</v>
      </c>
      <c r="G157">
        <v>12.584</v>
      </c>
      <c r="H157">
        <v>4.3437000000000003E-2</v>
      </c>
      <c r="I157">
        <f t="shared" si="12"/>
        <v>0.54935227202709769</v>
      </c>
      <c r="J157">
        <f t="shared" si="13"/>
        <v>0.56469216632082186</v>
      </c>
      <c r="K157">
        <f t="shared" si="14"/>
        <v>0.54935227202709769</v>
      </c>
      <c r="L157">
        <f t="shared" si="15"/>
        <v>-0.45064772797290231</v>
      </c>
      <c r="M157">
        <f t="shared" si="16"/>
        <v>9.8704544054195376E-2</v>
      </c>
      <c r="N157">
        <f t="shared" si="17"/>
        <v>-9.8704544054195376E-2</v>
      </c>
    </row>
    <row r="158" spans="1:14" x14ac:dyDescent="0.25">
      <c r="A158" s="1">
        <v>45888</v>
      </c>
      <c r="B158">
        <v>6411.37</v>
      </c>
      <c r="C158">
        <v>6410</v>
      </c>
      <c r="D158">
        <v>31</v>
      </c>
      <c r="E158">
        <v>59</v>
      </c>
      <c r="F158">
        <v>12.266999999999999</v>
      </c>
      <c r="G158">
        <v>13.117000000000001</v>
      </c>
      <c r="H158">
        <v>4.3380999999999996E-2</v>
      </c>
      <c r="I158">
        <f t="shared" si="12"/>
        <v>0.55049576344102025</v>
      </c>
      <c r="J158">
        <f t="shared" si="13"/>
        <v>0.56489350552657103</v>
      </c>
      <c r="K158">
        <f t="shared" si="14"/>
        <v>0.55049576344102025</v>
      </c>
      <c r="L158">
        <f t="shared" si="15"/>
        <v>-0.44950423655897975</v>
      </c>
      <c r="M158">
        <f t="shared" si="16"/>
        <v>0.10099152688204049</v>
      </c>
      <c r="N158">
        <f t="shared" si="17"/>
        <v>-0.10099152688204049</v>
      </c>
    </row>
    <row r="159" spans="1:14" x14ac:dyDescent="0.25">
      <c r="A159" s="1">
        <v>45889</v>
      </c>
      <c r="B159">
        <v>6395.78</v>
      </c>
      <c r="C159">
        <v>6395</v>
      </c>
      <c r="D159">
        <v>30</v>
      </c>
      <c r="E159">
        <v>58</v>
      </c>
      <c r="F159">
        <v>12.717000000000001</v>
      </c>
      <c r="G159">
        <v>13.385999999999999</v>
      </c>
      <c r="H159">
        <v>4.3299000000000004E-2</v>
      </c>
      <c r="I159">
        <f t="shared" si="12"/>
        <v>0.54743657267376367</v>
      </c>
      <c r="J159">
        <f t="shared" si="13"/>
        <v>0.56273530034059716</v>
      </c>
      <c r="K159">
        <f t="shared" si="14"/>
        <v>0.54743657267376367</v>
      </c>
      <c r="L159">
        <f t="shared" si="15"/>
        <v>-0.45256342732623633</v>
      </c>
      <c r="M159">
        <f t="shared" si="16"/>
        <v>9.4873145347527332E-2</v>
      </c>
      <c r="N159">
        <f t="shared" si="17"/>
        <v>-9.4873145347527332E-2</v>
      </c>
    </row>
    <row r="160" spans="1:14" x14ac:dyDescent="0.25">
      <c r="A160" s="1">
        <v>45890</v>
      </c>
      <c r="B160">
        <v>6370.17</v>
      </c>
      <c r="C160">
        <v>6370</v>
      </c>
      <c r="D160">
        <v>29</v>
      </c>
      <c r="E160">
        <v>57</v>
      </c>
      <c r="F160">
        <v>13.797000000000001</v>
      </c>
      <c r="G160">
        <v>13.987</v>
      </c>
      <c r="H160">
        <v>4.3345000000000002E-2</v>
      </c>
      <c r="I160">
        <f t="shared" si="12"/>
        <v>0.54327380374797496</v>
      </c>
      <c r="J160">
        <f t="shared" si="13"/>
        <v>0.55984751975173852</v>
      </c>
      <c r="K160">
        <f t="shared" si="14"/>
        <v>0.54327380374797496</v>
      </c>
      <c r="L160">
        <f t="shared" si="15"/>
        <v>-0.45672619625202504</v>
      </c>
      <c r="M160">
        <f t="shared" si="16"/>
        <v>8.6547607495949919E-2</v>
      </c>
      <c r="N160">
        <f t="shared" si="17"/>
        <v>-8.6547607495949919E-2</v>
      </c>
    </row>
    <row r="161" spans="1:14" x14ac:dyDescent="0.25">
      <c r="A161" s="1">
        <v>45891</v>
      </c>
      <c r="B161">
        <v>6466.91</v>
      </c>
      <c r="C161">
        <v>6465</v>
      </c>
      <c r="D161">
        <v>28</v>
      </c>
      <c r="E161">
        <v>56</v>
      </c>
      <c r="F161">
        <v>11.487</v>
      </c>
      <c r="G161">
        <v>12.298</v>
      </c>
      <c r="H161">
        <v>4.3085000000000005E-2</v>
      </c>
      <c r="I161">
        <f t="shared" si="12"/>
        <v>0.55135169577085208</v>
      </c>
      <c r="J161">
        <f t="shared" si="13"/>
        <v>0.56648980928178272</v>
      </c>
      <c r="K161">
        <f t="shared" si="14"/>
        <v>0.55135169577085208</v>
      </c>
      <c r="L161">
        <f t="shared" si="15"/>
        <v>-0.44864830422914792</v>
      </c>
      <c r="M161">
        <f t="shared" si="16"/>
        <v>0.10270339154170416</v>
      </c>
      <c r="N161">
        <f t="shared" si="17"/>
        <v>-0.10270339154170416</v>
      </c>
    </row>
    <row r="162" spans="1:14" x14ac:dyDescent="0.25">
      <c r="A162" s="1">
        <v>45894</v>
      </c>
      <c r="B162">
        <v>6439.32</v>
      </c>
      <c r="C162">
        <v>6440</v>
      </c>
      <c r="D162">
        <v>25</v>
      </c>
      <c r="E162">
        <v>53</v>
      </c>
      <c r="F162">
        <v>11.393000000000001</v>
      </c>
      <c r="G162">
        <v>12.35</v>
      </c>
      <c r="H162">
        <v>4.3385999999999994E-2</v>
      </c>
      <c r="I162">
        <f t="shared" si="12"/>
        <v>0.54420380279250358</v>
      </c>
      <c r="J162">
        <f t="shared" si="13"/>
        <v>0.56164993761363358</v>
      </c>
      <c r="K162">
        <f t="shared" si="14"/>
        <v>0.54420380279250358</v>
      </c>
      <c r="L162">
        <f t="shared" si="15"/>
        <v>-0.45579619720749642</v>
      </c>
      <c r="M162">
        <f t="shared" si="16"/>
        <v>8.8407605585007154E-2</v>
      </c>
      <c r="N162">
        <f t="shared" si="17"/>
        <v>-8.8407605585007154E-2</v>
      </c>
    </row>
    <row r="163" spans="1:14" x14ac:dyDescent="0.25">
      <c r="A163" s="1">
        <v>45895</v>
      </c>
      <c r="B163">
        <v>6465.94</v>
      </c>
      <c r="C163">
        <v>6465</v>
      </c>
      <c r="D163">
        <v>24</v>
      </c>
      <c r="E163">
        <v>52</v>
      </c>
      <c r="F163">
        <v>11.375</v>
      </c>
      <c r="G163">
        <v>12.234</v>
      </c>
      <c r="H163">
        <v>4.2946999999999999E-2</v>
      </c>
      <c r="I163">
        <f t="shared" si="12"/>
        <v>0.54632554676307887</v>
      </c>
      <c r="J163">
        <f t="shared" si="13"/>
        <v>0.56306236292184653</v>
      </c>
      <c r="K163">
        <f t="shared" si="14"/>
        <v>0.54632554676307887</v>
      </c>
      <c r="L163">
        <f t="shared" si="15"/>
        <v>-0.45367445323692113</v>
      </c>
      <c r="M163">
        <f t="shared" si="16"/>
        <v>9.2651093526157746E-2</v>
      </c>
      <c r="N163">
        <f t="shared" si="17"/>
        <v>-9.2651093526157746E-2</v>
      </c>
    </row>
    <row r="164" spans="1:14" x14ac:dyDescent="0.25">
      <c r="A164" s="1">
        <v>45896</v>
      </c>
      <c r="B164">
        <v>6481.4</v>
      </c>
      <c r="C164">
        <v>6480</v>
      </c>
      <c r="D164">
        <v>23</v>
      </c>
      <c r="E164">
        <v>51</v>
      </c>
      <c r="F164">
        <v>11.629</v>
      </c>
      <c r="G164">
        <v>12.275</v>
      </c>
      <c r="H164">
        <v>4.2967999999999999E-2</v>
      </c>
      <c r="I164">
        <f t="shared" si="12"/>
        <v>0.54567735534430239</v>
      </c>
      <c r="J164">
        <f t="shared" si="13"/>
        <v>0.56296725007509874</v>
      </c>
      <c r="K164">
        <f t="shared" si="14"/>
        <v>0.54567735534430239</v>
      </c>
      <c r="L164">
        <f t="shared" si="15"/>
        <v>-0.45432264465569761</v>
      </c>
      <c r="M164">
        <f t="shared" si="16"/>
        <v>9.135471068860479E-2</v>
      </c>
      <c r="N164">
        <f t="shared" si="17"/>
        <v>-9.135471068860479E-2</v>
      </c>
    </row>
    <row r="165" spans="1:14" x14ac:dyDescent="0.25">
      <c r="A165" s="1">
        <v>45897</v>
      </c>
      <c r="B165">
        <v>6501.86</v>
      </c>
      <c r="C165">
        <v>6500</v>
      </c>
      <c r="D165">
        <v>22</v>
      </c>
      <c r="E165">
        <v>50</v>
      </c>
      <c r="F165">
        <v>11.07</v>
      </c>
      <c r="G165">
        <v>12.073</v>
      </c>
      <c r="H165">
        <v>4.3038999999999994E-2</v>
      </c>
      <c r="I165">
        <f t="shared" si="12"/>
        <v>0.54758696317546218</v>
      </c>
      <c r="J165">
        <f t="shared" si="13"/>
        <v>0.56383036817704157</v>
      </c>
      <c r="K165">
        <f t="shared" si="14"/>
        <v>0.54758696317546218</v>
      </c>
      <c r="L165">
        <f t="shared" si="15"/>
        <v>-0.45241303682453782</v>
      </c>
      <c r="M165">
        <f t="shared" si="16"/>
        <v>9.5173926350924365E-2</v>
      </c>
      <c r="N165">
        <f t="shared" si="17"/>
        <v>-9.5173926350924365E-2</v>
      </c>
    </row>
    <row r="166" spans="1:14" x14ac:dyDescent="0.25">
      <c r="A166" s="1">
        <v>45898</v>
      </c>
      <c r="B166">
        <v>6460.26</v>
      </c>
      <c r="C166">
        <v>6460</v>
      </c>
      <c r="D166">
        <v>21</v>
      </c>
      <c r="E166">
        <v>49</v>
      </c>
      <c r="F166">
        <v>12.134</v>
      </c>
      <c r="G166">
        <v>12.694000000000001</v>
      </c>
      <c r="H166">
        <v>4.308E-2</v>
      </c>
      <c r="I166">
        <f t="shared" si="12"/>
        <v>0.54026254008583086</v>
      </c>
      <c r="J166">
        <f t="shared" si="13"/>
        <v>0.55901236142024602</v>
      </c>
      <c r="K166">
        <f t="shared" si="14"/>
        <v>0.54026254008583086</v>
      </c>
      <c r="L166">
        <f t="shared" si="15"/>
        <v>-0.45973745991416914</v>
      </c>
      <c r="M166">
        <f t="shared" si="16"/>
        <v>8.0525080171661712E-2</v>
      </c>
      <c r="N166">
        <f t="shared" si="17"/>
        <v>-8.0525080171661712E-2</v>
      </c>
    </row>
    <row r="167" spans="1:14" x14ac:dyDescent="0.25">
      <c r="A167" s="1">
        <v>45902</v>
      </c>
      <c r="B167">
        <v>6415.54</v>
      </c>
      <c r="C167">
        <v>6415</v>
      </c>
      <c r="D167">
        <v>17</v>
      </c>
      <c r="E167">
        <v>45</v>
      </c>
      <c r="F167">
        <v>13.077</v>
      </c>
      <c r="G167">
        <v>13.326000000000001</v>
      </c>
      <c r="H167">
        <v>4.2946999999999999E-2</v>
      </c>
      <c r="I167">
        <f t="shared" si="12"/>
        <v>0.53504978284368876</v>
      </c>
      <c r="J167">
        <f t="shared" si="13"/>
        <v>0.55501978629211524</v>
      </c>
      <c r="K167">
        <f t="shared" si="14"/>
        <v>0.53504978284368876</v>
      </c>
      <c r="L167">
        <f t="shared" si="15"/>
        <v>-0.46495021715631124</v>
      </c>
      <c r="M167">
        <f t="shared" si="16"/>
        <v>7.0099565687377519E-2</v>
      </c>
      <c r="N167">
        <f t="shared" si="17"/>
        <v>-7.0099565687377519E-2</v>
      </c>
    </row>
    <row r="168" spans="1:14" x14ac:dyDescent="0.25">
      <c r="A168" s="1">
        <v>45903</v>
      </c>
      <c r="B168">
        <v>6448.26</v>
      </c>
      <c r="C168">
        <v>6450</v>
      </c>
      <c r="D168">
        <v>16</v>
      </c>
      <c r="E168">
        <v>44</v>
      </c>
      <c r="F168">
        <v>12.247</v>
      </c>
      <c r="G168">
        <v>12.823</v>
      </c>
      <c r="H168">
        <v>4.2458000000000003E-2</v>
      </c>
      <c r="I168">
        <f t="shared" si="12"/>
        <v>0.52984609902021318</v>
      </c>
      <c r="J168">
        <f t="shared" si="13"/>
        <v>0.55217620842560944</v>
      </c>
      <c r="K168">
        <f t="shared" si="14"/>
        <v>0.55217620842560944</v>
      </c>
      <c r="L168">
        <f t="shared" si="15"/>
        <v>-0.44782379157439056</v>
      </c>
      <c r="M168">
        <f t="shared" si="16"/>
        <v>0.10435241685121888</v>
      </c>
      <c r="N168">
        <f t="shared" si="17"/>
        <v>-0.10435241685121888</v>
      </c>
    </row>
    <row r="169" spans="1:14" x14ac:dyDescent="0.25">
      <c r="A169" s="1">
        <v>45904</v>
      </c>
      <c r="B169">
        <v>6502.08</v>
      </c>
      <c r="C169">
        <v>6500</v>
      </c>
      <c r="D169">
        <v>15</v>
      </c>
      <c r="E169">
        <v>43</v>
      </c>
      <c r="F169">
        <v>11.298999999999999</v>
      </c>
      <c r="G169">
        <v>12.25</v>
      </c>
      <c r="H169">
        <v>4.2426999999999999E-2</v>
      </c>
      <c r="I169">
        <f t="shared" si="12"/>
        <v>0.54043966893837259</v>
      </c>
      <c r="J169">
        <f t="shared" si="13"/>
        <v>0.55863463609766328</v>
      </c>
      <c r="K169">
        <f t="shared" si="14"/>
        <v>0.55863463609766328</v>
      </c>
      <c r="L169">
        <f t="shared" si="15"/>
        <v>-0.44136536390233672</v>
      </c>
      <c r="M169">
        <f t="shared" si="16"/>
        <v>0.11726927219532657</v>
      </c>
      <c r="N169">
        <f t="shared" si="17"/>
        <v>-0.11726927219532657</v>
      </c>
    </row>
    <row r="170" spans="1:14" x14ac:dyDescent="0.25">
      <c r="A170" s="1">
        <v>45905</v>
      </c>
      <c r="B170">
        <v>6481.5</v>
      </c>
      <c r="C170">
        <v>6480</v>
      </c>
      <c r="D170">
        <v>14</v>
      </c>
      <c r="E170">
        <v>42</v>
      </c>
      <c r="F170">
        <v>11.005000000000001</v>
      </c>
      <c r="G170">
        <v>12.218</v>
      </c>
      <c r="H170">
        <v>4.1452000000000003E-2</v>
      </c>
      <c r="I170">
        <f t="shared" si="12"/>
        <v>0.53795545973323888</v>
      </c>
      <c r="J170">
        <f t="shared" si="13"/>
        <v>0.55622050544556489</v>
      </c>
      <c r="K170">
        <f t="shared" si="14"/>
        <v>0.55622050544556489</v>
      </c>
      <c r="L170">
        <f t="shared" si="15"/>
        <v>-0.44377949455443511</v>
      </c>
      <c r="M170">
        <f t="shared" si="16"/>
        <v>0.11244101089112979</v>
      </c>
      <c r="N170">
        <f t="shared" si="17"/>
        <v>-0.11244101089112979</v>
      </c>
    </row>
    <row r="171" spans="1:14" x14ac:dyDescent="0.25">
      <c r="A171" s="1">
        <v>45908</v>
      </c>
      <c r="B171">
        <v>6495.15</v>
      </c>
      <c r="C171">
        <v>6495</v>
      </c>
      <c r="D171">
        <v>11</v>
      </c>
      <c r="E171">
        <v>39</v>
      </c>
      <c r="F171">
        <v>10.613</v>
      </c>
      <c r="G171">
        <v>11.897</v>
      </c>
      <c r="H171">
        <v>4.1676999999999999E-2</v>
      </c>
      <c r="I171">
        <f t="shared" si="12"/>
        <v>0.5313396841927569</v>
      </c>
      <c r="J171">
        <f t="shared" si="13"/>
        <v>0.55351560303716052</v>
      </c>
      <c r="K171">
        <f t="shared" si="14"/>
        <v>0.55351560303716052</v>
      </c>
      <c r="L171">
        <f t="shared" si="15"/>
        <v>-0.44648439696283948</v>
      </c>
      <c r="M171">
        <f t="shared" si="16"/>
        <v>0.10703120607432104</v>
      </c>
      <c r="N171">
        <f t="shared" si="17"/>
        <v>-0.10703120607432104</v>
      </c>
    </row>
    <row r="172" spans="1:14" x14ac:dyDescent="0.25">
      <c r="A172" s="1">
        <v>45909</v>
      </c>
      <c r="B172">
        <v>6512.61</v>
      </c>
      <c r="C172">
        <v>6515</v>
      </c>
      <c r="D172">
        <v>10</v>
      </c>
      <c r="E172">
        <v>38</v>
      </c>
      <c r="F172">
        <v>10.565</v>
      </c>
      <c r="G172">
        <v>11.835000000000001</v>
      </c>
      <c r="H172">
        <v>4.1519E-2</v>
      </c>
      <c r="I172">
        <f t="shared" si="12"/>
        <v>0.52105816819823814</v>
      </c>
      <c r="J172">
        <f t="shared" si="13"/>
        <v>0.54881943298890734</v>
      </c>
      <c r="K172">
        <f t="shared" si="14"/>
        <v>0.54881943298890734</v>
      </c>
      <c r="L172">
        <f t="shared" si="15"/>
        <v>-0.45118056701109266</v>
      </c>
      <c r="M172">
        <f t="shared" si="16"/>
        <v>9.7638865977814682E-2</v>
      </c>
      <c r="N172">
        <f t="shared" si="17"/>
        <v>-9.7638865977814682E-2</v>
      </c>
    </row>
    <row r="173" spans="1:14" x14ac:dyDescent="0.25">
      <c r="A173" s="1">
        <v>45910</v>
      </c>
      <c r="B173">
        <v>6532.04</v>
      </c>
      <c r="C173">
        <v>6530</v>
      </c>
      <c r="D173">
        <v>9</v>
      </c>
      <c r="E173">
        <v>37</v>
      </c>
      <c r="F173">
        <v>10.933</v>
      </c>
      <c r="G173">
        <v>11.84</v>
      </c>
      <c r="H173">
        <v>4.1489000000000005E-2</v>
      </c>
      <c r="I173">
        <f t="shared" si="12"/>
        <v>0.53441285800352789</v>
      </c>
      <c r="J173">
        <f t="shared" si="13"/>
        <v>0.5551569518649635</v>
      </c>
      <c r="K173">
        <f t="shared" si="14"/>
        <v>0.5551569518649635</v>
      </c>
      <c r="L173">
        <f t="shared" si="15"/>
        <v>-0.4448430481350365</v>
      </c>
      <c r="M173">
        <f t="shared" si="16"/>
        <v>0.110313903729927</v>
      </c>
      <c r="N173">
        <f t="shared" si="17"/>
        <v>-0.110313903729927</v>
      </c>
    </row>
    <row r="174" spans="1:14" x14ac:dyDescent="0.25">
      <c r="A174" s="1">
        <v>45911</v>
      </c>
      <c r="B174">
        <v>6587.47</v>
      </c>
      <c r="C174">
        <v>6585</v>
      </c>
      <c r="D174">
        <v>8</v>
      </c>
      <c r="E174">
        <v>36</v>
      </c>
      <c r="F174">
        <v>9.9260000000000002</v>
      </c>
      <c r="G174">
        <v>11.512</v>
      </c>
      <c r="H174">
        <v>4.1382000000000002E-2</v>
      </c>
      <c r="I174">
        <f t="shared" si="12"/>
        <v>0.53767948376251917</v>
      </c>
      <c r="J174">
        <f t="shared" si="13"/>
        <v>0.55620034052315381</v>
      </c>
      <c r="K174">
        <f t="shared" si="14"/>
        <v>0.55620034052315381</v>
      </c>
      <c r="L174">
        <f t="shared" si="15"/>
        <v>-0.44379965947684619</v>
      </c>
      <c r="M174">
        <f t="shared" si="16"/>
        <v>0.11240068104630763</v>
      </c>
      <c r="N174">
        <f t="shared" si="17"/>
        <v>-0.11240068104630763</v>
      </c>
    </row>
    <row r="175" spans="1:14" x14ac:dyDescent="0.25">
      <c r="A175" s="1">
        <v>45912</v>
      </c>
      <c r="B175">
        <v>6584.29</v>
      </c>
      <c r="C175">
        <v>6585</v>
      </c>
      <c r="D175">
        <v>7</v>
      </c>
      <c r="E175">
        <v>35</v>
      </c>
      <c r="F175">
        <v>9.91</v>
      </c>
      <c r="G175">
        <v>11.592000000000001</v>
      </c>
      <c r="H175">
        <v>4.1272999999999997E-2</v>
      </c>
      <c r="I175">
        <f t="shared" si="12"/>
        <v>0.52260035908254254</v>
      </c>
      <c r="J175">
        <f t="shared" si="13"/>
        <v>0.54981674316460594</v>
      </c>
      <c r="K175">
        <f t="shared" si="14"/>
        <v>0.54981674316460594</v>
      </c>
      <c r="L175">
        <f t="shared" si="15"/>
        <v>-0.45018325683539406</v>
      </c>
      <c r="M175">
        <f t="shared" si="16"/>
        <v>9.9633486329211873E-2</v>
      </c>
      <c r="N175">
        <f t="shared" si="17"/>
        <v>-9.9633486329211873E-2</v>
      </c>
    </row>
    <row r="176" spans="1:14" x14ac:dyDescent="0.25">
      <c r="A176" s="1">
        <v>45915</v>
      </c>
      <c r="B176">
        <v>6615.28</v>
      </c>
      <c r="C176">
        <v>6615</v>
      </c>
      <c r="D176">
        <v>4</v>
      </c>
      <c r="E176">
        <v>32</v>
      </c>
      <c r="F176">
        <v>10.398999999999999</v>
      </c>
      <c r="G176">
        <v>11.747</v>
      </c>
      <c r="H176">
        <v>4.1319999999999996E-2</v>
      </c>
      <c r="I176">
        <f t="shared" si="12"/>
        <v>0.52030827930549206</v>
      </c>
      <c r="J176">
        <f t="shared" si="13"/>
        <v>0.54885086790831017</v>
      </c>
      <c r="K176">
        <f t="shared" si="14"/>
        <v>0.54885086790831017</v>
      </c>
      <c r="L176">
        <f t="shared" si="15"/>
        <v>-0.45114913209168983</v>
      </c>
      <c r="M176">
        <f t="shared" si="16"/>
        <v>9.7701735816620339E-2</v>
      </c>
      <c r="N176">
        <f t="shared" si="17"/>
        <v>-9.7701735816620339E-2</v>
      </c>
    </row>
    <row r="177" spans="1:14" x14ac:dyDescent="0.25">
      <c r="A177" s="1">
        <v>45916</v>
      </c>
      <c r="B177">
        <v>6606.76</v>
      </c>
      <c r="C177">
        <v>6605</v>
      </c>
      <c r="D177">
        <v>3</v>
      </c>
      <c r="E177">
        <v>31</v>
      </c>
      <c r="F177">
        <v>12.302</v>
      </c>
      <c r="G177">
        <v>12.417</v>
      </c>
      <c r="H177">
        <v>4.1009000000000004E-2</v>
      </c>
      <c r="I177">
        <f t="shared" si="12"/>
        <v>0.52379744411489759</v>
      </c>
      <c r="J177">
        <f t="shared" si="13"/>
        <v>0.54843374665677014</v>
      </c>
      <c r="K177">
        <f t="shared" si="14"/>
        <v>0.54843374665677014</v>
      </c>
      <c r="L177">
        <f t="shared" si="15"/>
        <v>-0.45156625334322986</v>
      </c>
      <c r="M177">
        <f t="shared" si="16"/>
        <v>9.6867493313540276E-2</v>
      </c>
      <c r="N177">
        <f t="shared" si="17"/>
        <v>-9.6867493313540276E-2</v>
      </c>
    </row>
    <row r="178" spans="1:14" x14ac:dyDescent="0.25">
      <c r="A178" s="1">
        <v>45917</v>
      </c>
      <c r="B178">
        <v>6600.35</v>
      </c>
      <c r="C178">
        <v>6600</v>
      </c>
      <c r="D178">
        <v>2</v>
      </c>
      <c r="E178">
        <v>30</v>
      </c>
      <c r="F178">
        <v>11.276</v>
      </c>
      <c r="G178">
        <v>12.151</v>
      </c>
      <c r="H178">
        <v>4.0750000000000001E-2</v>
      </c>
      <c r="I178">
        <f t="shared" si="12"/>
        <v>0.51486818701611803</v>
      </c>
      <c r="J178">
        <f t="shared" si="13"/>
        <v>0.54581146274623715</v>
      </c>
      <c r="K178">
        <f t="shared" si="14"/>
        <v>0.54581146274623715</v>
      </c>
      <c r="L178">
        <f t="shared" si="15"/>
        <v>-0.45418853725376285</v>
      </c>
      <c r="M178">
        <f t="shared" si="16"/>
        <v>9.1622925492474305E-2</v>
      </c>
      <c r="N178">
        <f t="shared" si="17"/>
        <v>-9.1622925492474305E-2</v>
      </c>
    </row>
    <row r="179" spans="1:14" x14ac:dyDescent="0.25">
      <c r="A179" s="1">
        <v>45918</v>
      </c>
      <c r="B179">
        <v>6631.96</v>
      </c>
      <c r="C179">
        <v>6630</v>
      </c>
      <c r="D179">
        <v>1</v>
      </c>
      <c r="E179">
        <v>29</v>
      </c>
      <c r="F179">
        <v>9.4060000000000006</v>
      </c>
      <c r="G179">
        <v>12.032999999999999</v>
      </c>
      <c r="H179">
        <v>4.0770000000000001E-2</v>
      </c>
      <c r="I179">
        <f t="shared" si="12"/>
        <v>0.53394340540402863</v>
      </c>
      <c r="J179">
        <f t="shared" si="13"/>
        <v>0.54822460247388227</v>
      </c>
      <c r="K179">
        <f t="shared" si="14"/>
        <v>0.54822460247388227</v>
      </c>
      <c r="L179">
        <f t="shared" si="15"/>
        <v>-0.45177539752611773</v>
      </c>
      <c r="M179">
        <f t="shared" si="16"/>
        <v>9.6449204947764544E-2</v>
      </c>
      <c r="N179">
        <f t="shared" si="17"/>
        <v>-9.6449204947764544E-2</v>
      </c>
    </row>
    <row r="180" spans="1:14" x14ac:dyDescent="0.25">
      <c r="A180" s="1">
        <v>45919</v>
      </c>
      <c r="B180">
        <v>6664.36</v>
      </c>
      <c r="C180">
        <v>6665</v>
      </c>
      <c r="D180">
        <v>28</v>
      </c>
      <c r="E180">
        <v>63</v>
      </c>
      <c r="F180">
        <v>12.074</v>
      </c>
      <c r="G180">
        <v>13.27</v>
      </c>
      <c r="H180">
        <v>4.0304E-2</v>
      </c>
      <c r="I180">
        <f t="shared" si="12"/>
        <v>0.54232939744961861</v>
      </c>
      <c r="J180">
        <f t="shared" si="13"/>
        <v>0.56040916003218555</v>
      </c>
      <c r="K180">
        <f t="shared" si="14"/>
        <v>0.54232939744961861</v>
      </c>
      <c r="L180">
        <f t="shared" si="15"/>
        <v>-0.45767060255038139</v>
      </c>
      <c r="M180">
        <f t="shared" si="16"/>
        <v>8.4658794899237222E-2</v>
      </c>
      <c r="N180">
        <f t="shared" si="17"/>
        <v>-8.4658794899237222E-2</v>
      </c>
    </row>
    <row r="181" spans="1:14" x14ac:dyDescent="0.25">
      <c r="A181" s="1">
        <v>45922</v>
      </c>
      <c r="B181">
        <v>6693.75</v>
      </c>
      <c r="C181">
        <v>6695</v>
      </c>
      <c r="D181">
        <v>25</v>
      </c>
      <c r="E181">
        <v>60</v>
      </c>
      <c r="F181">
        <v>12.14</v>
      </c>
      <c r="G181">
        <v>13.461</v>
      </c>
      <c r="H181">
        <v>4.0758999999999997E-2</v>
      </c>
      <c r="I181">
        <f t="shared" si="12"/>
        <v>0.53898478633656111</v>
      </c>
      <c r="J181">
        <f t="shared" si="13"/>
        <v>0.55828883825788189</v>
      </c>
      <c r="K181">
        <f t="shared" si="14"/>
        <v>0.53898478633656111</v>
      </c>
      <c r="L181">
        <f t="shared" si="15"/>
        <v>-0.46101521366343889</v>
      </c>
      <c r="M181">
        <f t="shared" si="16"/>
        <v>7.7969572673122212E-2</v>
      </c>
      <c r="N181">
        <f t="shared" si="17"/>
        <v>-7.7969572673122212E-2</v>
      </c>
    </row>
    <row r="182" spans="1:14" x14ac:dyDescent="0.25">
      <c r="A182" s="1">
        <v>45923</v>
      </c>
      <c r="B182">
        <v>6656.92</v>
      </c>
      <c r="C182">
        <v>6655</v>
      </c>
      <c r="D182">
        <v>24</v>
      </c>
      <c r="E182">
        <v>59</v>
      </c>
      <c r="F182">
        <v>12.76</v>
      </c>
      <c r="G182">
        <v>14.012</v>
      </c>
      <c r="H182">
        <v>4.0601000000000005E-2</v>
      </c>
      <c r="I182">
        <f t="shared" si="12"/>
        <v>0.54251333059782969</v>
      </c>
      <c r="J182">
        <f t="shared" si="13"/>
        <v>0.55953305838379985</v>
      </c>
      <c r="K182">
        <f t="shared" si="14"/>
        <v>0.54251333059782969</v>
      </c>
      <c r="L182">
        <f t="shared" si="15"/>
        <v>-0.45748666940217031</v>
      </c>
      <c r="M182">
        <f t="shared" si="16"/>
        <v>8.5026661195659381E-2</v>
      </c>
      <c r="N182">
        <f t="shared" si="17"/>
        <v>-8.5026661195659381E-2</v>
      </c>
    </row>
    <row r="183" spans="1:14" x14ac:dyDescent="0.25">
      <c r="A183" s="1">
        <v>45924</v>
      </c>
      <c r="B183">
        <v>6637.97</v>
      </c>
      <c r="C183">
        <v>6640</v>
      </c>
      <c r="D183">
        <v>23</v>
      </c>
      <c r="E183">
        <v>58</v>
      </c>
      <c r="F183">
        <v>12.513999999999999</v>
      </c>
      <c r="G183">
        <v>13.858000000000001</v>
      </c>
      <c r="H183">
        <v>4.0750000000000001E-2</v>
      </c>
      <c r="I183">
        <f t="shared" si="12"/>
        <v>0.53494863387796787</v>
      </c>
      <c r="J183">
        <f t="shared" si="13"/>
        <v>0.55539499355431854</v>
      </c>
      <c r="K183">
        <f t="shared" si="14"/>
        <v>0.53494863387796787</v>
      </c>
      <c r="L183">
        <f t="shared" si="15"/>
        <v>-0.46505136612203213</v>
      </c>
      <c r="M183">
        <f t="shared" si="16"/>
        <v>6.9897267755935744E-2</v>
      </c>
      <c r="N183">
        <f t="shared" si="17"/>
        <v>-6.9897267755935744E-2</v>
      </c>
    </row>
    <row r="184" spans="1:14" x14ac:dyDescent="0.25">
      <c r="A184" s="1">
        <v>45925</v>
      </c>
      <c r="B184">
        <v>6604.72</v>
      </c>
      <c r="C184">
        <v>6605</v>
      </c>
      <c r="D184">
        <v>22</v>
      </c>
      <c r="E184">
        <v>57</v>
      </c>
      <c r="F184">
        <v>12.98</v>
      </c>
      <c r="G184">
        <v>14.119</v>
      </c>
      <c r="H184">
        <v>4.0999999999999995E-2</v>
      </c>
      <c r="I184">
        <f t="shared" si="12"/>
        <v>0.5367112619419685</v>
      </c>
      <c r="J184">
        <f t="shared" si="13"/>
        <v>0.5564175373861201</v>
      </c>
      <c r="K184">
        <f t="shared" si="14"/>
        <v>0.5367112619419685</v>
      </c>
      <c r="L184">
        <f t="shared" si="15"/>
        <v>-0.4632887380580315</v>
      </c>
      <c r="M184">
        <f t="shared" si="16"/>
        <v>7.3422523883936996E-2</v>
      </c>
      <c r="N184">
        <f t="shared" si="17"/>
        <v>-7.3422523883936996E-2</v>
      </c>
    </row>
    <row r="185" spans="1:14" x14ac:dyDescent="0.25">
      <c r="A185" s="1">
        <v>45926</v>
      </c>
      <c r="B185">
        <v>6643.7</v>
      </c>
      <c r="C185">
        <v>6645</v>
      </c>
      <c r="D185">
        <v>21</v>
      </c>
      <c r="E185">
        <v>56</v>
      </c>
      <c r="F185">
        <v>11.736000000000001</v>
      </c>
      <c r="G185">
        <v>13.237</v>
      </c>
      <c r="H185">
        <v>4.1069000000000001E-2</v>
      </c>
      <c r="I185">
        <f t="shared" si="12"/>
        <v>0.53627854715175494</v>
      </c>
      <c r="J185">
        <f t="shared" si="13"/>
        <v>0.55712244918166764</v>
      </c>
      <c r="K185">
        <f t="shared" si="14"/>
        <v>0.53627854715175494</v>
      </c>
      <c r="L185">
        <f t="shared" si="15"/>
        <v>-0.46372145284824506</v>
      </c>
      <c r="M185">
        <f t="shared" si="16"/>
        <v>7.2557094303509873E-2</v>
      </c>
      <c r="N185">
        <f t="shared" si="17"/>
        <v>-7.2557094303509873E-2</v>
      </c>
    </row>
    <row r="186" spans="1:14" x14ac:dyDescent="0.25">
      <c r="A186" s="1">
        <v>45929</v>
      </c>
      <c r="B186">
        <v>6661.21</v>
      </c>
      <c r="C186">
        <v>6660</v>
      </c>
      <c r="D186">
        <v>18</v>
      </c>
      <c r="E186">
        <v>53</v>
      </c>
      <c r="F186">
        <v>11.403</v>
      </c>
      <c r="G186">
        <v>13.228</v>
      </c>
      <c r="H186">
        <v>4.1269E-2</v>
      </c>
      <c r="I186">
        <f t="shared" si="12"/>
        <v>0.53990939678663574</v>
      </c>
      <c r="J186">
        <f t="shared" si="13"/>
        <v>0.55870653379535207</v>
      </c>
      <c r="K186">
        <f t="shared" si="14"/>
        <v>0.53990939678663574</v>
      </c>
      <c r="L186">
        <f t="shared" si="15"/>
        <v>-0.46009060321336426</v>
      </c>
      <c r="M186">
        <f t="shared" si="16"/>
        <v>7.9818793573271485E-2</v>
      </c>
      <c r="N186">
        <f t="shared" si="17"/>
        <v>-7.9818793573271485E-2</v>
      </c>
    </row>
    <row r="187" spans="1:14" x14ac:dyDescent="0.25">
      <c r="A187" s="1">
        <v>45930</v>
      </c>
      <c r="B187">
        <v>6688.46</v>
      </c>
      <c r="C187">
        <v>6690</v>
      </c>
      <c r="D187">
        <v>17</v>
      </c>
      <c r="E187">
        <v>52</v>
      </c>
      <c r="F187">
        <v>11.41</v>
      </c>
      <c r="G187">
        <v>13.148</v>
      </c>
      <c r="H187">
        <v>4.1009000000000004E-2</v>
      </c>
      <c r="I187">
        <f t="shared" si="12"/>
        <v>0.53209166789191165</v>
      </c>
      <c r="J187">
        <f t="shared" si="13"/>
        <v>0.55484063050406063</v>
      </c>
      <c r="K187">
        <f t="shared" si="14"/>
        <v>0.53209166789191165</v>
      </c>
      <c r="L187">
        <f t="shared" si="15"/>
        <v>-0.46790833210808835</v>
      </c>
      <c r="M187">
        <f t="shared" si="16"/>
        <v>6.4183335783823292E-2</v>
      </c>
      <c r="N187">
        <f t="shared" si="17"/>
        <v>-6.4183335783823292E-2</v>
      </c>
    </row>
    <row r="188" spans="1:14" x14ac:dyDescent="0.25">
      <c r="A188" s="1">
        <v>45931</v>
      </c>
      <c r="B188">
        <v>6711.2</v>
      </c>
      <c r="C188">
        <v>6710</v>
      </c>
      <c r="D188">
        <v>16</v>
      </c>
      <c r="E188">
        <v>51</v>
      </c>
      <c r="F188">
        <v>11.254</v>
      </c>
      <c r="G188">
        <v>13.214</v>
      </c>
      <c r="H188">
        <v>4.0750000000000001E-2</v>
      </c>
      <c r="I188">
        <f t="shared" si="12"/>
        <v>0.53791480333860431</v>
      </c>
      <c r="J188">
        <f t="shared" si="13"/>
        <v>0.55708843766986382</v>
      </c>
      <c r="K188">
        <f t="shared" si="14"/>
        <v>0.53791480333860431</v>
      </c>
      <c r="L188">
        <f t="shared" si="15"/>
        <v>-0.46208519666139569</v>
      </c>
      <c r="M188">
        <f t="shared" si="16"/>
        <v>7.5829606677208616E-2</v>
      </c>
      <c r="N188">
        <f t="shared" si="17"/>
        <v>-7.5829606677208616E-2</v>
      </c>
    </row>
    <row r="189" spans="1:14" x14ac:dyDescent="0.25">
      <c r="A189" s="1">
        <v>45932</v>
      </c>
      <c r="B189">
        <v>6715.35</v>
      </c>
      <c r="C189">
        <v>6715</v>
      </c>
      <c r="D189">
        <v>15</v>
      </c>
      <c r="E189">
        <v>50</v>
      </c>
      <c r="F189">
        <v>11.484999999999999</v>
      </c>
      <c r="G189">
        <v>13.513</v>
      </c>
      <c r="H189">
        <v>4.0948999999999999E-2</v>
      </c>
      <c r="I189">
        <f t="shared" si="12"/>
        <v>0.5343299013328322</v>
      </c>
      <c r="J189">
        <f t="shared" si="13"/>
        <v>0.55496159353147079</v>
      </c>
      <c r="K189">
        <f t="shared" si="14"/>
        <v>0.5343299013328322</v>
      </c>
      <c r="L189">
        <f t="shared" si="15"/>
        <v>-0.4656700986671678</v>
      </c>
      <c r="M189">
        <f t="shared" si="16"/>
        <v>6.8659802665664404E-2</v>
      </c>
      <c r="N189">
        <f t="shared" si="17"/>
        <v>-6.8659802665664404E-2</v>
      </c>
    </row>
    <row r="190" spans="1:14" x14ac:dyDescent="0.25">
      <c r="A190" s="1">
        <v>45933</v>
      </c>
      <c r="B190">
        <v>6715.79</v>
      </c>
      <c r="C190">
        <v>6715</v>
      </c>
      <c r="D190">
        <v>14</v>
      </c>
      <c r="E190">
        <v>49</v>
      </c>
      <c r="F190">
        <v>11.244999999999999</v>
      </c>
      <c r="G190">
        <v>13.433999999999999</v>
      </c>
      <c r="H190">
        <v>4.0738000000000003E-2</v>
      </c>
      <c r="I190">
        <f t="shared" si="12"/>
        <v>0.53478509806687846</v>
      </c>
      <c r="J190">
        <f t="shared" si="13"/>
        <v>0.55492287783401095</v>
      </c>
      <c r="K190">
        <f t="shared" si="14"/>
        <v>0.53478509806687846</v>
      </c>
      <c r="L190">
        <f t="shared" si="15"/>
        <v>-0.46521490193312154</v>
      </c>
      <c r="M190">
        <f t="shared" si="16"/>
        <v>6.9570196133756923E-2</v>
      </c>
      <c r="N190">
        <f t="shared" si="17"/>
        <v>-6.9570196133756923E-2</v>
      </c>
    </row>
    <row r="191" spans="1:14" x14ac:dyDescent="0.25">
      <c r="A191" s="1">
        <v>45936</v>
      </c>
      <c r="B191">
        <v>6740.28</v>
      </c>
      <c r="C191">
        <v>6740</v>
      </c>
      <c r="D191">
        <v>11</v>
      </c>
      <c r="E191">
        <v>46</v>
      </c>
      <c r="F191">
        <v>10.339</v>
      </c>
      <c r="G191">
        <v>13.135999999999999</v>
      </c>
      <c r="H191">
        <v>4.1116E-2</v>
      </c>
      <c r="I191">
        <f t="shared" si="12"/>
        <v>0.53201094063901144</v>
      </c>
      <c r="J191">
        <f t="shared" si="13"/>
        <v>0.55382229133502836</v>
      </c>
      <c r="K191">
        <f t="shared" si="14"/>
        <v>0.55382229133502836</v>
      </c>
      <c r="L191">
        <f t="shared" si="15"/>
        <v>-0.44617770866497164</v>
      </c>
      <c r="M191">
        <f t="shared" si="16"/>
        <v>0.10764458267005672</v>
      </c>
      <c r="N191">
        <f t="shared" si="17"/>
        <v>-0.10764458267005672</v>
      </c>
    </row>
    <row r="192" spans="1:14" x14ac:dyDescent="0.25">
      <c r="A192" s="1">
        <v>45937</v>
      </c>
      <c r="B192">
        <v>6714.59</v>
      </c>
      <c r="C192">
        <v>6715</v>
      </c>
      <c r="D192">
        <v>10</v>
      </c>
      <c r="E192">
        <v>45</v>
      </c>
      <c r="F192">
        <v>11.334</v>
      </c>
      <c r="G192">
        <v>13.709</v>
      </c>
      <c r="H192">
        <v>4.0906999999999999E-2</v>
      </c>
      <c r="I192">
        <f t="shared" si="12"/>
        <v>0.52625764208381531</v>
      </c>
      <c r="J192">
        <f t="shared" si="13"/>
        <v>0.5507564813006377</v>
      </c>
      <c r="K192">
        <f t="shared" si="14"/>
        <v>0.5507564813006377</v>
      </c>
      <c r="L192">
        <f t="shared" si="15"/>
        <v>-0.4492435186993623</v>
      </c>
      <c r="M192">
        <f t="shared" si="16"/>
        <v>0.1015129626012754</v>
      </c>
      <c r="N192">
        <f t="shared" si="17"/>
        <v>-0.1015129626012754</v>
      </c>
    </row>
    <row r="193" spans="1:14" x14ac:dyDescent="0.25">
      <c r="A193" s="1">
        <v>45938</v>
      </c>
      <c r="B193">
        <v>6753.72</v>
      </c>
      <c r="C193">
        <v>6755</v>
      </c>
      <c r="D193">
        <v>9</v>
      </c>
      <c r="E193">
        <v>44</v>
      </c>
      <c r="F193">
        <v>9.9329999999999998</v>
      </c>
      <c r="G193">
        <v>13.143000000000001</v>
      </c>
      <c r="H193">
        <v>4.0800999999999997E-2</v>
      </c>
      <c r="I193">
        <f t="shared" si="12"/>
        <v>0.52398180858473797</v>
      </c>
      <c r="J193">
        <f t="shared" si="13"/>
        <v>0.55031127957403014</v>
      </c>
      <c r="K193">
        <f t="shared" si="14"/>
        <v>0.55031127957403014</v>
      </c>
      <c r="L193">
        <f t="shared" si="15"/>
        <v>-0.44968872042596986</v>
      </c>
      <c r="M193">
        <f t="shared" si="16"/>
        <v>0.10062255914806029</v>
      </c>
      <c r="N193">
        <f t="shared" si="17"/>
        <v>-0.10062255914806029</v>
      </c>
    </row>
    <row r="194" spans="1:14" x14ac:dyDescent="0.25">
      <c r="A194" s="1">
        <v>45939</v>
      </c>
      <c r="B194">
        <v>6735.11</v>
      </c>
      <c r="C194">
        <v>6735</v>
      </c>
      <c r="D194">
        <v>8</v>
      </c>
      <c r="E194">
        <v>43</v>
      </c>
      <c r="F194">
        <v>10.664</v>
      </c>
      <c r="G194">
        <v>13.351000000000001</v>
      </c>
      <c r="H194">
        <v>4.0795999999999999E-2</v>
      </c>
      <c r="I194">
        <f t="shared" si="12"/>
        <v>0.52613784303394562</v>
      </c>
      <c r="J194">
        <f t="shared" si="13"/>
        <v>0.55098431162894435</v>
      </c>
      <c r="K194">
        <f t="shared" si="14"/>
        <v>0.55098431162894435</v>
      </c>
      <c r="L194">
        <f t="shared" si="15"/>
        <v>-0.44901568837105565</v>
      </c>
      <c r="M194">
        <f t="shared" si="16"/>
        <v>0.10196862325788869</v>
      </c>
      <c r="N194">
        <f t="shared" si="17"/>
        <v>-0.10196862325788869</v>
      </c>
    </row>
    <row r="195" spans="1:14" x14ac:dyDescent="0.25">
      <c r="A195" s="1">
        <v>45940</v>
      </c>
      <c r="B195">
        <v>6552.51</v>
      </c>
      <c r="C195">
        <v>6555</v>
      </c>
      <c r="D195">
        <v>7</v>
      </c>
      <c r="E195">
        <v>42</v>
      </c>
      <c r="F195">
        <v>18.722999999999999</v>
      </c>
      <c r="G195">
        <v>17.393000000000001</v>
      </c>
      <c r="H195">
        <v>4.0738000000000003E-2</v>
      </c>
      <c r="I195">
        <f t="shared" ref="I195:I251" si="18">_xlfn.NORM.S.DIST((LN(B195/C195)+(H195+0.5*(F195/100)^2)*(D195/365))/((F195/100)*SQRT(D195/365)),TRUE)</f>
        <v>0.51134560058851197</v>
      </c>
      <c r="J195">
        <f t="shared" ref="J195:J251" si="19">_xlfn.NORM.S.DIST((LN(B195/C195)+(H195+0.5*(G195/100)^2)*(E195/365))/((G195/100)*SQRT(E195/365)),TRUE)</f>
        <v>0.54082494512139179</v>
      </c>
      <c r="K195">
        <f t="shared" ref="K195:K251" si="20">IF(ABS(D195-30)&lt;ABS(E195-30), I195, J195)</f>
        <v>0.54082494512139179</v>
      </c>
      <c r="L195">
        <f t="shared" ref="L195:L251" si="21">K195-1</f>
        <v>-0.45917505487860821</v>
      </c>
      <c r="M195">
        <f t="shared" ref="M195:M251" si="22">K195+L195</f>
        <v>8.1649890242783574E-2</v>
      </c>
      <c r="N195">
        <f t="shared" ref="N195:N251" si="23">-M195</f>
        <v>-8.1649890242783574E-2</v>
      </c>
    </row>
    <row r="196" spans="1:14" x14ac:dyDescent="0.25">
      <c r="A196" s="1">
        <v>45943</v>
      </c>
      <c r="B196">
        <v>6654.72</v>
      </c>
      <c r="C196">
        <v>6655</v>
      </c>
      <c r="D196">
        <v>4</v>
      </c>
      <c r="E196">
        <v>39</v>
      </c>
      <c r="F196">
        <v>12.769</v>
      </c>
      <c r="G196">
        <v>14.757</v>
      </c>
      <c r="H196">
        <v>4.0738000000000003E-2</v>
      </c>
      <c r="I196">
        <f t="shared" si="18"/>
        <v>0.51473136898780014</v>
      </c>
      <c r="J196">
        <f t="shared" si="19"/>
        <v>0.54517659892129533</v>
      </c>
      <c r="K196">
        <f t="shared" si="20"/>
        <v>0.54517659892129533</v>
      </c>
      <c r="L196">
        <f t="shared" si="21"/>
        <v>-0.45482340107870467</v>
      </c>
      <c r="M196">
        <f t="shared" si="22"/>
        <v>9.035319784259066E-2</v>
      </c>
      <c r="N196">
        <f t="shared" si="23"/>
        <v>-9.035319784259066E-2</v>
      </c>
    </row>
    <row r="197" spans="1:14" x14ac:dyDescent="0.25">
      <c r="A197" s="1">
        <v>45944</v>
      </c>
      <c r="B197">
        <v>6644.31</v>
      </c>
      <c r="C197">
        <v>6645</v>
      </c>
      <c r="D197">
        <v>3</v>
      </c>
      <c r="E197">
        <v>38</v>
      </c>
      <c r="F197">
        <v>14.087</v>
      </c>
      <c r="G197">
        <v>15.611000000000001</v>
      </c>
      <c r="H197">
        <v>4.0631E-2</v>
      </c>
      <c r="I197">
        <f t="shared" si="18"/>
        <v>0.50973462214372156</v>
      </c>
      <c r="J197">
        <f t="shared" si="19"/>
        <v>0.54264634241844723</v>
      </c>
      <c r="K197">
        <f t="shared" si="20"/>
        <v>0.54264634241844723</v>
      </c>
      <c r="L197">
        <f t="shared" si="21"/>
        <v>-0.45735365758155277</v>
      </c>
      <c r="M197">
        <f t="shared" si="22"/>
        <v>8.529268483689445E-2</v>
      </c>
      <c r="N197">
        <f t="shared" si="23"/>
        <v>-8.529268483689445E-2</v>
      </c>
    </row>
    <row r="198" spans="1:14" x14ac:dyDescent="0.25">
      <c r="A198" s="1">
        <v>45945</v>
      </c>
      <c r="B198">
        <v>6671.06</v>
      </c>
      <c r="C198">
        <v>6670</v>
      </c>
      <c r="D198">
        <v>2</v>
      </c>
      <c r="E198">
        <v>37</v>
      </c>
      <c r="F198">
        <v>13.957000000000001</v>
      </c>
      <c r="G198">
        <v>15.914999999999999</v>
      </c>
      <c r="H198">
        <v>4.0856000000000003E-2</v>
      </c>
      <c r="I198">
        <f t="shared" si="18"/>
        <v>0.51683650783011981</v>
      </c>
      <c r="J198">
        <f t="shared" si="19"/>
        <v>0.54387692629908879</v>
      </c>
      <c r="K198">
        <f t="shared" si="20"/>
        <v>0.54387692629908879</v>
      </c>
      <c r="L198">
        <f t="shared" si="21"/>
        <v>-0.45612307370091121</v>
      </c>
      <c r="M198">
        <f t="shared" si="22"/>
        <v>8.7753852598177584E-2</v>
      </c>
      <c r="N198">
        <f t="shared" si="23"/>
        <v>-8.7753852598177584E-2</v>
      </c>
    </row>
    <row r="199" spans="1:14" x14ac:dyDescent="0.25">
      <c r="A199" s="1">
        <v>45946</v>
      </c>
      <c r="B199">
        <v>6629.07</v>
      </c>
      <c r="C199">
        <v>6630</v>
      </c>
      <c r="D199">
        <v>1</v>
      </c>
      <c r="E199">
        <v>36</v>
      </c>
      <c r="F199">
        <v>16.376999999999999</v>
      </c>
      <c r="G199">
        <v>18.591000000000001</v>
      </c>
      <c r="H199">
        <v>4.0774999999999999E-2</v>
      </c>
      <c r="I199">
        <f t="shared" si="18"/>
        <v>0.50038030074335582</v>
      </c>
      <c r="J199">
        <f t="shared" si="19"/>
        <v>0.53810895273861981</v>
      </c>
      <c r="K199">
        <f t="shared" si="20"/>
        <v>0.53810895273861981</v>
      </c>
      <c r="L199">
        <f t="shared" si="21"/>
        <v>-0.46189104726138019</v>
      </c>
      <c r="M199">
        <f t="shared" si="22"/>
        <v>7.6217905477239611E-2</v>
      </c>
      <c r="N199">
        <f t="shared" si="23"/>
        <v>-7.6217905477239611E-2</v>
      </c>
    </row>
    <row r="200" spans="1:14" x14ac:dyDescent="0.25">
      <c r="A200" s="1">
        <v>45947</v>
      </c>
      <c r="B200">
        <v>6664.01</v>
      </c>
      <c r="C200">
        <v>6665</v>
      </c>
      <c r="D200">
        <v>35</v>
      </c>
      <c r="E200">
        <v>63</v>
      </c>
      <c r="F200">
        <v>16.280999999999999</v>
      </c>
      <c r="G200">
        <v>16.428999999999998</v>
      </c>
      <c r="H200">
        <v>4.0431999999999996E-2</v>
      </c>
      <c r="I200">
        <f t="shared" si="18"/>
        <v>0.5394953856363176</v>
      </c>
      <c r="J200">
        <f t="shared" si="19"/>
        <v>0.55337588783130687</v>
      </c>
      <c r="K200">
        <f t="shared" si="20"/>
        <v>0.5394953856363176</v>
      </c>
      <c r="L200">
        <f t="shared" si="21"/>
        <v>-0.4605046143636824</v>
      </c>
      <c r="M200">
        <f t="shared" si="22"/>
        <v>7.8990771272635207E-2</v>
      </c>
      <c r="N200">
        <f t="shared" si="23"/>
        <v>-7.8990771272635207E-2</v>
      </c>
    </row>
    <row r="201" spans="1:14" x14ac:dyDescent="0.25">
      <c r="A201" s="1">
        <v>45950</v>
      </c>
      <c r="B201">
        <v>6735.13</v>
      </c>
      <c r="C201">
        <v>6735</v>
      </c>
      <c r="D201">
        <v>32</v>
      </c>
      <c r="E201">
        <v>60</v>
      </c>
      <c r="F201">
        <v>13.888</v>
      </c>
      <c r="G201">
        <v>14.577</v>
      </c>
      <c r="H201">
        <v>4.0350999999999998E-2</v>
      </c>
      <c r="I201">
        <f t="shared" si="18"/>
        <v>0.54262882033387172</v>
      </c>
      <c r="J201">
        <f t="shared" si="19"/>
        <v>0.55650301001533986</v>
      </c>
      <c r="K201">
        <f t="shared" si="20"/>
        <v>0.54262882033387172</v>
      </c>
      <c r="L201">
        <f t="shared" si="21"/>
        <v>-0.45737117966612828</v>
      </c>
      <c r="M201">
        <f t="shared" si="22"/>
        <v>8.525764066774344E-2</v>
      </c>
      <c r="N201">
        <f t="shared" si="23"/>
        <v>-8.525764066774344E-2</v>
      </c>
    </row>
    <row r="202" spans="1:14" x14ac:dyDescent="0.25">
      <c r="A202" s="1">
        <v>45951</v>
      </c>
      <c r="B202">
        <v>6735.35</v>
      </c>
      <c r="C202">
        <v>6735</v>
      </c>
      <c r="D202">
        <v>31</v>
      </c>
      <c r="E202">
        <v>59</v>
      </c>
      <c r="F202">
        <v>13.778</v>
      </c>
      <c r="G202">
        <v>14.492000000000001</v>
      </c>
      <c r="H202">
        <v>4.0091000000000002E-2</v>
      </c>
      <c r="I202">
        <f t="shared" si="18"/>
        <v>0.54227652903855517</v>
      </c>
      <c r="J202">
        <f t="shared" si="19"/>
        <v>0.55616310645139078</v>
      </c>
      <c r="K202">
        <f t="shared" si="20"/>
        <v>0.54227652903855517</v>
      </c>
      <c r="L202">
        <f t="shared" si="21"/>
        <v>-0.45772347096144483</v>
      </c>
      <c r="M202">
        <f t="shared" si="22"/>
        <v>8.4553058077110332E-2</v>
      </c>
      <c r="N202">
        <f t="shared" si="23"/>
        <v>-8.4553058077110332E-2</v>
      </c>
    </row>
    <row r="203" spans="1:14" x14ac:dyDescent="0.25">
      <c r="A203" s="1">
        <v>45952</v>
      </c>
      <c r="B203">
        <v>6699.4</v>
      </c>
      <c r="C203">
        <v>6700</v>
      </c>
      <c r="D203">
        <v>30</v>
      </c>
      <c r="E203">
        <v>58</v>
      </c>
      <c r="F203">
        <v>14.462</v>
      </c>
      <c r="G203">
        <v>14.965</v>
      </c>
      <c r="H203">
        <v>4.0060999999999999E-2</v>
      </c>
      <c r="I203">
        <f t="shared" si="18"/>
        <v>0.53902851892641335</v>
      </c>
      <c r="J203">
        <f t="shared" si="19"/>
        <v>0.5537090550035717</v>
      </c>
      <c r="K203">
        <f t="shared" si="20"/>
        <v>0.53902851892641335</v>
      </c>
      <c r="L203">
        <f t="shared" si="21"/>
        <v>-0.46097148107358665</v>
      </c>
      <c r="M203">
        <f t="shared" si="22"/>
        <v>7.8057037852826694E-2</v>
      </c>
      <c r="N203">
        <f t="shared" si="23"/>
        <v>-7.8057037852826694E-2</v>
      </c>
    </row>
    <row r="204" spans="1:14" x14ac:dyDescent="0.25">
      <c r="A204" s="1">
        <v>45953</v>
      </c>
      <c r="B204">
        <v>6738.44</v>
      </c>
      <c r="C204">
        <v>6740</v>
      </c>
      <c r="D204">
        <v>29</v>
      </c>
      <c r="E204">
        <v>57</v>
      </c>
      <c r="F204">
        <v>13.452</v>
      </c>
      <c r="G204">
        <v>14.262</v>
      </c>
      <c r="H204">
        <v>4.0057000000000002E-2</v>
      </c>
      <c r="I204">
        <f t="shared" si="18"/>
        <v>0.53855305208695803</v>
      </c>
      <c r="J204">
        <f t="shared" si="19"/>
        <v>0.55371942759909432</v>
      </c>
      <c r="K204">
        <f t="shared" si="20"/>
        <v>0.53855305208695803</v>
      </c>
      <c r="L204">
        <f t="shared" si="21"/>
        <v>-0.46144694791304197</v>
      </c>
      <c r="M204">
        <f t="shared" si="22"/>
        <v>7.7106104173916057E-2</v>
      </c>
      <c r="N204">
        <f t="shared" si="23"/>
        <v>-7.7106104173916057E-2</v>
      </c>
    </row>
    <row r="205" spans="1:14" x14ac:dyDescent="0.25">
      <c r="A205" s="1">
        <v>45954</v>
      </c>
      <c r="B205">
        <v>6791.69</v>
      </c>
      <c r="C205">
        <v>6790</v>
      </c>
      <c r="D205">
        <v>28</v>
      </c>
      <c r="E205">
        <v>56</v>
      </c>
      <c r="F205">
        <v>12.756</v>
      </c>
      <c r="G205">
        <v>13.829000000000001</v>
      </c>
      <c r="H205">
        <v>3.9844999999999998E-2</v>
      </c>
      <c r="I205">
        <f t="shared" si="18"/>
        <v>0.54428071152387303</v>
      </c>
      <c r="J205">
        <f t="shared" si="19"/>
        <v>0.55746123935349634</v>
      </c>
      <c r="K205">
        <f t="shared" si="20"/>
        <v>0.54428071152387303</v>
      </c>
      <c r="L205">
        <f t="shared" si="21"/>
        <v>-0.45571928847612697</v>
      </c>
      <c r="M205">
        <f t="shared" si="22"/>
        <v>8.8561423047746057E-2</v>
      </c>
      <c r="N205">
        <f t="shared" si="23"/>
        <v>-8.8561423047746057E-2</v>
      </c>
    </row>
    <row r="206" spans="1:14" x14ac:dyDescent="0.25">
      <c r="A206" s="1">
        <v>45957</v>
      </c>
      <c r="B206">
        <v>6875.16</v>
      </c>
      <c r="C206">
        <v>6875</v>
      </c>
      <c r="D206">
        <v>25</v>
      </c>
      <c r="E206">
        <v>53</v>
      </c>
      <c r="F206">
        <v>12.114000000000001</v>
      </c>
      <c r="G206">
        <v>13.492000000000001</v>
      </c>
      <c r="H206">
        <v>4.0018999999999999E-2</v>
      </c>
      <c r="I206">
        <f t="shared" si="18"/>
        <v>0.54103572326218941</v>
      </c>
      <c r="J206">
        <f t="shared" si="19"/>
        <v>0.55534827694033984</v>
      </c>
      <c r="K206">
        <f t="shared" si="20"/>
        <v>0.54103572326218941</v>
      </c>
      <c r="L206">
        <f t="shared" si="21"/>
        <v>-0.45896427673781059</v>
      </c>
      <c r="M206">
        <f t="shared" si="22"/>
        <v>8.207144652437881E-2</v>
      </c>
      <c r="N206">
        <f t="shared" si="23"/>
        <v>-8.207144652437881E-2</v>
      </c>
    </row>
    <row r="207" spans="1:14" x14ac:dyDescent="0.25">
      <c r="A207" s="1">
        <v>45958</v>
      </c>
      <c r="B207">
        <v>6890.89</v>
      </c>
      <c r="C207">
        <v>6890</v>
      </c>
      <c r="D207">
        <v>24</v>
      </c>
      <c r="E207">
        <v>52</v>
      </c>
      <c r="F207">
        <v>13.048</v>
      </c>
      <c r="G207">
        <v>14.25</v>
      </c>
      <c r="H207">
        <v>3.9580999999999998E-2</v>
      </c>
      <c r="I207">
        <f t="shared" si="18"/>
        <v>0.53918301020533232</v>
      </c>
      <c r="J207">
        <f t="shared" si="19"/>
        <v>0.5533519016097509</v>
      </c>
      <c r="K207">
        <f t="shared" si="20"/>
        <v>0.53918301020533232</v>
      </c>
      <c r="L207">
        <f t="shared" si="21"/>
        <v>-0.46081698979466768</v>
      </c>
      <c r="M207">
        <f t="shared" si="22"/>
        <v>7.836602041066465E-2</v>
      </c>
      <c r="N207">
        <f t="shared" si="23"/>
        <v>-7.836602041066465E-2</v>
      </c>
    </row>
    <row r="208" spans="1:14" x14ac:dyDescent="0.25">
      <c r="A208" s="1">
        <v>45959</v>
      </c>
      <c r="B208">
        <v>6890.59</v>
      </c>
      <c r="C208">
        <v>6890</v>
      </c>
      <c r="D208">
        <v>23</v>
      </c>
      <c r="E208">
        <v>51</v>
      </c>
      <c r="F208">
        <v>13.914</v>
      </c>
      <c r="G208">
        <v>14.795999999999999</v>
      </c>
      <c r="H208">
        <v>3.9296000000000005E-2</v>
      </c>
      <c r="I208">
        <f t="shared" si="18"/>
        <v>0.5361782626163264</v>
      </c>
      <c r="J208">
        <f t="shared" si="19"/>
        <v>0.55111446194782199</v>
      </c>
      <c r="K208">
        <f t="shared" si="20"/>
        <v>0.5361782626163264</v>
      </c>
      <c r="L208">
        <f t="shared" si="21"/>
        <v>-0.4638217373836736</v>
      </c>
      <c r="M208">
        <f t="shared" si="22"/>
        <v>7.2356525232652791E-2</v>
      </c>
      <c r="N208">
        <f t="shared" si="23"/>
        <v>-7.2356525232652791E-2</v>
      </c>
    </row>
    <row r="209" spans="1:14" x14ac:dyDescent="0.25">
      <c r="A209" s="1">
        <v>45960</v>
      </c>
      <c r="B209">
        <v>6822.34</v>
      </c>
      <c r="C209">
        <v>6820</v>
      </c>
      <c r="D209">
        <v>22</v>
      </c>
      <c r="E209">
        <v>50</v>
      </c>
      <c r="F209">
        <v>14.114000000000001</v>
      </c>
      <c r="G209">
        <v>15.2</v>
      </c>
      <c r="H209">
        <v>3.9266999999999996E-2</v>
      </c>
      <c r="I209">
        <f t="shared" si="18"/>
        <v>0.53805269341821793</v>
      </c>
      <c r="J209">
        <f t="shared" si="19"/>
        <v>0.55165386940677463</v>
      </c>
      <c r="K209">
        <f t="shared" si="20"/>
        <v>0.53805269341821793</v>
      </c>
      <c r="L209">
        <f t="shared" si="21"/>
        <v>-0.46194730658178207</v>
      </c>
      <c r="M209">
        <f t="shared" si="22"/>
        <v>7.6105386836435862E-2</v>
      </c>
      <c r="N209">
        <f t="shared" si="23"/>
        <v>-7.6105386836435862E-2</v>
      </c>
    </row>
    <row r="210" spans="1:14" x14ac:dyDescent="0.25">
      <c r="A210" s="1">
        <v>45961</v>
      </c>
      <c r="B210">
        <v>6840.2</v>
      </c>
      <c r="C210">
        <v>6840</v>
      </c>
      <c r="D210">
        <v>21</v>
      </c>
      <c r="E210">
        <v>49</v>
      </c>
      <c r="F210">
        <v>14.108000000000001</v>
      </c>
      <c r="G210">
        <v>15.378</v>
      </c>
      <c r="H210">
        <v>3.8977999999999999E-2</v>
      </c>
      <c r="I210">
        <f t="shared" si="18"/>
        <v>0.53349326573028177</v>
      </c>
      <c r="J210">
        <f t="shared" si="19"/>
        <v>0.54837637130077543</v>
      </c>
      <c r="K210">
        <f t="shared" si="20"/>
        <v>0.53349326573028177</v>
      </c>
      <c r="L210">
        <f t="shared" si="21"/>
        <v>-0.46650673426971823</v>
      </c>
      <c r="M210">
        <f t="shared" si="22"/>
        <v>6.6986531460563548E-2</v>
      </c>
      <c r="N210">
        <f t="shared" si="23"/>
        <v>-6.6986531460563548E-2</v>
      </c>
    </row>
    <row r="211" spans="1:14" x14ac:dyDescent="0.25">
      <c r="A211" s="1">
        <v>45964</v>
      </c>
      <c r="B211">
        <v>6851.97</v>
      </c>
      <c r="C211">
        <v>6850</v>
      </c>
      <c r="D211">
        <v>18</v>
      </c>
      <c r="E211">
        <v>46</v>
      </c>
      <c r="F211">
        <v>12.869</v>
      </c>
      <c r="G211">
        <v>14.632999999999999</v>
      </c>
      <c r="H211">
        <v>3.9687E-2</v>
      </c>
      <c r="I211">
        <f t="shared" si="18"/>
        <v>0.53698292258607927</v>
      </c>
      <c r="J211">
        <f t="shared" si="19"/>
        <v>0.55084309315189528</v>
      </c>
      <c r="K211">
        <f t="shared" si="20"/>
        <v>0.53698292258607927</v>
      </c>
      <c r="L211">
        <f t="shared" si="21"/>
        <v>-0.46301707741392073</v>
      </c>
      <c r="M211">
        <f t="shared" si="22"/>
        <v>7.396584517215854E-2</v>
      </c>
      <c r="N211">
        <f t="shared" si="23"/>
        <v>-7.396584517215854E-2</v>
      </c>
    </row>
    <row r="212" spans="1:14" x14ac:dyDescent="0.25">
      <c r="A212" s="1">
        <v>45965</v>
      </c>
      <c r="B212">
        <v>6771.55</v>
      </c>
      <c r="C212">
        <v>6770</v>
      </c>
      <c r="D212">
        <v>17</v>
      </c>
      <c r="E212">
        <v>45</v>
      </c>
      <c r="F212">
        <v>15.054</v>
      </c>
      <c r="G212">
        <v>15.914999999999999</v>
      </c>
      <c r="H212">
        <v>3.9326E-2</v>
      </c>
      <c r="I212">
        <f t="shared" si="18"/>
        <v>0.53174938716477871</v>
      </c>
      <c r="J212">
        <f t="shared" si="19"/>
        <v>0.54728307923034758</v>
      </c>
      <c r="K212">
        <f t="shared" si="20"/>
        <v>0.53174938716477871</v>
      </c>
      <c r="L212">
        <f t="shared" si="21"/>
        <v>-0.46825061283522129</v>
      </c>
      <c r="M212">
        <f t="shared" si="22"/>
        <v>6.3498774329557417E-2</v>
      </c>
      <c r="N212">
        <f t="shared" si="23"/>
        <v>-6.3498774329557417E-2</v>
      </c>
    </row>
    <row r="213" spans="1:14" x14ac:dyDescent="0.25">
      <c r="A213" s="1">
        <v>45966</v>
      </c>
      <c r="B213">
        <v>6796.29</v>
      </c>
      <c r="C213">
        <v>6795</v>
      </c>
      <c r="D213">
        <v>16</v>
      </c>
      <c r="E213">
        <v>44</v>
      </c>
      <c r="F213">
        <v>14.089</v>
      </c>
      <c r="G213">
        <v>15.045999999999999</v>
      </c>
      <c r="H213">
        <v>3.8990999999999998E-2</v>
      </c>
      <c r="I213">
        <f t="shared" si="18"/>
        <v>0.53153413984639442</v>
      </c>
      <c r="J213">
        <f t="shared" si="19"/>
        <v>0.54765105716693641</v>
      </c>
      <c r="K213">
        <f t="shared" si="20"/>
        <v>0.54765105716693641</v>
      </c>
      <c r="L213">
        <f t="shared" si="21"/>
        <v>-0.45234894283306359</v>
      </c>
      <c r="M213">
        <f t="shared" si="22"/>
        <v>9.5302114333872812E-2</v>
      </c>
      <c r="N213">
        <f t="shared" si="23"/>
        <v>-9.5302114333872812E-2</v>
      </c>
    </row>
    <row r="214" spans="1:14" x14ac:dyDescent="0.25">
      <c r="A214" s="1">
        <v>45967</v>
      </c>
      <c r="B214">
        <v>6720.32</v>
      </c>
      <c r="C214">
        <v>6720</v>
      </c>
      <c r="D214">
        <v>15</v>
      </c>
      <c r="E214">
        <v>43</v>
      </c>
      <c r="F214">
        <v>16.119</v>
      </c>
      <c r="G214">
        <v>16.437999999999999</v>
      </c>
      <c r="H214">
        <v>3.8553000000000004E-2</v>
      </c>
      <c r="I214">
        <f t="shared" si="18"/>
        <v>0.52642329909279628</v>
      </c>
      <c r="J214">
        <f t="shared" si="19"/>
        <v>0.54361862352583246</v>
      </c>
      <c r="K214">
        <f t="shared" si="20"/>
        <v>0.54361862352583246</v>
      </c>
      <c r="L214">
        <f t="shared" si="21"/>
        <v>-0.45638137647416754</v>
      </c>
      <c r="M214">
        <f t="shared" si="22"/>
        <v>8.7237247051664912E-2</v>
      </c>
      <c r="N214">
        <f t="shared" si="23"/>
        <v>-8.7237247051664912E-2</v>
      </c>
    </row>
    <row r="215" spans="1:14" x14ac:dyDescent="0.25">
      <c r="A215" s="1">
        <v>45968</v>
      </c>
      <c r="B215">
        <v>6728.8</v>
      </c>
      <c r="C215">
        <v>6730</v>
      </c>
      <c r="D215">
        <v>14</v>
      </c>
      <c r="E215">
        <v>42</v>
      </c>
      <c r="F215">
        <v>15.784000000000001</v>
      </c>
      <c r="G215">
        <v>16.215</v>
      </c>
      <c r="H215">
        <v>3.8391000000000002E-2</v>
      </c>
      <c r="I215">
        <f t="shared" si="18"/>
        <v>0.52285608411073237</v>
      </c>
      <c r="J215">
        <f t="shared" si="19"/>
        <v>0.5416430668993597</v>
      </c>
      <c r="K215">
        <f t="shared" si="20"/>
        <v>0.5416430668993597</v>
      </c>
      <c r="L215">
        <f t="shared" si="21"/>
        <v>-0.4583569331006403</v>
      </c>
      <c r="M215">
        <f t="shared" si="22"/>
        <v>8.3286133798719408E-2</v>
      </c>
      <c r="N215">
        <f t="shared" si="23"/>
        <v>-8.3286133798719408E-2</v>
      </c>
    </row>
    <row r="216" spans="1:14" x14ac:dyDescent="0.25">
      <c r="A216" s="1">
        <v>45971</v>
      </c>
      <c r="B216">
        <v>6832.43</v>
      </c>
      <c r="C216">
        <v>6830</v>
      </c>
      <c r="D216">
        <v>11</v>
      </c>
      <c r="E216">
        <v>39</v>
      </c>
      <c r="F216">
        <v>12.962999999999999</v>
      </c>
      <c r="G216">
        <v>14.49</v>
      </c>
      <c r="H216">
        <v>3.9453999999999996E-2</v>
      </c>
      <c r="I216">
        <f t="shared" si="18"/>
        <v>0.53183988833324336</v>
      </c>
      <c r="J216">
        <f t="shared" si="19"/>
        <v>0.54783619960736396</v>
      </c>
      <c r="K216">
        <f t="shared" si="20"/>
        <v>0.54783619960736396</v>
      </c>
      <c r="L216">
        <f t="shared" si="21"/>
        <v>-0.45216380039263604</v>
      </c>
      <c r="M216">
        <f t="shared" si="22"/>
        <v>9.5672399214727921E-2</v>
      </c>
      <c r="N216">
        <f t="shared" si="23"/>
        <v>-9.5672399214727921E-2</v>
      </c>
    </row>
    <row r="217" spans="1:14" x14ac:dyDescent="0.25">
      <c r="A217" s="1">
        <v>45972</v>
      </c>
      <c r="B217">
        <v>6846.61</v>
      </c>
      <c r="C217">
        <v>6845</v>
      </c>
      <c r="D217">
        <v>10</v>
      </c>
      <c r="E217">
        <v>38</v>
      </c>
      <c r="F217">
        <v>12.435</v>
      </c>
      <c r="G217">
        <v>14.334</v>
      </c>
      <c r="H217">
        <v>3.9453999999999996E-2</v>
      </c>
      <c r="I217">
        <f t="shared" si="18"/>
        <v>0.52958804380982416</v>
      </c>
      <c r="J217">
        <f t="shared" si="19"/>
        <v>0.54657848659231711</v>
      </c>
      <c r="K217">
        <f t="shared" si="20"/>
        <v>0.54657848659231711</v>
      </c>
      <c r="L217">
        <f t="shared" si="21"/>
        <v>-0.45342151340768289</v>
      </c>
      <c r="M217">
        <f t="shared" si="22"/>
        <v>9.3156973184634229E-2</v>
      </c>
      <c r="N217">
        <f t="shared" si="23"/>
        <v>-9.3156973184634229E-2</v>
      </c>
    </row>
    <row r="218" spans="1:14" x14ac:dyDescent="0.25">
      <c r="A218" s="1">
        <v>45973</v>
      </c>
      <c r="B218">
        <v>6850.92</v>
      </c>
      <c r="C218">
        <v>6850</v>
      </c>
      <c r="D218">
        <v>9</v>
      </c>
      <c r="E218">
        <v>37</v>
      </c>
      <c r="F218">
        <v>12.741</v>
      </c>
      <c r="G218">
        <v>14.388999999999999</v>
      </c>
      <c r="H218">
        <v>3.9321999999999996E-2</v>
      </c>
      <c r="I218">
        <f t="shared" si="18"/>
        <v>0.5259841091255254</v>
      </c>
      <c r="J218">
        <f t="shared" si="19"/>
        <v>0.54492359856231398</v>
      </c>
      <c r="K218">
        <f t="shared" si="20"/>
        <v>0.54492359856231398</v>
      </c>
      <c r="L218">
        <f t="shared" si="21"/>
        <v>-0.45507640143768602</v>
      </c>
      <c r="M218">
        <f t="shared" si="22"/>
        <v>8.9847197124627964E-2</v>
      </c>
      <c r="N218">
        <f t="shared" si="23"/>
        <v>-8.9847197124627964E-2</v>
      </c>
    </row>
    <row r="219" spans="1:14" x14ac:dyDescent="0.25">
      <c r="A219" s="1">
        <v>45974</v>
      </c>
      <c r="B219">
        <v>6737.49</v>
      </c>
      <c r="C219">
        <v>6735</v>
      </c>
      <c r="D219">
        <v>8</v>
      </c>
      <c r="E219">
        <v>36</v>
      </c>
      <c r="F219">
        <v>16.762</v>
      </c>
      <c r="G219">
        <v>16.553000000000001</v>
      </c>
      <c r="H219">
        <v>3.9445000000000001E-2</v>
      </c>
      <c r="I219">
        <f t="shared" si="18"/>
        <v>0.52477523531794279</v>
      </c>
      <c r="J219">
        <f t="shared" si="19"/>
        <v>0.54297869038973623</v>
      </c>
      <c r="K219">
        <f t="shared" si="20"/>
        <v>0.54297869038973623</v>
      </c>
      <c r="L219">
        <f t="shared" si="21"/>
        <v>-0.45702130961026377</v>
      </c>
      <c r="M219">
        <f t="shared" si="22"/>
        <v>8.5957380779472459E-2</v>
      </c>
      <c r="N219">
        <f t="shared" si="23"/>
        <v>-8.5957380779472459E-2</v>
      </c>
    </row>
    <row r="220" spans="1:14" x14ac:dyDescent="0.25">
      <c r="A220" s="1">
        <v>45975</v>
      </c>
      <c r="B220">
        <v>6734.11</v>
      </c>
      <c r="C220">
        <v>6735</v>
      </c>
      <c r="D220">
        <v>7</v>
      </c>
      <c r="E220">
        <v>35</v>
      </c>
      <c r="F220">
        <v>16.824999999999999</v>
      </c>
      <c r="G220">
        <v>16.481000000000002</v>
      </c>
      <c r="H220">
        <v>3.9054000000000005E-2</v>
      </c>
      <c r="I220">
        <f t="shared" si="18"/>
        <v>0.51520526689061286</v>
      </c>
      <c r="J220">
        <f t="shared" si="19"/>
        <v>0.53836155889557236</v>
      </c>
      <c r="K220">
        <f t="shared" si="20"/>
        <v>0.53836155889557236</v>
      </c>
      <c r="L220">
        <f t="shared" si="21"/>
        <v>-0.46163844110442764</v>
      </c>
      <c r="M220">
        <f t="shared" si="22"/>
        <v>7.6723117791144713E-2</v>
      </c>
      <c r="N220">
        <f t="shared" si="23"/>
        <v>-7.6723117791144713E-2</v>
      </c>
    </row>
    <row r="221" spans="1:14" x14ac:dyDescent="0.25">
      <c r="A221" s="1">
        <v>45978</v>
      </c>
      <c r="B221">
        <v>6672.41</v>
      </c>
      <c r="C221">
        <v>6670</v>
      </c>
      <c r="D221">
        <v>4</v>
      </c>
      <c r="E221">
        <v>32</v>
      </c>
      <c r="F221">
        <v>19.116</v>
      </c>
      <c r="G221">
        <v>17.922000000000001</v>
      </c>
      <c r="H221">
        <v>3.9483000000000004E-2</v>
      </c>
      <c r="I221">
        <f t="shared" si="18"/>
        <v>0.51981134158329767</v>
      </c>
      <c r="J221">
        <f t="shared" si="19"/>
        <v>0.53926067305785952</v>
      </c>
      <c r="K221">
        <f t="shared" si="20"/>
        <v>0.53926067305785952</v>
      </c>
      <c r="L221">
        <f t="shared" si="21"/>
        <v>-0.46073932694214048</v>
      </c>
      <c r="M221">
        <f t="shared" si="22"/>
        <v>7.8521346115719037E-2</v>
      </c>
      <c r="N221">
        <f t="shared" si="23"/>
        <v>-7.8521346115719037E-2</v>
      </c>
    </row>
    <row r="222" spans="1:14" x14ac:dyDescent="0.25">
      <c r="A222" s="1">
        <v>45979</v>
      </c>
      <c r="B222">
        <v>6617.32</v>
      </c>
      <c r="C222">
        <v>6615</v>
      </c>
      <c r="D222">
        <v>3</v>
      </c>
      <c r="E222">
        <v>31</v>
      </c>
      <c r="F222">
        <v>22.120999999999999</v>
      </c>
      <c r="G222">
        <v>19.593</v>
      </c>
      <c r="H222">
        <v>3.9275000000000004E-2</v>
      </c>
      <c r="I222">
        <f t="shared" si="18"/>
        <v>0.51739179936187218</v>
      </c>
      <c r="J222">
        <f t="shared" si="19"/>
        <v>0.53709169838407234</v>
      </c>
      <c r="K222">
        <f t="shared" si="20"/>
        <v>0.53709169838407234</v>
      </c>
      <c r="L222">
        <f t="shared" si="21"/>
        <v>-0.46290830161592766</v>
      </c>
      <c r="M222">
        <f t="shared" si="22"/>
        <v>7.4183396768144672E-2</v>
      </c>
      <c r="N222">
        <f t="shared" si="23"/>
        <v>-7.4183396768144672E-2</v>
      </c>
    </row>
    <row r="223" spans="1:14" x14ac:dyDescent="0.25">
      <c r="A223" s="1">
        <v>45980</v>
      </c>
      <c r="B223">
        <v>6642.16</v>
      </c>
      <c r="C223">
        <v>6640</v>
      </c>
      <c r="D223">
        <v>2</v>
      </c>
      <c r="E223">
        <v>30</v>
      </c>
      <c r="F223">
        <v>22.905000000000001</v>
      </c>
      <c r="G223">
        <v>19.074000000000002</v>
      </c>
      <c r="H223">
        <v>3.9195000000000001E-2</v>
      </c>
      <c r="I223">
        <f t="shared" si="18"/>
        <v>0.51608393115471873</v>
      </c>
      <c r="J223">
        <f t="shared" si="19"/>
        <v>0.5367310165080611</v>
      </c>
      <c r="K223">
        <f t="shared" si="20"/>
        <v>0.5367310165080611</v>
      </c>
      <c r="L223">
        <f t="shared" si="21"/>
        <v>-0.4632689834919389</v>
      </c>
      <c r="M223">
        <f t="shared" si="22"/>
        <v>7.3462033016122197E-2</v>
      </c>
      <c r="N223">
        <f t="shared" si="23"/>
        <v>-7.3462033016122197E-2</v>
      </c>
    </row>
    <row r="224" spans="1:14" x14ac:dyDescent="0.25">
      <c r="A224" s="1">
        <v>45981</v>
      </c>
      <c r="B224">
        <v>6538.76</v>
      </c>
      <c r="C224">
        <v>6540</v>
      </c>
      <c r="D224">
        <v>1</v>
      </c>
      <c r="E224">
        <v>29</v>
      </c>
      <c r="F224">
        <v>22.518999999999998</v>
      </c>
      <c r="G224">
        <v>21.553000000000001</v>
      </c>
      <c r="H224">
        <v>3.9266999999999996E-2</v>
      </c>
      <c r="I224">
        <f t="shared" si="18"/>
        <v>0.499574450432622</v>
      </c>
      <c r="J224">
        <f t="shared" si="19"/>
        <v>0.53132800826576598</v>
      </c>
      <c r="K224">
        <f t="shared" si="20"/>
        <v>0.53132800826576598</v>
      </c>
      <c r="L224">
        <f t="shared" si="21"/>
        <v>-0.46867199173423402</v>
      </c>
      <c r="M224">
        <f t="shared" si="22"/>
        <v>6.2656016531531966E-2</v>
      </c>
      <c r="N224">
        <f t="shared" si="23"/>
        <v>-6.2656016531531966E-2</v>
      </c>
    </row>
    <row r="225" spans="1:14" x14ac:dyDescent="0.25">
      <c r="A225" s="1">
        <v>45982</v>
      </c>
      <c r="B225">
        <v>6602.99</v>
      </c>
      <c r="C225">
        <v>6605</v>
      </c>
      <c r="D225">
        <v>28</v>
      </c>
      <c r="E225">
        <v>56</v>
      </c>
      <c r="F225">
        <v>19.463999999999999</v>
      </c>
      <c r="G225">
        <v>18.731999999999999</v>
      </c>
      <c r="H225">
        <v>3.9182000000000002E-2</v>
      </c>
      <c r="I225">
        <f t="shared" si="18"/>
        <v>0.53071382010051238</v>
      </c>
      <c r="J225">
        <f t="shared" si="19"/>
        <v>0.54556709784679303</v>
      </c>
      <c r="K225">
        <f t="shared" si="20"/>
        <v>0.53071382010051238</v>
      </c>
      <c r="L225">
        <f t="shared" si="21"/>
        <v>-0.46928617989948762</v>
      </c>
      <c r="M225">
        <f t="shared" si="22"/>
        <v>6.1427640201024758E-2</v>
      </c>
      <c r="N225">
        <f t="shared" si="23"/>
        <v>-6.1427640201024758E-2</v>
      </c>
    </row>
    <row r="226" spans="1:14" x14ac:dyDescent="0.25">
      <c r="A226" s="1">
        <v>45985</v>
      </c>
      <c r="B226">
        <v>6705.12</v>
      </c>
      <c r="C226">
        <v>6705</v>
      </c>
      <c r="D226">
        <v>25</v>
      </c>
      <c r="E226">
        <v>53</v>
      </c>
      <c r="F226">
        <v>16.523</v>
      </c>
      <c r="G226">
        <v>16.568999999999999</v>
      </c>
      <c r="H226">
        <v>3.9559999999999998E-2</v>
      </c>
      <c r="I226">
        <f t="shared" si="18"/>
        <v>0.53374817844033839</v>
      </c>
      <c r="J226">
        <f t="shared" si="19"/>
        <v>0.54888048882422369</v>
      </c>
      <c r="K226">
        <f t="shared" si="20"/>
        <v>0.53374817844033839</v>
      </c>
      <c r="L226">
        <f t="shared" si="21"/>
        <v>-0.46625182155966161</v>
      </c>
      <c r="M226">
        <f t="shared" si="22"/>
        <v>6.7496356880676789E-2</v>
      </c>
      <c r="N226">
        <f t="shared" si="23"/>
        <v>-6.7496356880676789E-2</v>
      </c>
    </row>
    <row r="227" spans="1:14" x14ac:dyDescent="0.25">
      <c r="A227" s="1">
        <v>45986</v>
      </c>
      <c r="B227">
        <v>6765.88</v>
      </c>
      <c r="C227">
        <v>6765</v>
      </c>
      <c r="D227">
        <v>24</v>
      </c>
      <c r="E227">
        <v>52</v>
      </c>
      <c r="F227">
        <v>14.941000000000001</v>
      </c>
      <c r="G227">
        <v>15.433</v>
      </c>
      <c r="H227">
        <v>3.9529999999999996E-2</v>
      </c>
      <c r="I227">
        <f t="shared" si="18"/>
        <v>0.53601311347852232</v>
      </c>
      <c r="J227">
        <f t="shared" si="19"/>
        <v>0.55094035492687898</v>
      </c>
      <c r="K227">
        <f t="shared" si="20"/>
        <v>0.53601311347852232</v>
      </c>
      <c r="L227">
        <f t="shared" si="21"/>
        <v>-0.46398688652147768</v>
      </c>
      <c r="M227">
        <f t="shared" si="22"/>
        <v>7.2026226957044637E-2</v>
      </c>
      <c r="N227">
        <f t="shared" si="23"/>
        <v>-7.2026226957044637E-2</v>
      </c>
    </row>
    <row r="228" spans="1:14" x14ac:dyDescent="0.25">
      <c r="A228" s="1">
        <v>45987</v>
      </c>
      <c r="B228">
        <v>6812.61</v>
      </c>
      <c r="C228">
        <v>6815</v>
      </c>
      <c r="D228">
        <v>23</v>
      </c>
      <c r="E228">
        <v>51</v>
      </c>
      <c r="F228">
        <v>14.131</v>
      </c>
      <c r="G228">
        <v>14.771000000000001</v>
      </c>
      <c r="H228">
        <v>4.0030999999999997E-2</v>
      </c>
      <c r="I228">
        <f t="shared" si="18"/>
        <v>0.53146765068786928</v>
      </c>
      <c r="J228">
        <f t="shared" si="19"/>
        <v>0.54877140828206705</v>
      </c>
      <c r="K228">
        <f t="shared" si="20"/>
        <v>0.53146765068786928</v>
      </c>
      <c r="L228">
        <f t="shared" si="21"/>
        <v>-0.46853234931213072</v>
      </c>
      <c r="M228">
        <f t="shared" si="22"/>
        <v>6.293530137573855E-2</v>
      </c>
      <c r="N228">
        <f t="shared" si="23"/>
        <v>-6.293530137573855E-2</v>
      </c>
    </row>
    <row r="229" spans="1:14" x14ac:dyDescent="0.25">
      <c r="A229" s="1">
        <v>45989</v>
      </c>
      <c r="B229">
        <v>6849.09</v>
      </c>
      <c r="C229">
        <v>6850</v>
      </c>
      <c r="D229">
        <v>21</v>
      </c>
      <c r="E229">
        <v>49</v>
      </c>
      <c r="F229">
        <v>13.532999999999999</v>
      </c>
      <c r="G229">
        <v>14.242000000000001</v>
      </c>
      <c r="H229">
        <v>3.9079999999999997E-2</v>
      </c>
      <c r="I229">
        <f t="shared" si="18"/>
        <v>0.53243969841689287</v>
      </c>
      <c r="J229">
        <f t="shared" si="19"/>
        <v>0.54937572114140121</v>
      </c>
      <c r="K229">
        <f t="shared" si="20"/>
        <v>0.53243969841689287</v>
      </c>
      <c r="L229">
        <f t="shared" si="21"/>
        <v>-0.46756030158310713</v>
      </c>
      <c r="M229">
        <f t="shared" si="22"/>
        <v>6.4879396833785741E-2</v>
      </c>
      <c r="N229">
        <f t="shared" si="23"/>
        <v>-6.4879396833785741E-2</v>
      </c>
    </row>
    <row r="230" spans="1:14" x14ac:dyDescent="0.25">
      <c r="A230" s="1">
        <v>45992</v>
      </c>
      <c r="B230">
        <v>6812.63</v>
      </c>
      <c r="C230">
        <v>6815</v>
      </c>
      <c r="D230">
        <v>18</v>
      </c>
      <c r="E230">
        <v>46</v>
      </c>
      <c r="F230">
        <v>13.77</v>
      </c>
      <c r="G230">
        <v>14.445</v>
      </c>
      <c r="H230">
        <v>3.882E-2</v>
      </c>
      <c r="I230">
        <f t="shared" si="18"/>
        <v>0.52651820613345834</v>
      </c>
      <c r="J230">
        <f t="shared" si="19"/>
        <v>0.54548502225521933</v>
      </c>
      <c r="K230">
        <f t="shared" si="20"/>
        <v>0.52651820613345834</v>
      </c>
      <c r="L230">
        <f t="shared" si="21"/>
        <v>-0.47348179386654166</v>
      </c>
      <c r="M230">
        <f t="shared" si="22"/>
        <v>5.3036412266916688E-2</v>
      </c>
      <c r="N230">
        <f t="shared" si="23"/>
        <v>-5.3036412266916688E-2</v>
      </c>
    </row>
    <row r="231" spans="1:14" x14ac:dyDescent="0.25">
      <c r="A231" s="1">
        <v>45993</v>
      </c>
      <c r="B231">
        <v>6829.37</v>
      </c>
      <c r="C231">
        <v>6830</v>
      </c>
      <c r="D231">
        <v>17</v>
      </c>
      <c r="E231">
        <v>45</v>
      </c>
      <c r="F231">
        <v>13.393000000000001</v>
      </c>
      <c r="G231">
        <v>14.231</v>
      </c>
      <c r="H231">
        <v>3.8102999999999998E-2</v>
      </c>
      <c r="I231">
        <f t="shared" si="18"/>
        <v>0.52896135512570841</v>
      </c>
      <c r="J231">
        <f t="shared" si="19"/>
        <v>0.54662948321859595</v>
      </c>
      <c r="K231">
        <f t="shared" si="20"/>
        <v>0.52896135512570841</v>
      </c>
      <c r="L231">
        <f t="shared" si="21"/>
        <v>-0.47103864487429159</v>
      </c>
      <c r="M231">
        <f t="shared" si="22"/>
        <v>5.792271025141682E-2</v>
      </c>
      <c r="N231">
        <f t="shared" si="23"/>
        <v>-5.792271025141682E-2</v>
      </c>
    </row>
    <row r="232" spans="1:14" x14ac:dyDescent="0.25">
      <c r="A232" s="1">
        <v>45994</v>
      </c>
      <c r="B232">
        <v>6849.72</v>
      </c>
      <c r="C232">
        <v>6850</v>
      </c>
      <c r="D232">
        <v>16</v>
      </c>
      <c r="E232">
        <v>44</v>
      </c>
      <c r="F232">
        <v>12.862</v>
      </c>
      <c r="G232">
        <v>13.974</v>
      </c>
      <c r="H232">
        <v>3.7462000000000002E-2</v>
      </c>
      <c r="I232">
        <f t="shared" si="18"/>
        <v>0.52906822403593778</v>
      </c>
      <c r="J232">
        <f t="shared" si="19"/>
        <v>0.54636988535044062</v>
      </c>
      <c r="K232">
        <f t="shared" si="20"/>
        <v>0.54636988535044062</v>
      </c>
      <c r="L232">
        <f t="shared" si="21"/>
        <v>-0.45363011464955938</v>
      </c>
      <c r="M232">
        <f t="shared" si="22"/>
        <v>9.2739770700881241E-2</v>
      </c>
      <c r="N232">
        <f t="shared" si="23"/>
        <v>-9.2739770700881241E-2</v>
      </c>
    </row>
    <row r="233" spans="1:14" x14ac:dyDescent="0.25">
      <c r="A233" s="1">
        <v>45995</v>
      </c>
      <c r="B233">
        <v>6857.12</v>
      </c>
      <c r="C233">
        <v>6855</v>
      </c>
      <c r="D233">
        <v>15</v>
      </c>
      <c r="E233">
        <v>43</v>
      </c>
      <c r="F233">
        <v>12.635999999999999</v>
      </c>
      <c r="G233">
        <v>13.664999999999999</v>
      </c>
      <c r="H233">
        <v>3.7533999999999998E-2</v>
      </c>
      <c r="I233">
        <f t="shared" si="18"/>
        <v>0.53390727883299904</v>
      </c>
      <c r="J233">
        <f t="shared" si="19"/>
        <v>0.5494692177882452</v>
      </c>
      <c r="K233">
        <f t="shared" si="20"/>
        <v>0.5494692177882452</v>
      </c>
      <c r="L233">
        <f t="shared" si="21"/>
        <v>-0.4505307822117548</v>
      </c>
      <c r="M233">
        <f t="shared" si="22"/>
        <v>9.8938435576490402E-2</v>
      </c>
      <c r="N233">
        <f t="shared" si="23"/>
        <v>-9.8938435576490402E-2</v>
      </c>
    </row>
    <row r="234" spans="1:14" x14ac:dyDescent="0.25">
      <c r="A234" s="1">
        <v>45996</v>
      </c>
      <c r="B234">
        <v>6870.4</v>
      </c>
      <c r="C234">
        <v>6870</v>
      </c>
      <c r="D234">
        <v>14</v>
      </c>
      <c r="E234">
        <v>42</v>
      </c>
      <c r="F234">
        <v>12.243</v>
      </c>
      <c r="G234">
        <v>13.417999999999999</v>
      </c>
      <c r="H234">
        <v>3.6734000000000003E-2</v>
      </c>
      <c r="I234">
        <f t="shared" si="18"/>
        <v>0.52916823477388308</v>
      </c>
      <c r="J234">
        <f t="shared" si="19"/>
        <v>0.54653180399521184</v>
      </c>
      <c r="K234">
        <f t="shared" si="20"/>
        <v>0.54653180399521184</v>
      </c>
      <c r="L234">
        <f t="shared" si="21"/>
        <v>-0.45346819600478816</v>
      </c>
      <c r="M234">
        <f t="shared" si="22"/>
        <v>9.306360799042368E-2</v>
      </c>
      <c r="N234">
        <f t="shared" si="23"/>
        <v>-9.306360799042368E-2</v>
      </c>
    </row>
    <row r="235" spans="1:14" x14ac:dyDescent="0.25">
      <c r="A235" s="1">
        <v>45999</v>
      </c>
      <c r="B235">
        <v>6846.51</v>
      </c>
      <c r="C235">
        <v>6845</v>
      </c>
      <c r="D235">
        <v>11</v>
      </c>
      <c r="E235">
        <v>39</v>
      </c>
      <c r="F235">
        <v>13.053000000000001</v>
      </c>
      <c r="G235">
        <v>13.898999999999999</v>
      </c>
      <c r="H235">
        <v>3.7265E-2</v>
      </c>
      <c r="I235">
        <f t="shared" si="18"/>
        <v>0.52815196175210377</v>
      </c>
      <c r="J235">
        <f t="shared" si="19"/>
        <v>0.54586128917249521</v>
      </c>
      <c r="K235">
        <f t="shared" si="20"/>
        <v>0.54586128917249521</v>
      </c>
      <c r="L235">
        <f t="shared" si="21"/>
        <v>-0.45413871082750479</v>
      </c>
      <c r="M235">
        <f t="shared" si="22"/>
        <v>9.1722578344990424E-2</v>
      </c>
      <c r="N235">
        <f t="shared" si="23"/>
        <v>-9.1722578344990424E-2</v>
      </c>
    </row>
    <row r="236" spans="1:14" x14ac:dyDescent="0.25">
      <c r="A236" s="1">
        <v>46000</v>
      </c>
      <c r="B236">
        <v>6840.51</v>
      </c>
      <c r="C236">
        <v>6840</v>
      </c>
      <c r="D236">
        <v>10</v>
      </c>
      <c r="E236">
        <v>38</v>
      </c>
      <c r="F236">
        <v>13.292</v>
      </c>
      <c r="G236">
        <v>14.019</v>
      </c>
      <c r="H236">
        <v>3.7134E-2</v>
      </c>
      <c r="I236">
        <f t="shared" si="18"/>
        <v>0.52417354754827772</v>
      </c>
      <c r="J236">
        <f t="shared" si="19"/>
        <v>0.54368922874185177</v>
      </c>
      <c r="K236">
        <f t="shared" si="20"/>
        <v>0.54368922874185177</v>
      </c>
      <c r="L236">
        <f t="shared" si="21"/>
        <v>-0.45631077125814823</v>
      </c>
      <c r="M236">
        <f t="shared" si="22"/>
        <v>8.7378457483703542E-2</v>
      </c>
      <c r="N236">
        <f t="shared" si="23"/>
        <v>-8.7378457483703542E-2</v>
      </c>
    </row>
    <row r="237" spans="1:14" x14ac:dyDescent="0.25">
      <c r="A237" s="1">
        <v>46001</v>
      </c>
      <c r="B237">
        <v>6886.68</v>
      </c>
      <c r="C237">
        <v>6885</v>
      </c>
      <c r="D237">
        <v>9</v>
      </c>
      <c r="E237">
        <v>37</v>
      </c>
      <c r="F237">
        <v>12.188000000000001</v>
      </c>
      <c r="G237">
        <v>12.86</v>
      </c>
      <c r="H237">
        <v>3.6722999999999999E-2</v>
      </c>
      <c r="I237">
        <f t="shared" si="18"/>
        <v>0.52775605212678867</v>
      </c>
      <c r="J237">
        <f t="shared" si="19"/>
        <v>0.54670840242754881</v>
      </c>
      <c r="K237">
        <f t="shared" si="20"/>
        <v>0.54670840242754881</v>
      </c>
      <c r="L237">
        <f t="shared" si="21"/>
        <v>-0.45329159757245119</v>
      </c>
      <c r="M237">
        <f t="shared" si="22"/>
        <v>9.3416804855097624E-2</v>
      </c>
      <c r="N237">
        <f t="shared" si="23"/>
        <v>-9.3416804855097624E-2</v>
      </c>
    </row>
    <row r="238" spans="1:14" x14ac:dyDescent="0.25">
      <c r="A238" s="1">
        <v>46002</v>
      </c>
      <c r="B238">
        <v>6901</v>
      </c>
      <c r="C238">
        <v>6900</v>
      </c>
      <c r="D238">
        <v>8</v>
      </c>
      <c r="E238">
        <v>36</v>
      </c>
      <c r="F238">
        <v>11.044</v>
      </c>
      <c r="G238">
        <v>12.574</v>
      </c>
      <c r="H238">
        <v>3.6795000000000001E-2</v>
      </c>
      <c r="I238">
        <f t="shared" si="18"/>
        <v>0.52645547520547731</v>
      </c>
      <c r="J238">
        <f t="shared" si="19"/>
        <v>0.54590242292045732</v>
      </c>
      <c r="K238">
        <f t="shared" si="20"/>
        <v>0.54590242292045732</v>
      </c>
      <c r="L238">
        <f t="shared" si="21"/>
        <v>-0.45409757707954268</v>
      </c>
      <c r="M238">
        <f t="shared" si="22"/>
        <v>9.180484584091464E-2</v>
      </c>
      <c r="N238">
        <f t="shared" si="23"/>
        <v>-9.180484584091464E-2</v>
      </c>
    </row>
    <row r="239" spans="1:14" x14ac:dyDescent="0.25">
      <c r="A239" s="1">
        <v>46003</v>
      </c>
      <c r="B239">
        <v>6827.41</v>
      </c>
      <c r="C239">
        <v>6825</v>
      </c>
      <c r="D239">
        <v>7</v>
      </c>
      <c r="E239">
        <v>35</v>
      </c>
      <c r="F239">
        <v>12.365</v>
      </c>
      <c r="G239">
        <v>13.191000000000001</v>
      </c>
      <c r="H239">
        <v>3.6377E-2</v>
      </c>
      <c r="I239">
        <f t="shared" si="18"/>
        <v>0.52787169638137776</v>
      </c>
      <c r="J239">
        <f t="shared" si="19"/>
        <v>0.54556451166467335</v>
      </c>
      <c r="K239">
        <f t="shared" si="20"/>
        <v>0.54556451166467335</v>
      </c>
      <c r="L239">
        <f t="shared" si="21"/>
        <v>-0.45443548833532665</v>
      </c>
      <c r="M239">
        <f t="shared" si="22"/>
        <v>9.1129023329346692E-2</v>
      </c>
      <c r="N239">
        <f t="shared" si="23"/>
        <v>-9.1129023329346692E-2</v>
      </c>
    </row>
    <row r="240" spans="1:14" x14ac:dyDescent="0.25">
      <c r="A240" s="1">
        <v>46006</v>
      </c>
      <c r="B240">
        <v>6816.51</v>
      </c>
      <c r="C240">
        <v>6815</v>
      </c>
      <c r="D240">
        <v>4</v>
      </c>
      <c r="E240">
        <v>32</v>
      </c>
      <c r="F240">
        <v>12.023999999999999</v>
      </c>
      <c r="G240">
        <v>13.148999999999999</v>
      </c>
      <c r="H240">
        <v>3.6704000000000001E-2</v>
      </c>
      <c r="I240">
        <f t="shared" si="18"/>
        <v>0.5222693663171678</v>
      </c>
      <c r="J240">
        <f t="shared" si="19"/>
        <v>0.54292610107697126</v>
      </c>
      <c r="K240">
        <f t="shared" si="20"/>
        <v>0.54292610107697126</v>
      </c>
      <c r="L240">
        <f t="shared" si="21"/>
        <v>-0.45707389892302874</v>
      </c>
      <c r="M240">
        <f t="shared" si="22"/>
        <v>8.5852202153942514E-2</v>
      </c>
      <c r="N240">
        <f t="shared" si="23"/>
        <v>-8.5852202153942514E-2</v>
      </c>
    </row>
    <row r="241" spans="1:14" x14ac:dyDescent="0.25">
      <c r="A241" s="1">
        <v>46007</v>
      </c>
      <c r="B241">
        <v>6800.26</v>
      </c>
      <c r="C241">
        <v>6800</v>
      </c>
      <c r="D241">
        <v>3</v>
      </c>
      <c r="E241">
        <v>31</v>
      </c>
      <c r="F241">
        <v>11.516999999999999</v>
      </c>
      <c r="G241">
        <v>13.122999999999999</v>
      </c>
      <c r="H241">
        <v>3.6573000000000001E-2</v>
      </c>
      <c r="I241">
        <f t="shared" si="18"/>
        <v>0.51502543562933312</v>
      </c>
      <c r="J241">
        <f t="shared" si="19"/>
        <v>0.54036040124285167</v>
      </c>
      <c r="K241">
        <f t="shared" si="20"/>
        <v>0.54036040124285167</v>
      </c>
      <c r="L241">
        <f t="shared" si="21"/>
        <v>-0.45963959875714833</v>
      </c>
      <c r="M241">
        <f t="shared" si="22"/>
        <v>8.0720802485703347E-2</v>
      </c>
      <c r="N241">
        <f t="shared" si="23"/>
        <v>-8.0720802485703347E-2</v>
      </c>
    </row>
    <row r="242" spans="1:14" x14ac:dyDescent="0.25">
      <c r="A242" s="1">
        <v>46008</v>
      </c>
      <c r="B242">
        <v>6721.43</v>
      </c>
      <c r="C242">
        <v>6720</v>
      </c>
      <c r="D242">
        <v>2</v>
      </c>
      <c r="E242">
        <v>30</v>
      </c>
      <c r="F242">
        <v>14.949</v>
      </c>
      <c r="G242">
        <v>14.901</v>
      </c>
      <c r="H242">
        <v>3.6288999999999995E-2</v>
      </c>
      <c r="I242">
        <f t="shared" si="18"/>
        <v>0.51704179222386282</v>
      </c>
      <c r="J242">
        <f t="shared" si="19"/>
        <v>0.53830311208708692</v>
      </c>
      <c r="K242">
        <f t="shared" si="20"/>
        <v>0.53830311208708692</v>
      </c>
      <c r="L242">
        <f t="shared" si="21"/>
        <v>-0.46169688791291308</v>
      </c>
      <c r="M242">
        <f t="shared" si="22"/>
        <v>7.6606224174173843E-2</v>
      </c>
      <c r="N242">
        <f t="shared" si="23"/>
        <v>-7.6606224174173843E-2</v>
      </c>
    </row>
    <row r="243" spans="1:14" x14ac:dyDescent="0.25">
      <c r="A243" s="1">
        <v>46009</v>
      </c>
      <c r="B243">
        <v>6774.76</v>
      </c>
      <c r="C243">
        <v>6775</v>
      </c>
      <c r="D243">
        <v>1</v>
      </c>
      <c r="E243">
        <v>29</v>
      </c>
      <c r="F243">
        <v>12.289</v>
      </c>
      <c r="G243">
        <v>13.746</v>
      </c>
      <c r="H243">
        <v>3.5802E-2</v>
      </c>
      <c r="I243">
        <f t="shared" si="18"/>
        <v>0.50516933815057863</v>
      </c>
      <c r="J243">
        <f t="shared" si="19"/>
        <v>0.53660076250393751</v>
      </c>
      <c r="K243">
        <f t="shared" si="20"/>
        <v>0.53660076250393751</v>
      </c>
      <c r="L243">
        <f t="shared" si="21"/>
        <v>-0.46339923749606249</v>
      </c>
      <c r="M243">
        <f t="shared" si="22"/>
        <v>7.3201525007875023E-2</v>
      </c>
      <c r="N243">
        <f t="shared" si="23"/>
        <v>-7.3201525007875023E-2</v>
      </c>
    </row>
    <row r="244" spans="1:14" x14ac:dyDescent="0.25">
      <c r="A244" s="1">
        <v>46010</v>
      </c>
      <c r="B244">
        <v>6834.5</v>
      </c>
      <c r="C244">
        <v>6835</v>
      </c>
      <c r="D244">
        <v>28</v>
      </c>
      <c r="E244">
        <v>63</v>
      </c>
      <c r="F244">
        <v>12.173999999999999</v>
      </c>
      <c r="G244">
        <v>13.404</v>
      </c>
      <c r="H244">
        <v>3.5867000000000003E-2</v>
      </c>
      <c r="I244">
        <f t="shared" si="18"/>
        <v>0.53835500631126953</v>
      </c>
      <c r="J244">
        <f t="shared" si="19"/>
        <v>0.554760965649577</v>
      </c>
      <c r="K244">
        <f t="shared" si="20"/>
        <v>0.53835500631126953</v>
      </c>
      <c r="L244">
        <f t="shared" si="21"/>
        <v>-0.46164499368873047</v>
      </c>
      <c r="M244">
        <f t="shared" si="22"/>
        <v>7.671001262253907E-2</v>
      </c>
      <c r="N244">
        <f t="shared" si="23"/>
        <v>-7.671001262253907E-2</v>
      </c>
    </row>
    <row r="245" spans="1:14" x14ac:dyDescent="0.25">
      <c r="A245" s="1">
        <v>46013</v>
      </c>
      <c r="B245">
        <v>6878.49</v>
      </c>
      <c r="C245">
        <v>6880</v>
      </c>
      <c r="D245">
        <v>25</v>
      </c>
      <c r="E245">
        <v>60</v>
      </c>
      <c r="F245">
        <v>10.923999999999999</v>
      </c>
      <c r="G245">
        <v>12.629</v>
      </c>
      <c r="H245">
        <v>3.6220000000000002E-2</v>
      </c>
      <c r="I245">
        <f t="shared" si="18"/>
        <v>0.5372035906885122</v>
      </c>
      <c r="J245">
        <f t="shared" si="19"/>
        <v>0.55472005958097281</v>
      </c>
      <c r="K245">
        <f t="shared" si="20"/>
        <v>0.5372035906885122</v>
      </c>
      <c r="L245">
        <f t="shared" si="21"/>
        <v>-0.4627964093114878</v>
      </c>
      <c r="M245">
        <f t="shared" si="22"/>
        <v>7.4407181377024401E-2</v>
      </c>
      <c r="N245">
        <f t="shared" si="23"/>
        <v>-7.4407181377024401E-2</v>
      </c>
    </row>
    <row r="246" spans="1:14" x14ac:dyDescent="0.25">
      <c r="A246" s="1">
        <v>46014</v>
      </c>
      <c r="B246">
        <v>6909.79</v>
      </c>
      <c r="C246">
        <v>6910</v>
      </c>
      <c r="D246">
        <v>24</v>
      </c>
      <c r="E246">
        <v>59</v>
      </c>
      <c r="F246">
        <v>10.733000000000001</v>
      </c>
      <c r="G246">
        <v>12.624000000000001</v>
      </c>
      <c r="H246">
        <v>3.6139999999999999E-2</v>
      </c>
      <c r="I246">
        <f t="shared" si="18"/>
        <v>0.53943069655419351</v>
      </c>
      <c r="J246">
        <f t="shared" si="19"/>
        <v>0.55562155754748321</v>
      </c>
      <c r="K246">
        <f t="shared" si="20"/>
        <v>0.53943069655419351</v>
      </c>
      <c r="L246">
        <f t="shared" si="21"/>
        <v>-0.46056930344580649</v>
      </c>
      <c r="M246">
        <f t="shared" si="22"/>
        <v>7.8861393108387023E-2</v>
      </c>
      <c r="N246">
        <f t="shared" si="23"/>
        <v>-7.8861393108387023E-2</v>
      </c>
    </row>
    <row r="247" spans="1:14" x14ac:dyDescent="0.25">
      <c r="A247" s="1">
        <v>46015</v>
      </c>
      <c r="B247">
        <v>6932.05</v>
      </c>
      <c r="C247">
        <v>6930</v>
      </c>
      <c r="D247">
        <v>23</v>
      </c>
      <c r="E247">
        <v>58</v>
      </c>
      <c r="F247">
        <v>10.573</v>
      </c>
      <c r="G247">
        <v>12.625999999999999</v>
      </c>
      <c r="H247">
        <v>3.6056999999999999E-2</v>
      </c>
      <c r="I247">
        <f t="shared" si="18"/>
        <v>0.54380378084418601</v>
      </c>
      <c r="J247">
        <f t="shared" si="19"/>
        <v>0.55759758926506131</v>
      </c>
      <c r="K247">
        <f t="shared" si="20"/>
        <v>0.54380378084418601</v>
      </c>
      <c r="L247">
        <f t="shared" si="21"/>
        <v>-0.45619621915581399</v>
      </c>
      <c r="M247">
        <f t="shared" si="22"/>
        <v>8.7607561688372027E-2</v>
      </c>
      <c r="N247">
        <f t="shared" si="23"/>
        <v>-8.7607561688372027E-2</v>
      </c>
    </row>
    <row r="248" spans="1:14" x14ac:dyDescent="0.25">
      <c r="A248" s="1">
        <v>46017</v>
      </c>
      <c r="B248">
        <v>6929.94</v>
      </c>
      <c r="C248">
        <v>6930</v>
      </c>
      <c r="D248">
        <v>21</v>
      </c>
      <c r="E248">
        <v>56</v>
      </c>
      <c r="F248">
        <v>10.302</v>
      </c>
      <c r="G248">
        <v>12.587999999999999</v>
      </c>
      <c r="H248">
        <v>3.5790000000000002E-2</v>
      </c>
      <c r="I248">
        <f t="shared" si="18"/>
        <v>0.53797576588607621</v>
      </c>
      <c r="J248">
        <f t="shared" si="19"/>
        <v>0.55402755531460746</v>
      </c>
      <c r="K248">
        <f t="shared" si="20"/>
        <v>0.53797576588607621</v>
      </c>
      <c r="L248">
        <f t="shared" si="21"/>
        <v>-0.46202423411392379</v>
      </c>
      <c r="M248">
        <f t="shared" si="22"/>
        <v>7.5951531772152414E-2</v>
      </c>
      <c r="N248">
        <f t="shared" si="23"/>
        <v>-7.5951531772152414E-2</v>
      </c>
    </row>
    <row r="249" spans="1:14" x14ac:dyDescent="0.25">
      <c r="A249" s="1">
        <v>46020</v>
      </c>
      <c r="B249">
        <v>6905.74</v>
      </c>
      <c r="C249">
        <v>6905</v>
      </c>
      <c r="D249">
        <v>18</v>
      </c>
      <c r="E249">
        <v>53</v>
      </c>
      <c r="F249">
        <v>10.443</v>
      </c>
      <c r="G249">
        <v>12.581</v>
      </c>
      <c r="H249">
        <v>3.594E-2</v>
      </c>
      <c r="I249">
        <f t="shared" si="18"/>
        <v>0.53690624135961762</v>
      </c>
      <c r="J249">
        <f t="shared" si="19"/>
        <v>0.55371869137797236</v>
      </c>
      <c r="K249">
        <f t="shared" si="20"/>
        <v>0.53690624135961762</v>
      </c>
      <c r="L249">
        <f t="shared" si="21"/>
        <v>-0.46309375864038238</v>
      </c>
      <c r="M249">
        <f t="shared" si="22"/>
        <v>7.381248271923524E-2</v>
      </c>
      <c r="N249">
        <f t="shared" si="23"/>
        <v>-7.381248271923524E-2</v>
      </c>
    </row>
    <row r="250" spans="1:14" x14ac:dyDescent="0.25">
      <c r="A250" s="1">
        <v>46021</v>
      </c>
      <c r="B250">
        <v>6896.24</v>
      </c>
      <c r="C250">
        <v>6895</v>
      </c>
      <c r="D250">
        <v>17</v>
      </c>
      <c r="E250">
        <v>52</v>
      </c>
      <c r="F250">
        <v>10.625</v>
      </c>
      <c r="G250">
        <v>12.68</v>
      </c>
      <c r="H250">
        <v>3.5274E-2</v>
      </c>
      <c r="I250">
        <f t="shared" si="18"/>
        <v>0.53623594341398784</v>
      </c>
      <c r="J250">
        <f t="shared" si="19"/>
        <v>0.55277982237965773</v>
      </c>
      <c r="K250">
        <f t="shared" si="20"/>
        <v>0.53623594341398784</v>
      </c>
      <c r="L250">
        <f t="shared" si="21"/>
        <v>-0.46376405658601216</v>
      </c>
      <c r="M250">
        <f t="shared" si="22"/>
        <v>7.2471886827975673E-2</v>
      </c>
      <c r="N250">
        <f t="shared" si="23"/>
        <v>-7.2471886827975673E-2</v>
      </c>
    </row>
    <row r="251" spans="1:14" x14ac:dyDescent="0.25">
      <c r="A251" s="1">
        <v>46022</v>
      </c>
      <c r="B251">
        <v>6845.5</v>
      </c>
      <c r="C251">
        <v>6845</v>
      </c>
      <c r="D251">
        <v>16</v>
      </c>
      <c r="E251">
        <v>51</v>
      </c>
      <c r="F251">
        <v>11.523</v>
      </c>
      <c r="G251">
        <v>13.102</v>
      </c>
      <c r="H251">
        <v>3.5903999999999998E-2</v>
      </c>
      <c r="I251">
        <f t="shared" si="18"/>
        <v>0.53201139816530718</v>
      </c>
      <c r="J251">
        <f t="shared" si="19"/>
        <v>0.55108892078541494</v>
      </c>
      <c r="K251">
        <f t="shared" si="20"/>
        <v>0.53201139816530718</v>
      </c>
      <c r="L251">
        <f t="shared" si="21"/>
        <v>-0.46798860183469282</v>
      </c>
      <c r="M251">
        <f t="shared" si="22"/>
        <v>6.4022796330614362E-2</v>
      </c>
      <c r="N251">
        <f t="shared" si="23"/>
        <v>-6.4022796330614362E-2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E690-6EE9-4714-9182-A850265096F3}">
  <dimension ref="A1:D251"/>
  <sheetViews>
    <sheetView workbookViewId="0">
      <selection activeCell="H8" sqref="H8"/>
    </sheetView>
  </sheetViews>
  <sheetFormatPr defaultRowHeight="15" x14ac:dyDescent="0.25"/>
  <cols>
    <col min="1" max="1" width="10.42578125" style="1" bestFit="1" customWidth="1"/>
    <col min="3" max="3" width="9.140625" style="12"/>
    <col min="4" max="4" width="14.5703125" bestFit="1" customWidth="1"/>
  </cols>
  <sheetData>
    <row r="1" spans="1:4" x14ac:dyDescent="0.25">
      <c r="A1" s="1" t="s">
        <v>0</v>
      </c>
      <c r="B1" t="s">
        <v>841</v>
      </c>
      <c r="C1" s="12" t="s">
        <v>842</v>
      </c>
      <c r="D1" t="s">
        <v>843</v>
      </c>
    </row>
    <row r="2" spans="1:4" x14ac:dyDescent="0.25">
      <c r="A2" s="1">
        <v>45659</v>
      </c>
      <c r="B2">
        <v>0</v>
      </c>
      <c r="C2" s="12">
        <v>0</v>
      </c>
      <c r="D2">
        <v>0</v>
      </c>
    </row>
    <row r="3" spans="1:4" x14ac:dyDescent="0.25">
      <c r="A3" s="1">
        <v>45660</v>
      </c>
      <c r="B3">
        <v>-18.82571428571427</v>
      </c>
      <c r="C3" s="12">
        <v>-0.10107378432274881</v>
      </c>
      <c r="D3">
        <v>-18.82571428571427</v>
      </c>
    </row>
    <row r="4" spans="1:4" x14ac:dyDescent="0.25">
      <c r="A4" s="1">
        <v>45663</v>
      </c>
      <c r="B4">
        <v>-4.2857142857144481E-2</v>
      </c>
      <c r="C4" s="12">
        <v>-2.5596832818553552E-4</v>
      </c>
      <c r="D4">
        <v>-18.868571428571414</v>
      </c>
    </row>
    <row r="5" spans="1:4" x14ac:dyDescent="0.25">
      <c r="A5" s="1">
        <v>45664</v>
      </c>
      <c r="B5">
        <v>15.675714285714264</v>
      </c>
      <c r="C5" s="12">
        <v>9.3648653261871315E-2</v>
      </c>
      <c r="D5">
        <v>-3.1928571428571502</v>
      </c>
    </row>
    <row r="6" spans="1:4" x14ac:dyDescent="0.25">
      <c r="A6" s="1">
        <v>45665</v>
      </c>
      <c r="B6">
        <v>-2.5642857142856883</v>
      </c>
      <c r="C6" s="12">
        <v>-1.4007569550118866E-2</v>
      </c>
      <c r="D6">
        <v>-5.7571428571428385</v>
      </c>
    </row>
    <row r="7" spans="1:4" x14ac:dyDescent="0.25">
      <c r="A7" s="1">
        <v>45667</v>
      </c>
      <c r="B7">
        <v>14.907142857142844</v>
      </c>
      <c r="C7" s="12">
        <v>8.2588049070043454E-2</v>
      </c>
      <c r="D7">
        <v>9.1500000000000057</v>
      </c>
    </row>
    <row r="8" spans="1:4" x14ac:dyDescent="0.25">
      <c r="A8" s="1">
        <v>45670</v>
      </c>
      <c r="B8">
        <v>2.2614285714286098</v>
      </c>
      <c r="C8" s="12">
        <v>1.1572906385934327E-2</v>
      </c>
      <c r="D8">
        <v>11.411428571428615</v>
      </c>
    </row>
    <row r="9" spans="1:4" x14ac:dyDescent="0.25">
      <c r="A9" s="1">
        <v>45671</v>
      </c>
      <c r="B9">
        <v>-2.3328571428571365</v>
      </c>
      <c r="C9" s="12">
        <v>-1.1801861702127625E-2</v>
      </c>
      <c r="D9">
        <v>9.0785714285714789</v>
      </c>
    </row>
    <row r="10" spans="1:4" x14ac:dyDescent="0.25">
      <c r="A10" s="1">
        <v>45672</v>
      </c>
      <c r="B10">
        <v>-31.355714285714328</v>
      </c>
      <c r="C10" s="12">
        <v>-0.16052217793542273</v>
      </c>
      <c r="D10">
        <v>-22.277142857142849</v>
      </c>
    </row>
    <row r="11" spans="1:4" x14ac:dyDescent="0.25">
      <c r="A11" s="1">
        <v>45673</v>
      </c>
      <c r="B11">
        <v>-1.1957142857142742</v>
      </c>
      <c r="C11" s="12">
        <v>-7.2918300141131499E-3</v>
      </c>
      <c r="D11">
        <v>-23.472857142857123</v>
      </c>
    </row>
    <row r="12" spans="1:4" x14ac:dyDescent="0.25">
      <c r="A12" s="1">
        <v>45674</v>
      </c>
      <c r="B12">
        <v>24.015714285714296</v>
      </c>
      <c r="C12" s="12">
        <v>0.14753091295228574</v>
      </c>
      <c r="D12">
        <v>0.5428571428571729</v>
      </c>
    </row>
    <row r="13" spans="1:4" x14ac:dyDescent="0.25">
      <c r="A13" s="1">
        <v>45678</v>
      </c>
      <c r="B13">
        <v>-19.550000000000011</v>
      </c>
      <c r="C13" s="12">
        <v>-0.10465738758029984</v>
      </c>
      <c r="D13">
        <v>-19.007142857142838</v>
      </c>
    </row>
    <row r="14" spans="1:4" x14ac:dyDescent="0.25">
      <c r="A14" s="1">
        <v>45679</v>
      </c>
      <c r="B14">
        <v>-5.8499999999999943</v>
      </c>
      <c r="C14" s="12">
        <v>-3.4977578475336286E-2</v>
      </c>
      <c r="D14">
        <v>-24.857142857142833</v>
      </c>
    </row>
    <row r="15" spans="1:4" x14ac:dyDescent="0.25">
      <c r="A15" s="1">
        <v>45680</v>
      </c>
      <c r="B15">
        <v>-2.5124999999999886</v>
      </c>
      <c r="C15" s="12">
        <v>-1.5566914498141193E-2</v>
      </c>
      <c r="D15">
        <v>-27.369642857142821</v>
      </c>
    </row>
    <row r="16" spans="1:4" x14ac:dyDescent="0.25">
      <c r="A16" s="1">
        <v>45681</v>
      </c>
      <c r="B16">
        <v>-7.3214285714271909E-2</v>
      </c>
      <c r="C16" s="12">
        <v>-4.6079323870204959E-4</v>
      </c>
      <c r="D16">
        <v>-27.442857142857093</v>
      </c>
    </row>
    <row r="17" spans="1:4" x14ac:dyDescent="0.25">
      <c r="A17" s="1">
        <v>45684</v>
      </c>
      <c r="B17">
        <v>33.344642857142816</v>
      </c>
      <c r="C17" s="12">
        <v>0.20995997121525561</v>
      </c>
      <c r="D17">
        <v>5.9017857142857224</v>
      </c>
    </row>
    <row r="18" spans="1:4" x14ac:dyDescent="0.25">
      <c r="A18" s="1">
        <v>45685</v>
      </c>
      <c r="B18">
        <v>-17.058928571428595</v>
      </c>
      <c r="C18" s="12">
        <v>-8.8775102454255808E-2</v>
      </c>
      <c r="D18">
        <v>-11.157142857142873</v>
      </c>
    </row>
    <row r="19" spans="1:4" x14ac:dyDescent="0.25">
      <c r="A19" s="1">
        <v>45686</v>
      </c>
      <c r="B19">
        <v>2.7375000000000398</v>
      </c>
      <c r="C19" s="12">
        <v>1.5633923472301772E-2</v>
      </c>
      <c r="D19">
        <v>-8.4196428571428328</v>
      </c>
    </row>
    <row r="20" spans="1:4" x14ac:dyDescent="0.25">
      <c r="A20" s="1">
        <v>45687</v>
      </c>
      <c r="B20">
        <v>-5.3517857142857395</v>
      </c>
      <c r="C20" s="12">
        <v>-3.0093685045537298E-2</v>
      </c>
      <c r="D20">
        <v>-13.771428571428572</v>
      </c>
    </row>
    <row r="21" spans="1:4" x14ac:dyDescent="0.25">
      <c r="A21" s="1">
        <v>45688</v>
      </c>
      <c r="B21">
        <v>6.6017857142857679</v>
      </c>
      <c r="C21" s="12">
        <v>3.8274391253934385E-2</v>
      </c>
      <c r="D21">
        <v>-7.1696428571428044</v>
      </c>
    </row>
    <row r="22" spans="1:4" x14ac:dyDescent="0.25">
      <c r="A22" s="1">
        <v>45691</v>
      </c>
      <c r="B22">
        <v>23.048214285714238</v>
      </c>
      <c r="C22" s="12">
        <v>0.12869806259908834</v>
      </c>
      <c r="D22">
        <v>15.878571428571433</v>
      </c>
    </row>
    <row r="23" spans="1:4" x14ac:dyDescent="0.25">
      <c r="A23" s="1">
        <v>45692</v>
      </c>
      <c r="B23">
        <v>-20.803571428571416</v>
      </c>
      <c r="C23" s="12">
        <v>-0.1029188310541008</v>
      </c>
      <c r="D23">
        <v>-4.9249999999999829</v>
      </c>
    </row>
    <row r="24" spans="1:4" x14ac:dyDescent="0.25">
      <c r="A24" s="1">
        <v>45693</v>
      </c>
      <c r="B24">
        <v>-9.6071428571428328</v>
      </c>
      <c r="C24" s="12">
        <v>-5.2980915053276213E-2</v>
      </c>
      <c r="D24">
        <v>-14.532142857142816</v>
      </c>
    </row>
    <row r="25" spans="1:4" x14ac:dyDescent="0.25">
      <c r="A25" s="1">
        <v>45694</v>
      </c>
      <c r="B25">
        <v>-8.5053571428571502</v>
      </c>
      <c r="C25" s="12">
        <v>-4.9528939542041919E-2</v>
      </c>
      <c r="D25">
        <v>-23.037499999999966</v>
      </c>
    </row>
    <row r="26" spans="1:4" x14ac:dyDescent="0.25">
      <c r="A26" s="1">
        <v>45695</v>
      </c>
      <c r="B26">
        <v>10.373214285714255</v>
      </c>
      <c r="C26" s="12">
        <v>6.3553712679014718E-2</v>
      </c>
      <c r="D26">
        <v>-12.664285714285711</v>
      </c>
    </row>
    <row r="27" spans="1:4" x14ac:dyDescent="0.25">
      <c r="A27" s="1">
        <v>45698</v>
      </c>
      <c r="B27">
        <v>-7.3857142857142719</v>
      </c>
      <c r="C27" s="12">
        <v>-4.2546187713450936E-2</v>
      </c>
      <c r="D27">
        <v>-20.049999999999983</v>
      </c>
    </row>
    <row r="28" spans="1:4" x14ac:dyDescent="0.25">
      <c r="A28" s="1">
        <v>45699</v>
      </c>
      <c r="B28">
        <v>1.0642857142857167</v>
      </c>
      <c r="C28" s="12">
        <v>6.4033692896128041E-3</v>
      </c>
      <c r="D28">
        <v>-18.985714285714266</v>
      </c>
    </row>
    <row r="29" spans="1:4" x14ac:dyDescent="0.25">
      <c r="A29" s="1">
        <v>45700</v>
      </c>
      <c r="B29">
        <v>3.503571428571405</v>
      </c>
      <c r="C29" s="12">
        <v>2.094542659492684E-2</v>
      </c>
      <c r="D29">
        <v>-15.482142857142861</v>
      </c>
    </row>
    <row r="30" spans="1:4" x14ac:dyDescent="0.25">
      <c r="A30" s="1">
        <v>45701</v>
      </c>
      <c r="B30">
        <v>-12.271428571428544</v>
      </c>
      <c r="C30" s="12">
        <v>-7.1857289248593442E-2</v>
      </c>
      <c r="D30">
        <v>-27.753571428571405</v>
      </c>
    </row>
    <row r="31" spans="1:4" x14ac:dyDescent="0.25">
      <c r="A31" s="1">
        <v>45702</v>
      </c>
      <c r="B31">
        <v>-3.5821428571428555</v>
      </c>
      <c r="C31" s="12">
        <v>-2.259976115905454E-2</v>
      </c>
      <c r="D31">
        <v>-31.335714285714261</v>
      </c>
    </row>
    <row r="32" spans="1:4" x14ac:dyDescent="0.25">
      <c r="A32" s="1">
        <v>45706</v>
      </c>
      <c r="B32">
        <v>8.0892857142857224</v>
      </c>
      <c r="C32" s="12">
        <v>5.2215408732537279E-2</v>
      </c>
      <c r="D32">
        <v>-23.246428571428538</v>
      </c>
    </row>
    <row r="33" spans="1:4" x14ac:dyDescent="0.25">
      <c r="A33" s="1">
        <v>45707</v>
      </c>
      <c r="B33">
        <v>-1.5107142857143003</v>
      </c>
      <c r="C33" s="12">
        <v>-9.2675766273032905E-3</v>
      </c>
      <c r="D33">
        <v>-24.757142857142838</v>
      </c>
    </row>
    <row r="34" spans="1:4" x14ac:dyDescent="0.25">
      <c r="A34" s="1">
        <v>45708</v>
      </c>
      <c r="B34">
        <v>-0.10000000000002274</v>
      </c>
      <c r="C34" s="12">
        <v>-6.1919504643976925E-4</v>
      </c>
      <c r="D34">
        <v>-24.857142857142861</v>
      </c>
    </row>
    <row r="35" spans="1:4" x14ac:dyDescent="0.25">
      <c r="A35" s="1">
        <v>45709</v>
      </c>
      <c r="B35">
        <v>31.550000000000011</v>
      </c>
      <c r="C35" s="12">
        <v>0.19547707558859986</v>
      </c>
      <c r="D35">
        <v>6.6928571428571502</v>
      </c>
    </row>
    <row r="36" spans="1:4" x14ac:dyDescent="0.25">
      <c r="A36" s="1">
        <v>45712</v>
      </c>
      <c r="B36">
        <v>14.327777777777783</v>
      </c>
      <c r="C36" s="12">
        <v>7.4256427975007949E-2</v>
      </c>
      <c r="D36">
        <v>21.020634920634933</v>
      </c>
    </row>
    <row r="37" spans="1:4" x14ac:dyDescent="0.25">
      <c r="A37" s="1">
        <v>45713</v>
      </c>
      <c r="B37">
        <v>6.8722222222222626</v>
      </c>
      <c r="C37" s="12">
        <v>3.3154650227821159E-2</v>
      </c>
      <c r="D37">
        <v>27.892857142857196</v>
      </c>
    </row>
    <row r="38" spans="1:4" x14ac:dyDescent="0.25">
      <c r="A38" s="1">
        <v>45714</v>
      </c>
      <c r="B38">
        <v>-2.2388888888889369</v>
      </c>
      <c r="C38" s="12">
        <v>-1.045476950216641E-2</v>
      </c>
      <c r="D38">
        <v>25.653968253968259</v>
      </c>
    </row>
    <row r="39" spans="1:4" x14ac:dyDescent="0.25">
      <c r="A39" s="1">
        <v>45715</v>
      </c>
      <c r="B39">
        <v>22.76111111111112</v>
      </c>
      <c r="C39" s="12">
        <v>0.10740876677852354</v>
      </c>
      <c r="D39">
        <v>48.415079365079379</v>
      </c>
    </row>
    <row r="40" spans="1:4" x14ac:dyDescent="0.25">
      <c r="A40" s="1">
        <v>45716</v>
      </c>
      <c r="B40">
        <v>-20.888888888888886</v>
      </c>
      <c r="C40" s="12">
        <v>-8.9013044198764227E-2</v>
      </c>
      <c r="D40">
        <v>27.526190476190493</v>
      </c>
    </row>
    <row r="41" spans="1:4" x14ac:dyDescent="0.25">
      <c r="A41" s="1">
        <v>45719</v>
      </c>
      <c r="B41">
        <v>33.061111111111103</v>
      </c>
      <c r="C41" s="12">
        <v>0.15464774823939084</v>
      </c>
      <c r="D41">
        <v>60.587301587301596</v>
      </c>
    </row>
    <row r="42" spans="1:4" x14ac:dyDescent="0.25">
      <c r="A42" s="1">
        <v>45720</v>
      </c>
      <c r="B42">
        <v>13.387037037037032</v>
      </c>
      <c r="C42" s="12">
        <v>5.42326851518425E-2</v>
      </c>
      <c r="D42">
        <v>73.974338624338628</v>
      </c>
    </row>
    <row r="43" spans="1:4" x14ac:dyDescent="0.25">
      <c r="A43" s="1">
        <v>45721</v>
      </c>
      <c r="B43">
        <v>-18.992592592592587</v>
      </c>
      <c r="C43" s="12">
        <v>-7.2983454901263095E-2</v>
      </c>
      <c r="D43">
        <v>54.981746031746042</v>
      </c>
    </row>
    <row r="44" spans="1:4" x14ac:dyDescent="0.25">
      <c r="A44" s="1">
        <v>45722</v>
      </c>
      <c r="B44">
        <v>31.550000000000011</v>
      </c>
      <c r="C44" s="12">
        <v>0.1307832254795846</v>
      </c>
      <c r="D44">
        <v>86.531746031746053</v>
      </c>
    </row>
    <row r="45" spans="1:4" x14ac:dyDescent="0.25">
      <c r="A45" s="1">
        <v>45723</v>
      </c>
      <c r="B45">
        <v>-22.366666666666674</v>
      </c>
      <c r="C45" s="12">
        <v>-8.1992586860005726E-2</v>
      </c>
      <c r="D45">
        <v>64.165079365079379</v>
      </c>
    </row>
    <row r="46" spans="1:4" x14ac:dyDescent="0.25">
      <c r="A46" s="1">
        <v>45726</v>
      </c>
      <c r="B46">
        <v>41.751851851851825</v>
      </c>
      <c r="C46" s="12">
        <v>0.16672582601236419</v>
      </c>
      <c r="D46">
        <v>105.9169312169312</v>
      </c>
    </row>
    <row r="47" spans="1:4" x14ac:dyDescent="0.25">
      <c r="A47" s="1">
        <v>45727</v>
      </c>
      <c r="B47">
        <v>-1.3314814814814326</v>
      </c>
      <c r="C47" s="12">
        <v>-4.5571513684128798E-3</v>
      </c>
      <c r="D47">
        <v>104.58544973544977</v>
      </c>
    </row>
    <row r="48" spans="1:4" x14ac:dyDescent="0.25">
      <c r="A48" s="1">
        <v>45728</v>
      </c>
      <c r="B48">
        <v>-26.303703703703718</v>
      </c>
      <c r="C48" s="12">
        <v>-9.0439654897965724E-2</v>
      </c>
      <c r="D48">
        <v>78.281746031746053</v>
      </c>
    </row>
    <row r="49" spans="1:4" x14ac:dyDescent="0.25">
      <c r="A49" s="1">
        <v>45729</v>
      </c>
      <c r="B49">
        <v>8.0148148148148266</v>
      </c>
      <c r="C49" s="12">
        <v>3.0297302784019757E-2</v>
      </c>
      <c r="D49">
        <v>86.29656084656088</v>
      </c>
    </row>
    <row r="50" spans="1:4" x14ac:dyDescent="0.25">
      <c r="A50" s="1">
        <v>45730</v>
      </c>
      <c r="B50">
        <v>-34.618518518518556</v>
      </c>
      <c r="C50" s="12">
        <v>-0.12701540301265818</v>
      </c>
      <c r="D50">
        <v>51.678042328042324</v>
      </c>
    </row>
    <row r="51" spans="1:4" x14ac:dyDescent="0.25">
      <c r="A51" s="1">
        <v>45733</v>
      </c>
      <c r="B51">
        <v>-4.277777777777743</v>
      </c>
      <c r="C51" s="12">
        <v>-1.7978752383546574E-2</v>
      </c>
      <c r="D51">
        <v>47.400264550264581</v>
      </c>
    </row>
    <row r="52" spans="1:4" x14ac:dyDescent="0.25">
      <c r="A52" s="1">
        <v>45734</v>
      </c>
      <c r="B52">
        <v>13.842592592592581</v>
      </c>
      <c r="C52" s="12">
        <v>5.9243114721616752E-2</v>
      </c>
      <c r="D52">
        <v>61.242857142857162</v>
      </c>
    </row>
    <row r="53" spans="1:4" x14ac:dyDescent="0.25">
      <c r="A53" s="1">
        <v>45735</v>
      </c>
      <c r="B53">
        <v>-22.5</v>
      </c>
      <c r="C53" s="12">
        <v>-9.0909090909090912E-2</v>
      </c>
      <c r="D53">
        <v>38.742857142857162</v>
      </c>
    </row>
    <row r="54" spans="1:4" x14ac:dyDescent="0.25">
      <c r="A54" s="1">
        <v>45736</v>
      </c>
      <c r="B54">
        <v>-6.0500000000000114</v>
      </c>
      <c r="C54" s="12">
        <v>-2.6888888888888938E-2</v>
      </c>
      <c r="D54">
        <v>32.69285714285715</v>
      </c>
    </row>
    <row r="55" spans="1:4" x14ac:dyDescent="0.25">
      <c r="A55" s="1">
        <v>45737</v>
      </c>
      <c r="B55">
        <v>-0.44482758620688401</v>
      </c>
      <c r="C55" s="12">
        <v>-2.0316400374829138E-3</v>
      </c>
      <c r="D55">
        <v>32.248029556650266</v>
      </c>
    </row>
    <row r="56" spans="1:4" x14ac:dyDescent="0.25">
      <c r="A56" s="1">
        <v>45740</v>
      </c>
      <c r="B56">
        <v>-19.081034482758639</v>
      </c>
      <c r="C56" s="12">
        <v>-8.7325321739404979E-2</v>
      </c>
      <c r="D56">
        <v>13.166995073891627</v>
      </c>
    </row>
    <row r="57" spans="1:4" x14ac:dyDescent="0.25">
      <c r="A57" s="1">
        <v>45741</v>
      </c>
      <c r="B57">
        <v>-1.6655172413793196</v>
      </c>
      <c r="C57" s="12">
        <v>-8.3516331506233929E-3</v>
      </c>
      <c r="D57">
        <v>11.501477832512307</v>
      </c>
    </row>
    <row r="58" spans="1:4" x14ac:dyDescent="0.25">
      <c r="A58" s="1">
        <v>45742</v>
      </c>
      <c r="B58">
        <v>10.955172413793122</v>
      </c>
      <c r="C58" s="12">
        <v>5.5396687009590335E-2</v>
      </c>
      <c r="D58">
        <v>22.456650246305429</v>
      </c>
    </row>
    <row r="59" spans="1:4" x14ac:dyDescent="0.25">
      <c r="A59" s="1">
        <v>45743</v>
      </c>
      <c r="B59">
        <v>3.4448275862069124</v>
      </c>
      <c r="C59" s="12">
        <v>1.6505030812695238E-2</v>
      </c>
      <c r="D59">
        <v>25.901477832512342</v>
      </c>
    </row>
    <row r="60" spans="1:4" x14ac:dyDescent="0.25">
      <c r="A60" s="1">
        <v>45744</v>
      </c>
      <c r="B60">
        <v>27.375862068965517</v>
      </c>
      <c r="C60" s="12">
        <v>0.12903487956311152</v>
      </c>
      <c r="D60">
        <v>53.277339901477859</v>
      </c>
    </row>
    <row r="61" spans="1:4" x14ac:dyDescent="0.25">
      <c r="A61" s="1">
        <v>45747</v>
      </c>
      <c r="B61">
        <v>-1.401724137931069</v>
      </c>
      <c r="C61" s="12">
        <v>-5.8518678471173972E-3</v>
      </c>
      <c r="D61">
        <v>51.87561576354679</v>
      </c>
    </row>
    <row r="62" spans="1:4" x14ac:dyDescent="0.25">
      <c r="A62" s="1">
        <v>45748</v>
      </c>
      <c r="B62">
        <v>-2.1913793103447574</v>
      </c>
      <c r="C62" s="12">
        <v>-9.2023429411293278E-3</v>
      </c>
      <c r="D62">
        <v>49.684236453202033</v>
      </c>
    </row>
    <row r="63" spans="1:4" x14ac:dyDescent="0.25">
      <c r="A63" s="1">
        <v>45749</v>
      </c>
      <c r="B63">
        <v>16.549999999999983</v>
      </c>
      <c r="C63" s="12">
        <v>7.0144542039957236E-2</v>
      </c>
      <c r="D63">
        <v>66.234236453202016</v>
      </c>
    </row>
    <row r="64" spans="1:4" x14ac:dyDescent="0.25">
      <c r="A64" s="1">
        <v>45750</v>
      </c>
      <c r="B64">
        <v>53.070689655172401</v>
      </c>
      <c r="C64" s="12">
        <v>0.21018812523472968</v>
      </c>
      <c r="D64">
        <v>119.30492610837442</v>
      </c>
    </row>
    <row r="65" spans="1:4" x14ac:dyDescent="0.25">
      <c r="A65" s="1">
        <v>45751</v>
      </c>
      <c r="B65">
        <v>119.32758620689651</v>
      </c>
      <c r="C65" s="12">
        <v>0.39051832123954711</v>
      </c>
      <c r="D65">
        <v>238.63251231527093</v>
      </c>
    </row>
    <row r="66" spans="1:4" x14ac:dyDescent="0.25">
      <c r="A66" s="1">
        <v>45754</v>
      </c>
      <c r="B66">
        <v>22.282758620689719</v>
      </c>
      <c r="C66" s="12">
        <v>5.2443636481683029E-2</v>
      </c>
      <c r="D66">
        <v>260.91527093596062</v>
      </c>
    </row>
    <row r="67" spans="1:4" x14ac:dyDescent="0.25">
      <c r="A67" s="1">
        <v>45755</v>
      </c>
      <c r="B67">
        <v>23.096551724137953</v>
      </c>
      <c r="C67" s="12">
        <v>5.1650215916101215E-2</v>
      </c>
      <c r="D67">
        <v>284.01182266009857</v>
      </c>
    </row>
    <row r="68" spans="1:4" x14ac:dyDescent="0.25">
      <c r="A68" s="1">
        <v>45756</v>
      </c>
      <c r="B68">
        <v>-145.46551724137936</v>
      </c>
      <c r="C68" s="12">
        <v>-0.30932408452976295</v>
      </c>
      <c r="D68">
        <v>138.54630541871921</v>
      </c>
    </row>
    <row r="69" spans="1:4" x14ac:dyDescent="0.25">
      <c r="A69" s="1">
        <v>45757</v>
      </c>
      <c r="B69">
        <v>83.331034482758639</v>
      </c>
      <c r="C69" s="12">
        <v>0.25655834297665436</v>
      </c>
      <c r="D69">
        <v>221.87733990147785</v>
      </c>
    </row>
    <row r="70" spans="1:4" x14ac:dyDescent="0.25">
      <c r="A70" s="1">
        <v>45758</v>
      </c>
      <c r="B70">
        <v>-31.144827586206929</v>
      </c>
      <c r="C70" s="12">
        <v>-7.6310208771618621E-2</v>
      </c>
      <c r="D70">
        <v>190.73251231527092</v>
      </c>
    </row>
    <row r="71" spans="1:4" x14ac:dyDescent="0.25">
      <c r="A71" s="1">
        <v>45761</v>
      </c>
      <c r="B71">
        <v>-57.922413793103431</v>
      </c>
      <c r="C71" s="12">
        <v>-0.15364457087453232</v>
      </c>
      <c r="D71">
        <v>132.81009852216749</v>
      </c>
    </row>
    <row r="72" spans="1:4" x14ac:dyDescent="0.25">
      <c r="A72" s="1">
        <v>45762</v>
      </c>
      <c r="B72">
        <v>-12.737931034482756</v>
      </c>
      <c r="C72" s="12">
        <v>-3.9922403125489697E-2</v>
      </c>
      <c r="D72">
        <v>120.07216748768474</v>
      </c>
    </row>
    <row r="73" spans="1:4" x14ac:dyDescent="0.25">
      <c r="A73" s="1">
        <v>45763</v>
      </c>
      <c r="B73">
        <v>35.570689655172373</v>
      </c>
      <c r="C73" s="12">
        <v>0.1161191190458768</v>
      </c>
      <c r="D73">
        <v>155.64285714285711</v>
      </c>
    </row>
    <row r="74" spans="1:4" x14ac:dyDescent="0.25">
      <c r="A74" s="1">
        <v>45764</v>
      </c>
      <c r="B74">
        <v>94.300000000000011</v>
      </c>
      <c r="C74" s="12">
        <v>0.27581164083065229</v>
      </c>
      <c r="D74">
        <v>249.94285714285712</v>
      </c>
    </row>
    <row r="75" spans="1:4" x14ac:dyDescent="0.25">
      <c r="A75" s="1">
        <v>45768</v>
      </c>
      <c r="B75">
        <v>-89.678571428571445</v>
      </c>
      <c r="C75" s="12">
        <v>-0.20559048929062687</v>
      </c>
      <c r="D75">
        <v>160.26428571428568</v>
      </c>
    </row>
    <row r="76" spans="1:4" x14ac:dyDescent="0.25">
      <c r="A76" s="1">
        <v>45769</v>
      </c>
      <c r="B76">
        <v>-27.241428571428514</v>
      </c>
      <c r="C76" s="12">
        <v>-7.8613979758002855E-2</v>
      </c>
      <c r="D76">
        <v>133.02285714285716</v>
      </c>
    </row>
    <row r="77" spans="1:4" x14ac:dyDescent="0.25">
      <c r="A77" s="1">
        <v>45770</v>
      </c>
      <c r="B77">
        <v>-16.920000000000016</v>
      </c>
      <c r="C77" s="12">
        <v>-5.2994237033325023E-2</v>
      </c>
      <c r="D77">
        <v>116.10285714285715</v>
      </c>
    </row>
    <row r="78" spans="1:4" x14ac:dyDescent="0.25">
      <c r="A78" s="1">
        <v>45771</v>
      </c>
      <c r="B78">
        <v>-19.698571428571427</v>
      </c>
      <c r="C78" s="12">
        <v>-6.5149396178632843E-2</v>
      </c>
      <c r="D78">
        <v>96.40428571428572</v>
      </c>
    </row>
    <row r="79" spans="1:4" x14ac:dyDescent="0.25">
      <c r="A79" s="1">
        <v>45772</v>
      </c>
      <c r="B79">
        <v>-18.147142857142853</v>
      </c>
      <c r="C79" s="12">
        <v>-6.4200987551993022E-2</v>
      </c>
      <c r="D79">
        <v>78.257142857142867</v>
      </c>
    </row>
    <row r="80" spans="1:4" x14ac:dyDescent="0.25">
      <c r="A80" s="1">
        <v>45775</v>
      </c>
      <c r="B80">
        <v>1.9800000000000182</v>
      </c>
      <c r="C80" s="12">
        <v>7.4854180168503603E-3</v>
      </c>
      <c r="D80">
        <v>80.237142857142885</v>
      </c>
    </row>
    <row r="81" spans="1:4" x14ac:dyDescent="0.25">
      <c r="A81" s="1">
        <v>45776</v>
      </c>
      <c r="B81">
        <v>-8.817142857142926</v>
      </c>
      <c r="C81" s="12">
        <v>-3.3085673238772463E-2</v>
      </c>
      <c r="D81">
        <v>71.419999999999959</v>
      </c>
    </row>
    <row r="82" spans="1:4" x14ac:dyDescent="0.25">
      <c r="A82" s="1">
        <v>45777</v>
      </c>
      <c r="B82">
        <v>10.062857142857183</v>
      </c>
      <c r="C82" s="12">
        <v>3.9052191557541714E-2</v>
      </c>
      <c r="D82">
        <v>81.482857142857142</v>
      </c>
    </row>
    <row r="83" spans="1:4" x14ac:dyDescent="0.25">
      <c r="A83" s="1">
        <v>45778</v>
      </c>
      <c r="B83">
        <v>-12.218571428571465</v>
      </c>
      <c r="C83" s="12">
        <v>-4.5635958125687104E-2</v>
      </c>
      <c r="D83">
        <v>69.264285714285677</v>
      </c>
    </row>
    <row r="84" spans="1:4" x14ac:dyDescent="0.25">
      <c r="A84" s="1">
        <v>45779</v>
      </c>
      <c r="B84">
        <v>-18.917142857142863</v>
      </c>
      <c r="C84" s="12">
        <v>-7.4033488944175802E-2</v>
      </c>
      <c r="D84">
        <v>50.347142857142813</v>
      </c>
    </row>
    <row r="85" spans="1:4" x14ac:dyDescent="0.25">
      <c r="A85" s="1">
        <v>45782</v>
      </c>
      <c r="B85">
        <v>5.8971428571428817</v>
      </c>
      <c r="C85" s="12">
        <v>2.4924074554862657E-2</v>
      </c>
      <c r="D85">
        <v>56.244285714285695</v>
      </c>
    </row>
    <row r="86" spans="1:4" x14ac:dyDescent="0.25">
      <c r="A86" s="1">
        <v>45783</v>
      </c>
      <c r="B86">
        <v>13.370000000000005</v>
      </c>
      <c r="C86" s="12">
        <v>5.5133695825061432E-2</v>
      </c>
      <c r="D86">
        <v>69.6142857142857</v>
      </c>
    </row>
    <row r="87" spans="1:4" x14ac:dyDescent="0.25">
      <c r="A87" s="1">
        <v>45784</v>
      </c>
      <c r="B87">
        <v>-11.841428571428565</v>
      </c>
      <c r="C87" s="12">
        <v>-4.6278823069621999E-2</v>
      </c>
      <c r="D87">
        <v>57.772857142857134</v>
      </c>
    </row>
    <row r="88" spans="1:4" x14ac:dyDescent="0.25">
      <c r="A88" s="1">
        <v>45785</v>
      </c>
      <c r="B88">
        <v>-8.8857142857143003</v>
      </c>
      <c r="C88" s="12">
        <v>-3.6412384894128999E-2</v>
      </c>
      <c r="D88">
        <v>48.887142857142834</v>
      </c>
    </row>
    <row r="89" spans="1:4" x14ac:dyDescent="0.25">
      <c r="A89" s="1">
        <v>45786</v>
      </c>
      <c r="B89">
        <v>-2.5485714285713925</v>
      </c>
      <c r="C89" s="12">
        <v>-1.0838330265308078E-2</v>
      </c>
      <c r="D89">
        <v>46.338571428571441</v>
      </c>
    </row>
    <row r="90" spans="1:4" x14ac:dyDescent="0.25">
      <c r="A90" s="1">
        <v>45789</v>
      </c>
      <c r="B90">
        <v>-36.964285714285722</v>
      </c>
      <c r="C90" s="12">
        <v>-0.1589207515185761</v>
      </c>
      <c r="D90">
        <v>9.374285714285719</v>
      </c>
    </row>
    <row r="91" spans="1:4" x14ac:dyDescent="0.25">
      <c r="A91" s="1">
        <v>45790</v>
      </c>
      <c r="B91">
        <v>-7.7771428571428487</v>
      </c>
      <c r="C91" s="12">
        <v>-3.975405646185972E-2</v>
      </c>
      <c r="D91">
        <v>1.5971428571428703</v>
      </c>
    </row>
    <row r="92" spans="1:4" x14ac:dyDescent="0.25">
      <c r="A92" s="1">
        <v>45791</v>
      </c>
      <c r="B92">
        <v>4.2457142857142571</v>
      </c>
      <c r="C92" s="12">
        <v>2.2601104199303258E-2</v>
      </c>
      <c r="D92">
        <v>5.8428571428571274</v>
      </c>
    </row>
    <row r="93" spans="1:4" x14ac:dyDescent="0.25">
      <c r="A93" s="1">
        <v>45792</v>
      </c>
      <c r="B93">
        <v>-6.4571428571428271</v>
      </c>
      <c r="C93" s="12">
        <v>-3.3613445378151106E-2</v>
      </c>
      <c r="D93">
        <v>-0.61428571428569967</v>
      </c>
    </row>
    <row r="94" spans="1:4" x14ac:dyDescent="0.25">
      <c r="A94" s="1">
        <v>45793</v>
      </c>
      <c r="B94">
        <v>28.607142857142833</v>
      </c>
      <c r="C94" s="12">
        <v>0.15409772989611373</v>
      </c>
      <c r="D94">
        <v>27.992857142857133</v>
      </c>
    </row>
    <row r="95" spans="1:4" x14ac:dyDescent="0.25">
      <c r="A95" s="1">
        <v>45796</v>
      </c>
      <c r="B95">
        <v>-2.2999999999999829</v>
      </c>
      <c r="C95" s="12">
        <v>-1.073512252041999E-2</v>
      </c>
      <c r="D95">
        <v>25.69285714285715</v>
      </c>
    </row>
    <row r="96" spans="1:4" x14ac:dyDescent="0.25">
      <c r="A96" s="1">
        <v>45797</v>
      </c>
      <c r="B96">
        <v>-3.5500000000000114</v>
      </c>
      <c r="C96" s="12">
        <v>-1.6749233309742918E-2</v>
      </c>
      <c r="D96">
        <v>22.142857142857139</v>
      </c>
    </row>
    <row r="97" spans="1:4" x14ac:dyDescent="0.25">
      <c r="A97" s="1">
        <v>45798</v>
      </c>
      <c r="B97">
        <v>21.999999999999972</v>
      </c>
      <c r="C97" s="12">
        <v>0.10556621880998067</v>
      </c>
      <c r="D97">
        <v>44.14285714285711</v>
      </c>
    </row>
    <row r="98" spans="1:4" x14ac:dyDescent="0.25">
      <c r="A98" s="1">
        <v>45799</v>
      </c>
      <c r="B98">
        <v>-3.4892857142856997</v>
      </c>
      <c r="C98" s="12">
        <v>-1.5144469246031684E-2</v>
      </c>
      <c r="D98">
        <v>40.653571428571411</v>
      </c>
    </row>
    <row r="99" spans="1:4" x14ac:dyDescent="0.25">
      <c r="A99" s="1">
        <v>45800</v>
      </c>
      <c r="B99">
        <v>15.017857142857139</v>
      </c>
      <c r="C99" s="12">
        <v>6.6183993074683228E-2</v>
      </c>
      <c r="D99">
        <v>55.67142857142855</v>
      </c>
    </row>
    <row r="100" spans="1:4" x14ac:dyDescent="0.25">
      <c r="A100" s="1">
        <v>45804</v>
      </c>
      <c r="B100">
        <v>-34.435714285714283</v>
      </c>
      <c r="C100" s="12">
        <v>-0.14233835252435784</v>
      </c>
      <c r="D100">
        <v>21.235714285714266</v>
      </c>
    </row>
    <row r="101" spans="1:4" x14ac:dyDescent="0.25">
      <c r="A101" s="1">
        <v>45805</v>
      </c>
      <c r="B101">
        <v>5.5321428571428726</v>
      </c>
      <c r="C101" s="12">
        <v>2.6661847223656655E-2</v>
      </c>
      <c r="D101">
        <v>26.767857142857139</v>
      </c>
    </row>
    <row r="102" spans="1:4" x14ac:dyDescent="0.25">
      <c r="A102" s="1">
        <v>45806</v>
      </c>
      <c r="B102">
        <v>-3.496428571428595</v>
      </c>
      <c r="C102" s="12">
        <v>-1.6413231176756693E-2</v>
      </c>
      <c r="D102">
        <v>23.271428571428544</v>
      </c>
    </row>
    <row r="103" spans="1:4" x14ac:dyDescent="0.25">
      <c r="A103" s="1">
        <v>45807</v>
      </c>
      <c r="B103">
        <v>-4.4857142857142662</v>
      </c>
      <c r="C103" s="12">
        <v>-2.1408604349901047E-2</v>
      </c>
      <c r="D103">
        <v>18.785714285714278</v>
      </c>
    </row>
    <row r="104" spans="1:4" x14ac:dyDescent="0.25">
      <c r="A104" s="1">
        <v>45810</v>
      </c>
      <c r="B104">
        <v>0.87142857142856656</v>
      </c>
      <c r="C104" s="12">
        <v>4.2499825820385747E-3</v>
      </c>
      <c r="D104">
        <v>19.657142857142844</v>
      </c>
    </row>
    <row r="105" spans="1:4" x14ac:dyDescent="0.25">
      <c r="A105" s="1">
        <v>45811</v>
      </c>
      <c r="B105">
        <v>-8.566071428571405</v>
      </c>
      <c r="C105" s="12">
        <v>-4.1600180380185814E-2</v>
      </c>
      <c r="D105">
        <v>11.091071428571439</v>
      </c>
    </row>
    <row r="106" spans="1:4" x14ac:dyDescent="0.25">
      <c r="A106" s="1">
        <v>45812</v>
      </c>
      <c r="B106">
        <v>-0.39821428571428896</v>
      </c>
      <c r="C106" s="12">
        <v>-2.0178256345292655E-3</v>
      </c>
      <c r="D106">
        <v>10.69285714285715</v>
      </c>
    </row>
    <row r="107" spans="1:4" x14ac:dyDescent="0.25">
      <c r="A107" s="1">
        <v>45813</v>
      </c>
      <c r="B107">
        <v>5.3874999999999602</v>
      </c>
      <c r="C107" s="12">
        <v>2.735465854277715E-2</v>
      </c>
      <c r="D107">
        <v>16.08035714285711</v>
      </c>
    </row>
    <row r="108" spans="1:4" x14ac:dyDescent="0.25">
      <c r="A108" s="1">
        <v>45814</v>
      </c>
      <c r="B108">
        <v>-16.694642857142838</v>
      </c>
      <c r="C108" s="12">
        <v>-8.2508891614964303E-2</v>
      </c>
      <c r="D108">
        <v>-0.61428571428572809</v>
      </c>
    </row>
    <row r="109" spans="1:4" x14ac:dyDescent="0.25">
      <c r="A109" s="1">
        <v>45817</v>
      </c>
      <c r="B109">
        <v>3.9303571428571615</v>
      </c>
      <c r="C109" s="12">
        <v>2.1171604463255198E-2</v>
      </c>
      <c r="D109">
        <v>3.3160714285714334</v>
      </c>
    </row>
    <row r="110" spans="1:4" x14ac:dyDescent="0.25">
      <c r="A110" s="1">
        <v>45818</v>
      </c>
      <c r="B110">
        <v>-3.0375000000000227</v>
      </c>
      <c r="C110" s="12">
        <v>-1.6022833243846728E-2</v>
      </c>
      <c r="D110">
        <v>0.27857142857141071</v>
      </c>
    </row>
    <row r="111" spans="1:4" x14ac:dyDescent="0.25">
      <c r="A111" s="1">
        <v>45819</v>
      </c>
      <c r="B111">
        <v>4.6142857142857281</v>
      </c>
      <c r="C111" s="12">
        <v>2.4736741336396782E-2</v>
      </c>
      <c r="D111">
        <v>4.8928571428571388</v>
      </c>
    </row>
    <row r="112" spans="1:4" x14ac:dyDescent="0.25">
      <c r="A112" s="1">
        <v>45820</v>
      </c>
      <c r="B112">
        <v>1.8321428571428555</v>
      </c>
      <c r="C112" s="12">
        <v>9.5848436157094184E-3</v>
      </c>
      <c r="D112">
        <v>6.7249999999999943</v>
      </c>
    </row>
    <row r="113" spans="1:4" x14ac:dyDescent="0.25">
      <c r="A113" s="1">
        <v>45821</v>
      </c>
      <c r="B113">
        <v>26.798214285714266</v>
      </c>
      <c r="C113" s="12">
        <v>0.13886369945405744</v>
      </c>
      <c r="D113">
        <v>33.523214285714261</v>
      </c>
    </row>
    <row r="114" spans="1:4" x14ac:dyDescent="0.25">
      <c r="A114" s="1">
        <v>45824</v>
      </c>
      <c r="B114">
        <v>-18.326785714285677</v>
      </c>
      <c r="C114" s="12">
        <v>-8.338682288323554E-2</v>
      </c>
      <c r="D114">
        <v>15.196428571428584</v>
      </c>
    </row>
    <row r="115" spans="1:4" x14ac:dyDescent="0.25">
      <c r="A115" s="1">
        <v>45825</v>
      </c>
      <c r="B115">
        <v>27.878571428571377</v>
      </c>
      <c r="C115" s="12">
        <v>0.13838707961777766</v>
      </c>
      <c r="D115">
        <v>43.07499999999996</v>
      </c>
    </row>
    <row r="116" spans="1:4" x14ac:dyDescent="0.25">
      <c r="A116" s="1">
        <v>45826</v>
      </c>
      <c r="B116">
        <v>-7.2821428571428157</v>
      </c>
      <c r="C116" s="12">
        <v>-3.1753694734710861E-2</v>
      </c>
      <c r="D116">
        <v>35.792857142857144</v>
      </c>
    </row>
    <row r="117" spans="1:4" x14ac:dyDescent="0.25">
      <c r="A117" s="1">
        <v>45828</v>
      </c>
      <c r="B117">
        <v>0.86785714285713311</v>
      </c>
      <c r="C117" s="12">
        <v>3.9083861421172397E-3</v>
      </c>
      <c r="D117">
        <v>36.660714285714278</v>
      </c>
    </row>
    <row r="118" spans="1:4" x14ac:dyDescent="0.25">
      <c r="A118" s="1">
        <v>45831</v>
      </c>
      <c r="B118">
        <v>-13.549999999999955</v>
      </c>
      <c r="C118" s="12">
        <v>-6.0784722110963155E-2</v>
      </c>
      <c r="D118">
        <v>23.110714285714323</v>
      </c>
    </row>
    <row r="119" spans="1:4" x14ac:dyDescent="0.25">
      <c r="A119" s="1">
        <v>45832</v>
      </c>
      <c r="B119">
        <v>-18.44642857142864</v>
      </c>
      <c r="C119" s="12">
        <v>-8.8105351142043542E-2</v>
      </c>
      <c r="D119">
        <v>4.6642857142856826</v>
      </c>
    </row>
    <row r="120" spans="1:4" x14ac:dyDescent="0.25">
      <c r="A120" s="1">
        <v>45833</v>
      </c>
      <c r="B120">
        <v>-3.2214285714285609</v>
      </c>
      <c r="C120" s="12">
        <v>-1.6873059224063697E-2</v>
      </c>
      <c r="D120">
        <v>1.4428571428571217</v>
      </c>
    </row>
    <row r="121" spans="1:4" x14ac:dyDescent="0.25">
      <c r="A121" s="1">
        <v>45834</v>
      </c>
      <c r="B121">
        <v>-3.4428571428571217</v>
      </c>
      <c r="C121" s="12">
        <v>-1.8342339599665008E-2</v>
      </c>
      <c r="D121">
        <v>-2</v>
      </c>
    </row>
    <row r="122" spans="1:4" x14ac:dyDescent="0.25">
      <c r="A122" s="1">
        <v>45835</v>
      </c>
      <c r="B122">
        <v>-3.5321428571428442</v>
      </c>
      <c r="C122" s="12">
        <v>-1.9169638703674916E-2</v>
      </c>
      <c r="D122">
        <v>-5.5321428571428442</v>
      </c>
    </row>
    <row r="123" spans="1:4" x14ac:dyDescent="0.25">
      <c r="A123" s="1">
        <v>45838</v>
      </c>
      <c r="B123">
        <v>5.5749999999999602</v>
      </c>
      <c r="C123" s="12">
        <v>3.084797344030964E-2</v>
      </c>
      <c r="D123">
        <v>4.285714285711606E-2</v>
      </c>
    </row>
    <row r="124" spans="1:4" x14ac:dyDescent="0.25">
      <c r="A124" s="1">
        <v>45839</v>
      </c>
      <c r="B124">
        <v>2.1571428571428726</v>
      </c>
      <c r="C124" s="12">
        <v>1.1578866651330504E-2</v>
      </c>
      <c r="D124">
        <v>2.1999999999999886</v>
      </c>
    </row>
    <row r="125" spans="1:4" x14ac:dyDescent="0.25">
      <c r="A125" s="1">
        <v>45840</v>
      </c>
      <c r="B125">
        <v>-1.4071428571428442</v>
      </c>
      <c r="C125" s="12">
        <v>-7.4666464523953221E-3</v>
      </c>
      <c r="D125">
        <v>0.79285714285714448</v>
      </c>
    </row>
    <row r="126" spans="1:4" x14ac:dyDescent="0.25">
      <c r="A126" s="1">
        <v>45841</v>
      </c>
      <c r="B126">
        <v>-2.4696428571428442</v>
      </c>
      <c r="C126" s="12">
        <v>-1.3203116049948378E-2</v>
      </c>
      <c r="D126">
        <v>-1.6767857142856997</v>
      </c>
    </row>
    <row r="127" spans="1:4" x14ac:dyDescent="0.25">
      <c r="A127" s="1">
        <v>45845</v>
      </c>
      <c r="B127">
        <v>16.957142857142827</v>
      </c>
      <c r="C127" s="12">
        <v>9.1868620906496223E-2</v>
      </c>
      <c r="D127">
        <v>15.280357142857127</v>
      </c>
    </row>
    <row r="128" spans="1:4" x14ac:dyDescent="0.25">
      <c r="A128" s="1">
        <v>45846</v>
      </c>
      <c r="B128">
        <v>-9.9160714285714278</v>
      </c>
      <c r="C128" s="12">
        <v>-4.9202115877052303E-2</v>
      </c>
      <c r="D128">
        <v>5.3642857142856997</v>
      </c>
    </row>
    <row r="129" spans="1:4" x14ac:dyDescent="0.25">
      <c r="A129" s="1">
        <v>45847</v>
      </c>
      <c r="B129">
        <v>-9.7214285714285609</v>
      </c>
      <c r="C129" s="12">
        <v>-5.0732471018004197E-2</v>
      </c>
      <c r="D129">
        <v>-4.3571428571428612</v>
      </c>
    </row>
    <row r="130" spans="1:4" x14ac:dyDescent="0.25">
      <c r="A130" s="1">
        <v>45848</v>
      </c>
      <c r="B130">
        <v>-3.3964285714285722</v>
      </c>
      <c r="C130" s="12">
        <v>-1.8671954763213702E-2</v>
      </c>
      <c r="D130">
        <v>-7.7535714285714334</v>
      </c>
    </row>
    <row r="131" spans="1:4" x14ac:dyDescent="0.25">
      <c r="A131" s="1">
        <v>45849</v>
      </c>
      <c r="B131">
        <v>6.7607142857143003</v>
      </c>
      <c r="C131" s="12">
        <v>3.7874392269062328E-2</v>
      </c>
      <c r="D131">
        <v>-0.99285714285713311</v>
      </c>
    </row>
    <row r="132" spans="1:4" x14ac:dyDescent="0.25">
      <c r="A132" s="1">
        <v>45852</v>
      </c>
      <c r="B132">
        <v>12.064285714285717</v>
      </c>
      <c r="C132" s="12">
        <v>6.5119327601495941E-2</v>
      </c>
      <c r="D132">
        <v>11.071428571428584</v>
      </c>
    </row>
    <row r="133" spans="1:4" x14ac:dyDescent="0.25">
      <c r="A133" s="1">
        <v>45853</v>
      </c>
      <c r="B133">
        <v>4.5696428571428385</v>
      </c>
      <c r="C133" s="12">
        <v>2.3157532758995052E-2</v>
      </c>
      <c r="D133">
        <v>15.641071428571422</v>
      </c>
    </row>
    <row r="134" spans="1:4" x14ac:dyDescent="0.25">
      <c r="A134" s="1">
        <v>45854</v>
      </c>
      <c r="B134">
        <v>-1.7482142857142833</v>
      </c>
      <c r="C134" s="12">
        <v>-8.6588892918107487E-3</v>
      </c>
      <c r="D134">
        <v>13.892857142857139</v>
      </c>
    </row>
    <row r="135" spans="1:4" x14ac:dyDescent="0.25">
      <c r="A135" s="1">
        <v>45855</v>
      </c>
      <c r="B135">
        <v>-10.500000000000028</v>
      </c>
      <c r="C135" s="12">
        <v>-5.2460654509118299E-2</v>
      </c>
      <c r="D135">
        <v>3.3928571428571104</v>
      </c>
    </row>
    <row r="136" spans="1:4" x14ac:dyDescent="0.25">
      <c r="A136" s="1">
        <v>45856</v>
      </c>
      <c r="B136">
        <v>4.4285714285734912E-2</v>
      </c>
      <c r="C136" s="12">
        <v>2.3351286203920335E-4</v>
      </c>
      <c r="D136">
        <v>3.4371428571428453</v>
      </c>
    </row>
    <row r="137" spans="1:4" x14ac:dyDescent="0.25">
      <c r="A137" s="1">
        <v>45859</v>
      </c>
      <c r="B137">
        <v>1.6199999999999761</v>
      </c>
      <c r="C137" s="12">
        <v>8.5400569337127658E-3</v>
      </c>
      <c r="D137">
        <v>5.0571428571428214</v>
      </c>
    </row>
    <row r="138" spans="1:4" x14ac:dyDescent="0.25">
      <c r="A138" s="1">
        <v>45860</v>
      </c>
      <c r="B138">
        <v>-2.4628571428571036</v>
      </c>
      <c r="C138" s="12">
        <v>-1.2873357228195733E-2</v>
      </c>
      <c r="D138">
        <v>2.5942857142857179</v>
      </c>
    </row>
    <row r="139" spans="1:4" x14ac:dyDescent="0.25">
      <c r="A139" s="1">
        <v>45861</v>
      </c>
      <c r="B139">
        <v>-9.8714285714285666</v>
      </c>
      <c r="C139" s="12">
        <v>-5.2270870525583192E-2</v>
      </c>
      <c r="D139">
        <v>-7.2771428571428487</v>
      </c>
    </row>
    <row r="140" spans="1:4" x14ac:dyDescent="0.25">
      <c r="A140" s="1">
        <v>45862</v>
      </c>
      <c r="B140">
        <v>-3.7857142857142776</v>
      </c>
      <c r="C140" s="12">
        <v>-2.1151605127468304E-2</v>
      </c>
      <c r="D140">
        <v>-11.062857142857126</v>
      </c>
    </row>
    <row r="141" spans="1:4" x14ac:dyDescent="0.25">
      <c r="A141" s="1">
        <v>45863</v>
      </c>
      <c r="B141">
        <v>-6.1071428571428896</v>
      </c>
      <c r="C141" s="12">
        <v>-3.4859258292834261E-2</v>
      </c>
      <c r="D141">
        <v>-17.170000000000016</v>
      </c>
    </row>
    <row r="142" spans="1:4" x14ac:dyDescent="0.25">
      <c r="A142" s="1">
        <v>45866</v>
      </c>
      <c r="B142">
        <v>0.14285714285716722</v>
      </c>
      <c r="C142" s="12">
        <v>8.4487288887401301E-4</v>
      </c>
      <c r="D142">
        <v>-17.027142857142849</v>
      </c>
    </row>
    <row r="143" spans="1:4" x14ac:dyDescent="0.25">
      <c r="A143" s="1">
        <v>45867</v>
      </c>
      <c r="B143">
        <v>8.1471428571428532</v>
      </c>
      <c r="C143" s="12">
        <v>4.8142426621419682E-2</v>
      </c>
      <c r="D143">
        <v>-8.8799999999999955</v>
      </c>
    </row>
    <row r="144" spans="1:4" x14ac:dyDescent="0.25">
      <c r="A144" s="1">
        <v>45868</v>
      </c>
      <c r="B144">
        <v>3.5528571428571354</v>
      </c>
      <c r="C144" s="12">
        <v>2.0029960374987877E-2</v>
      </c>
      <c r="D144">
        <v>-5.3271428571428601</v>
      </c>
    </row>
    <row r="145" spans="1:4" x14ac:dyDescent="0.25">
      <c r="A145" s="1">
        <v>45869</v>
      </c>
      <c r="B145">
        <v>2.2342857142857042</v>
      </c>
      <c r="C145" s="12">
        <v>1.234889578447855E-2</v>
      </c>
      <c r="D145">
        <v>-3.0928571428571558</v>
      </c>
    </row>
    <row r="146" spans="1:4" x14ac:dyDescent="0.25">
      <c r="A146" s="1">
        <v>45870</v>
      </c>
      <c r="B146">
        <v>31.838571428571413</v>
      </c>
      <c r="C146" s="12">
        <v>0.17382521545840962</v>
      </c>
      <c r="D146">
        <v>28.745714285714257</v>
      </c>
    </row>
    <row r="147" spans="1:4" x14ac:dyDescent="0.25">
      <c r="A147" s="1">
        <v>45873</v>
      </c>
      <c r="B147">
        <v>-25.312857142857126</v>
      </c>
      <c r="C147" s="12">
        <v>-0.11773265471555189</v>
      </c>
      <c r="D147">
        <v>3.4328571428571308</v>
      </c>
    </row>
    <row r="148" spans="1:4" x14ac:dyDescent="0.25">
      <c r="A148" s="1">
        <v>45874</v>
      </c>
      <c r="B148">
        <v>5.9242857142857019</v>
      </c>
      <c r="C148" s="12">
        <v>3.1231407635013454E-2</v>
      </c>
      <c r="D148">
        <v>9.3571428571428328</v>
      </c>
    </row>
    <row r="149" spans="1:4" x14ac:dyDescent="0.25">
      <c r="A149" s="1">
        <v>45875</v>
      </c>
      <c r="B149">
        <v>-12.6142857142857</v>
      </c>
      <c r="C149" s="12">
        <v>-6.4485503541955674E-2</v>
      </c>
      <c r="D149">
        <v>-3.2571428571428669</v>
      </c>
    </row>
    <row r="150" spans="1:4" x14ac:dyDescent="0.25">
      <c r="A150" s="1">
        <v>45876</v>
      </c>
      <c r="B150">
        <v>0.92285714285713993</v>
      </c>
      <c r="C150" s="12">
        <v>5.042935206869617E-3</v>
      </c>
      <c r="D150">
        <v>-2.334285714285727</v>
      </c>
    </row>
    <row r="151" spans="1:4" x14ac:dyDescent="0.25">
      <c r="A151" s="1">
        <v>45877</v>
      </c>
      <c r="B151">
        <v>-14.078571428571422</v>
      </c>
      <c r="C151" s="12">
        <v>-7.6546067450639216E-2</v>
      </c>
      <c r="D151">
        <v>-16.412857142857149</v>
      </c>
    </row>
    <row r="152" spans="1:4" x14ac:dyDescent="0.25">
      <c r="A152" s="1">
        <v>45880</v>
      </c>
      <c r="B152">
        <v>11.352857142857118</v>
      </c>
      <c r="C152" s="12">
        <v>6.6842738306515909E-2</v>
      </c>
      <c r="D152">
        <v>-5.0600000000000307</v>
      </c>
    </row>
    <row r="153" spans="1:4" x14ac:dyDescent="0.25">
      <c r="A153" s="1">
        <v>45881</v>
      </c>
      <c r="B153">
        <v>-17.602857142857118</v>
      </c>
      <c r="C153" s="12">
        <v>-9.7147542534571529E-2</v>
      </c>
      <c r="D153">
        <v>-22.662857142857149</v>
      </c>
    </row>
    <row r="154" spans="1:4" x14ac:dyDescent="0.25">
      <c r="A154" s="1">
        <v>45882</v>
      </c>
      <c r="B154">
        <v>-2.5542857142856974</v>
      </c>
      <c r="C154" s="12">
        <v>-1.5613538719480144E-2</v>
      </c>
      <c r="D154">
        <v>-25.217142857142846</v>
      </c>
    </row>
    <row r="155" spans="1:4" x14ac:dyDescent="0.25">
      <c r="A155" s="1">
        <v>45883</v>
      </c>
      <c r="B155">
        <v>-0.41428571428571104</v>
      </c>
      <c r="C155" s="12">
        <v>-2.5725640479738634E-3</v>
      </c>
      <c r="D155">
        <v>-25.631428571428557</v>
      </c>
    </row>
    <row r="156" spans="1:4" x14ac:dyDescent="0.25">
      <c r="A156" s="1">
        <v>45884</v>
      </c>
      <c r="B156">
        <v>29.724285714285685</v>
      </c>
      <c r="C156" s="12">
        <v>0.18505309592842256</v>
      </c>
      <c r="D156">
        <v>4.0928571428571274</v>
      </c>
    </row>
    <row r="157" spans="1:4" x14ac:dyDescent="0.25">
      <c r="A157" s="1">
        <v>45887</v>
      </c>
      <c r="B157">
        <v>-10.049999999999983</v>
      </c>
      <c r="C157" s="12">
        <v>-5.2797478329393133E-2</v>
      </c>
      <c r="D157">
        <v>-5.9571428571428555</v>
      </c>
    </row>
    <row r="158" spans="1:4" x14ac:dyDescent="0.25">
      <c r="A158" s="1">
        <v>45888</v>
      </c>
      <c r="B158">
        <v>5.4499999999999886</v>
      </c>
      <c r="C158" s="12">
        <v>3.022739877981136E-2</v>
      </c>
      <c r="D158">
        <v>-0.50714285714286689</v>
      </c>
    </row>
    <row r="159" spans="1:4" x14ac:dyDescent="0.25">
      <c r="A159" s="1">
        <v>45889</v>
      </c>
      <c r="B159">
        <v>0.65000000000000568</v>
      </c>
      <c r="C159" s="12">
        <v>3.4993270524899364E-3</v>
      </c>
      <c r="D159">
        <v>0.1428571428571388</v>
      </c>
    </row>
    <row r="160" spans="1:4" x14ac:dyDescent="0.25">
      <c r="A160" s="1">
        <v>45890</v>
      </c>
      <c r="B160">
        <v>13.0107142857143</v>
      </c>
      <c r="C160" s="12">
        <v>6.9799969343960835E-2</v>
      </c>
      <c r="D160">
        <v>13.153571428571439</v>
      </c>
    </row>
    <row r="161" spans="1:4" x14ac:dyDescent="0.25">
      <c r="A161" s="1">
        <v>45891</v>
      </c>
      <c r="B161">
        <v>-30.685714285714283</v>
      </c>
      <c r="C161" s="12">
        <v>-0.15388197367242767</v>
      </c>
      <c r="D161">
        <v>-17.532142857142844</v>
      </c>
    </row>
    <row r="162" spans="1:4" x14ac:dyDescent="0.25">
      <c r="A162" s="1">
        <v>45894</v>
      </c>
      <c r="B162">
        <v>5.1535714285713823</v>
      </c>
      <c r="C162" s="12">
        <v>3.0544207607475962E-2</v>
      </c>
      <c r="D162">
        <v>-12.378571428571462</v>
      </c>
    </row>
    <row r="163" spans="1:4" x14ac:dyDescent="0.25">
      <c r="A163" s="1">
        <v>45895</v>
      </c>
      <c r="B163">
        <v>-2.9107142857142776</v>
      </c>
      <c r="C163" s="12">
        <v>-1.6739925235180499E-2</v>
      </c>
      <c r="D163">
        <v>-15.289285714285739</v>
      </c>
    </row>
    <row r="164" spans="1:4" x14ac:dyDescent="0.25">
      <c r="A164" s="1">
        <v>45896</v>
      </c>
      <c r="B164">
        <v>-1.5678571428571217</v>
      </c>
      <c r="C164" s="12">
        <v>-9.1704789956339773E-3</v>
      </c>
      <c r="D164">
        <v>-16.857142857142861</v>
      </c>
    </row>
    <row r="165" spans="1:4" x14ac:dyDescent="0.25">
      <c r="A165" s="1">
        <v>45897</v>
      </c>
      <c r="B165">
        <v>-2.0999999999999943</v>
      </c>
      <c r="C165" s="12">
        <v>-1.2396694214875999E-2</v>
      </c>
      <c r="D165">
        <v>-18.957142857142856</v>
      </c>
    </row>
    <row r="166" spans="1:4" x14ac:dyDescent="0.25">
      <c r="A166" s="1">
        <v>45898</v>
      </c>
      <c r="B166">
        <v>10.199999999999989</v>
      </c>
      <c r="C166" s="12">
        <v>6.0968320382546251E-2</v>
      </c>
      <c r="D166">
        <v>-8.7571428571428669</v>
      </c>
    </row>
    <row r="167" spans="1:4" x14ac:dyDescent="0.25">
      <c r="A167" s="1">
        <v>45902</v>
      </c>
      <c r="B167">
        <v>21.603571428571456</v>
      </c>
      <c r="C167" s="12">
        <v>0.12171026156941665</v>
      </c>
      <c r="D167">
        <v>12.846428571428589</v>
      </c>
    </row>
    <row r="168" spans="1:4" x14ac:dyDescent="0.25">
      <c r="A168" s="1">
        <v>45903</v>
      </c>
      <c r="B168">
        <v>-13.20357142857145</v>
      </c>
      <c r="C168" s="12">
        <v>-6.6315090853647701E-2</v>
      </c>
      <c r="D168">
        <v>-0.3571428571428612</v>
      </c>
    </row>
    <row r="169" spans="1:4" x14ac:dyDescent="0.25">
      <c r="A169" s="1">
        <v>45904</v>
      </c>
      <c r="B169">
        <v>-10.373214285714283</v>
      </c>
      <c r="C169" s="12">
        <v>-5.5799969261507709E-2</v>
      </c>
      <c r="D169">
        <v>-10.730357142857144</v>
      </c>
    </row>
    <row r="170" spans="1:4" x14ac:dyDescent="0.25">
      <c r="A170" s="1">
        <v>45905</v>
      </c>
      <c r="B170">
        <v>-3.0482142857143231</v>
      </c>
      <c r="C170" s="12">
        <v>-1.736609186632098E-2</v>
      </c>
      <c r="D170">
        <v>-13.778571428571468</v>
      </c>
    </row>
    <row r="171" spans="1:4" x14ac:dyDescent="0.25">
      <c r="A171" s="1">
        <v>45908</v>
      </c>
      <c r="B171">
        <v>2.5160714285714789</v>
      </c>
      <c r="C171" s="12">
        <v>1.4587733465855266E-2</v>
      </c>
      <c r="D171">
        <v>-11.262499999999989</v>
      </c>
    </row>
    <row r="172" spans="1:4" x14ac:dyDescent="0.25">
      <c r="A172" s="1">
        <v>45909</v>
      </c>
      <c r="B172">
        <v>0.53392857142856087</v>
      </c>
      <c r="C172" s="12">
        <v>3.0511138096063557E-3</v>
      </c>
      <c r="D172">
        <v>-10.728571428571428</v>
      </c>
    </row>
    <row r="173" spans="1:4" x14ac:dyDescent="0.25">
      <c r="A173" s="1">
        <v>45910</v>
      </c>
      <c r="B173">
        <v>0.9839285714285495</v>
      </c>
      <c r="C173" s="12">
        <v>5.6055180271830764E-3</v>
      </c>
      <c r="D173">
        <v>-9.7446428571428783</v>
      </c>
    </row>
    <row r="174" spans="1:4" x14ac:dyDescent="0.25">
      <c r="A174" s="1">
        <v>45911</v>
      </c>
      <c r="B174">
        <v>-5.5589285714285381</v>
      </c>
      <c r="C174" s="12">
        <v>-3.149311562313456E-2</v>
      </c>
      <c r="D174">
        <v>-15.303571428571416</v>
      </c>
    </row>
    <row r="175" spans="1:4" x14ac:dyDescent="0.25">
      <c r="A175" s="1">
        <v>45912</v>
      </c>
      <c r="B175">
        <v>-0.74107142857147323</v>
      </c>
      <c r="C175" s="12">
        <v>-4.3349280297493575E-3</v>
      </c>
      <c r="D175">
        <v>-16.04464285714289</v>
      </c>
    </row>
    <row r="176" spans="1:4" x14ac:dyDescent="0.25">
      <c r="A176" s="1">
        <v>45915</v>
      </c>
      <c r="B176">
        <v>13.419642857142861</v>
      </c>
      <c r="C176" s="12">
        <v>7.8840524974034598E-2</v>
      </c>
      <c r="D176">
        <v>-2.6250000000000284</v>
      </c>
    </row>
    <row r="177" spans="1:4" x14ac:dyDescent="0.25">
      <c r="A177" s="1">
        <v>45916</v>
      </c>
      <c r="B177">
        <v>11.021428571428601</v>
      </c>
      <c r="C177" s="12">
        <v>6.0019059844020624E-2</v>
      </c>
      <c r="D177">
        <v>8.3964285714285722</v>
      </c>
    </row>
    <row r="178" spans="1:4" x14ac:dyDescent="0.25">
      <c r="A178" s="1">
        <v>45917</v>
      </c>
      <c r="B178">
        <v>-5.6035714285714278</v>
      </c>
      <c r="C178" s="12">
        <v>-2.8787406197823967E-2</v>
      </c>
      <c r="D178">
        <v>2.7928571428571445</v>
      </c>
    </row>
    <row r="179" spans="1:4" x14ac:dyDescent="0.25">
      <c r="A179" s="1">
        <v>45918</v>
      </c>
      <c r="B179">
        <v>-3.6000000000000227</v>
      </c>
      <c r="C179" s="12">
        <v>-1.9042581327691207E-2</v>
      </c>
      <c r="D179">
        <v>-0.80714285714287826</v>
      </c>
    </row>
    <row r="180" spans="1:4" x14ac:dyDescent="0.25">
      <c r="A180" s="1">
        <v>45919</v>
      </c>
      <c r="B180">
        <v>0.15142857142856769</v>
      </c>
      <c r="C180" s="12">
        <v>8.1654662404188568E-4</v>
      </c>
      <c r="D180">
        <v>-0.65571428571431056</v>
      </c>
    </row>
    <row r="181" spans="1:4" x14ac:dyDescent="0.25">
      <c r="A181" s="1">
        <v>45922</v>
      </c>
      <c r="B181">
        <v>9.3199999999999932</v>
      </c>
      <c r="C181" s="12">
        <v>5.0215130733291737E-2</v>
      </c>
      <c r="D181">
        <v>8.6642857142856826</v>
      </c>
    </row>
    <row r="182" spans="1:4" x14ac:dyDescent="0.25">
      <c r="A182" s="1">
        <v>45923</v>
      </c>
      <c r="B182">
        <v>7.8328571428571934</v>
      </c>
      <c r="C182" s="12">
        <v>4.0184689801751883E-2</v>
      </c>
      <c r="D182">
        <v>16.497142857142876</v>
      </c>
    </row>
    <row r="183" spans="1:4" x14ac:dyDescent="0.25">
      <c r="A183" s="1">
        <v>45924</v>
      </c>
      <c r="B183">
        <v>-5.2742857142857247</v>
      </c>
      <c r="C183" s="12">
        <v>-2.6013189786370603E-2</v>
      </c>
      <c r="D183">
        <v>11.222857142857151</v>
      </c>
    </row>
    <row r="184" spans="1:4" x14ac:dyDescent="0.25">
      <c r="A184" s="1">
        <v>45925</v>
      </c>
      <c r="B184">
        <v>4.0657142857143072</v>
      </c>
      <c r="C184" s="12">
        <v>2.0587979976272569E-2</v>
      </c>
      <c r="D184">
        <v>15.288571428571458</v>
      </c>
    </row>
    <row r="185" spans="1:4" x14ac:dyDescent="0.25">
      <c r="A185" s="1">
        <v>45926</v>
      </c>
      <c r="B185">
        <v>-17.517142857142886</v>
      </c>
      <c r="C185" s="12">
        <v>-8.6913993280503671E-2</v>
      </c>
      <c r="D185">
        <v>-2.2285714285714278</v>
      </c>
    </row>
    <row r="186" spans="1:4" x14ac:dyDescent="0.25">
      <c r="A186" s="1">
        <v>45929</v>
      </c>
      <c r="B186">
        <v>4.6957142857142742</v>
      </c>
      <c r="C186" s="12">
        <v>2.5516224188790498E-2</v>
      </c>
      <c r="D186">
        <v>2.4671428571428464</v>
      </c>
    </row>
    <row r="187" spans="1:4" x14ac:dyDescent="0.25">
      <c r="A187" s="1">
        <v>45930</v>
      </c>
      <c r="B187">
        <v>-2.164285714285711</v>
      </c>
      <c r="C187" s="12">
        <v>-1.1467976715843958E-2</v>
      </c>
      <c r="D187">
        <v>0.30285714285713539</v>
      </c>
    </row>
    <row r="188" spans="1:4" x14ac:dyDescent="0.25">
      <c r="A188" s="1">
        <v>45931</v>
      </c>
      <c r="B188">
        <v>0.17000000000001592</v>
      </c>
      <c r="C188" s="12">
        <v>9.1123499142375594E-4</v>
      </c>
      <c r="D188">
        <v>0.4728571428571513</v>
      </c>
    </row>
    <row r="189" spans="1:4" x14ac:dyDescent="0.25">
      <c r="A189" s="1">
        <v>45932</v>
      </c>
      <c r="B189">
        <v>3.927142857142826</v>
      </c>
      <c r="C189" s="12">
        <v>2.1031129744244769E-2</v>
      </c>
      <c r="D189">
        <v>4.3999999999999773</v>
      </c>
    </row>
    <row r="190" spans="1:4" x14ac:dyDescent="0.25">
      <c r="A190" s="1">
        <v>45933</v>
      </c>
      <c r="B190">
        <v>-3.585714285714289</v>
      </c>
      <c r="C190" s="12">
        <v>-1.8807133223437751E-2</v>
      </c>
      <c r="D190">
        <v>0.8142857142856883</v>
      </c>
    </row>
    <row r="191" spans="1:4" x14ac:dyDescent="0.25">
      <c r="A191" s="1">
        <v>45936</v>
      </c>
      <c r="B191">
        <v>2.4500000000000171</v>
      </c>
      <c r="C191" s="12">
        <v>1.3096601756395662E-2</v>
      </c>
      <c r="D191">
        <v>3.2642857142857054</v>
      </c>
    </row>
    <row r="192" spans="1:4" x14ac:dyDescent="0.25">
      <c r="A192" s="1">
        <v>45937</v>
      </c>
      <c r="B192">
        <v>9.5500000000000114</v>
      </c>
      <c r="C192" s="12">
        <v>5.0390080277390482E-2</v>
      </c>
      <c r="D192">
        <v>12.814285714285717</v>
      </c>
    </row>
    <row r="193" spans="1:4" x14ac:dyDescent="0.25">
      <c r="A193" s="1">
        <v>45938</v>
      </c>
      <c r="B193">
        <v>-11.771428571428601</v>
      </c>
      <c r="C193" s="12">
        <v>-5.9131682813060783E-2</v>
      </c>
      <c r="D193">
        <v>1.0428571428571161</v>
      </c>
    </row>
    <row r="194" spans="1:4" x14ac:dyDescent="0.25">
      <c r="A194" s="1">
        <v>45939</v>
      </c>
      <c r="B194">
        <v>2.661428571428587</v>
      </c>
      <c r="C194" s="12">
        <v>1.4209442452902227E-2</v>
      </c>
      <c r="D194">
        <v>3.7042857142857031</v>
      </c>
    </row>
    <row r="195" spans="1:4" x14ac:dyDescent="0.25">
      <c r="A195" s="1">
        <v>45940</v>
      </c>
      <c r="B195">
        <v>78.342857142857127</v>
      </c>
      <c r="C195" s="12">
        <v>0.41241455032224578</v>
      </c>
      <c r="D195">
        <v>82.047142857142831</v>
      </c>
    </row>
    <row r="196" spans="1:4" x14ac:dyDescent="0.25">
      <c r="A196" s="1">
        <v>45943</v>
      </c>
      <c r="B196">
        <v>-51.035714285714249</v>
      </c>
      <c r="C196" s="12">
        <v>-0.19021579975827008</v>
      </c>
      <c r="D196">
        <v>31.011428571428581</v>
      </c>
    </row>
    <row r="197" spans="1:4" x14ac:dyDescent="0.25">
      <c r="A197" s="1">
        <v>45944</v>
      </c>
      <c r="B197">
        <v>16.724285714285685</v>
      </c>
      <c r="C197" s="12">
        <v>7.6975172268686401E-2</v>
      </c>
      <c r="D197">
        <v>47.735714285714266</v>
      </c>
    </row>
    <row r="198" spans="1:4" x14ac:dyDescent="0.25">
      <c r="A198" s="1">
        <v>45945</v>
      </c>
      <c r="B198">
        <v>1.5971428571428703</v>
      </c>
      <c r="C198" s="12">
        <v>6.8256051772032679E-3</v>
      </c>
      <c r="D198">
        <v>49.332857142857137</v>
      </c>
    </row>
    <row r="199" spans="1:4" x14ac:dyDescent="0.25">
      <c r="A199" s="1">
        <v>45946</v>
      </c>
      <c r="B199">
        <v>36.317142857142898</v>
      </c>
      <c r="C199" s="12">
        <v>0.15415400847719724</v>
      </c>
      <c r="D199">
        <v>85.650000000000034</v>
      </c>
    </row>
    <row r="200" spans="1:4" x14ac:dyDescent="0.25">
      <c r="A200" s="1">
        <v>45947</v>
      </c>
      <c r="B200">
        <v>-1.7571428571429237</v>
      </c>
      <c r="C200" s="12">
        <v>-6.4622901725906769E-3</v>
      </c>
      <c r="D200">
        <v>83.89285714285711</v>
      </c>
    </row>
    <row r="201" spans="1:4" x14ac:dyDescent="0.25">
      <c r="A201" s="1">
        <v>45950</v>
      </c>
      <c r="B201">
        <v>-40.899999999999977</v>
      </c>
      <c r="C201" s="12">
        <v>-0.15139737183046448</v>
      </c>
      <c r="D201">
        <v>42.992857142857133</v>
      </c>
    </row>
    <row r="202" spans="1:4" x14ac:dyDescent="0.25">
      <c r="A202" s="1">
        <v>45951</v>
      </c>
      <c r="B202">
        <v>-8.8999999999999773</v>
      </c>
      <c r="C202" s="12">
        <v>-3.8822246455834146E-2</v>
      </c>
      <c r="D202">
        <v>34.092857142857156</v>
      </c>
    </row>
    <row r="203" spans="1:4" x14ac:dyDescent="0.25">
      <c r="A203" s="1">
        <v>45952</v>
      </c>
      <c r="B203">
        <v>6.0999999999999659</v>
      </c>
      <c r="C203" s="12">
        <v>2.7683231223054074E-2</v>
      </c>
      <c r="D203">
        <v>40.192857142857122</v>
      </c>
    </row>
    <row r="204" spans="1:4" x14ac:dyDescent="0.25">
      <c r="A204" s="1">
        <v>45953</v>
      </c>
      <c r="B204">
        <v>-15.219642857142873</v>
      </c>
      <c r="C204" s="12">
        <v>-6.7209727786014015E-2</v>
      </c>
      <c r="D204">
        <v>24.973214285714249</v>
      </c>
    </row>
    <row r="205" spans="1:4" x14ac:dyDescent="0.25">
      <c r="A205" s="1">
        <v>45954</v>
      </c>
      <c r="B205">
        <v>-10.819642857142838</v>
      </c>
      <c r="C205" s="12">
        <v>-5.1222007118159676E-2</v>
      </c>
      <c r="D205">
        <v>14.153571428571411</v>
      </c>
    </row>
    <row r="206" spans="1:4" x14ac:dyDescent="0.25">
      <c r="A206" s="1">
        <v>45957</v>
      </c>
      <c r="B206">
        <v>3.0446428571428328</v>
      </c>
      <c r="C206" s="12">
        <v>1.5192016394903203E-2</v>
      </c>
      <c r="D206">
        <v>17.198214285714243</v>
      </c>
    </row>
    <row r="207" spans="1:4" x14ac:dyDescent="0.25">
      <c r="A207" s="1">
        <v>45958</v>
      </c>
      <c r="B207">
        <v>11.080357142857167</v>
      </c>
      <c r="C207" s="12">
        <v>5.4460876815728393E-2</v>
      </c>
      <c r="D207">
        <v>28.278571428571411</v>
      </c>
    </row>
    <row r="208" spans="1:4" x14ac:dyDescent="0.25">
      <c r="A208" s="1">
        <v>45959</v>
      </c>
      <c r="B208">
        <v>7.5767857142857338</v>
      </c>
      <c r="C208" s="12">
        <v>3.5317130014982615E-2</v>
      </c>
      <c r="D208">
        <v>35.855357142857144</v>
      </c>
    </row>
    <row r="209" spans="1:4" x14ac:dyDescent="0.25">
      <c r="A209" s="1">
        <v>45960</v>
      </c>
      <c r="B209">
        <v>7.2803571428571558</v>
      </c>
      <c r="C209" s="12">
        <v>3.2777791177250964E-2</v>
      </c>
      <c r="D209">
        <v>43.1357142857143</v>
      </c>
    </row>
    <row r="210" spans="1:4" x14ac:dyDescent="0.25">
      <c r="A210" s="1">
        <v>45961</v>
      </c>
      <c r="B210">
        <v>-3.7482142857143117</v>
      </c>
      <c r="C210" s="12">
        <v>-1.6339716643313205E-2</v>
      </c>
      <c r="D210">
        <v>39.387499999999989</v>
      </c>
    </row>
    <row r="211" spans="1:4" x14ac:dyDescent="0.25">
      <c r="A211" s="1">
        <v>45964</v>
      </c>
      <c r="B211">
        <v>-1.9232142857142662</v>
      </c>
      <c r="C211" s="12">
        <v>-8.5231994048795834E-3</v>
      </c>
      <c r="D211">
        <v>37.464285714285722</v>
      </c>
    </row>
    <row r="212" spans="1:4" x14ac:dyDescent="0.25">
      <c r="A212" s="1">
        <v>45965</v>
      </c>
      <c r="B212">
        <v>17.44464285714281</v>
      </c>
      <c r="C212" s="12">
        <v>7.7974841160882255E-2</v>
      </c>
      <c r="D212">
        <v>54.908928571428532</v>
      </c>
    </row>
    <row r="213" spans="1:4" x14ac:dyDescent="0.25">
      <c r="A213" s="1">
        <v>45966</v>
      </c>
      <c r="B213">
        <v>-14.591071428571382</v>
      </c>
      <c r="C213" s="12">
        <v>-6.0502173220883471E-2</v>
      </c>
      <c r="D213">
        <v>40.31785714285715</v>
      </c>
    </row>
    <row r="214" spans="1:4" x14ac:dyDescent="0.25">
      <c r="A214" s="1">
        <v>45967</v>
      </c>
      <c r="B214">
        <v>20.249999999999972</v>
      </c>
      <c r="C214" s="12">
        <v>8.9374379344587751E-2</v>
      </c>
      <c r="D214">
        <v>60.567857142857122</v>
      </c>
    </row>
    <row r="215" spans="1:4" x14ac:dyDescent="0.25">
      <c r="A215" s="1">
        <v>45968</v>
      </c>
      <c r="B215">
        <v>-7.0178571428571388</v>
      </c>
      <c r="C215" s="12">
        <v>-2.8432521595693868E-2</v>
      </c>
      <c r="D215">
        <v>53.549999999999983</v>
      </c>
    </row>
    <row r="216" spans="1:4" x14ac:dyDescent="0.25">
      <c r="A216" s="1">
        <v>45971</v>
      </c>
      <c r="B216">
        <v>-19.933928571428538</v>
      </c>
      <c r="C216" s="12">
        <v>-8.3124832454650924E-2</v>
      </c>
      <c r="D216">
        <v>33.616071428571445</v>
      </c>
    </row>
    <row r="217" spans="1:4" x14ac:dyDescent="0.25">
      <c r="A217" s="1">
        <v>45972</v>
      </c>
      <c r="B217">
        <v>-2.594642857142901</v>
      </c>
      <c r="C217" s="12">
        <v>-1.1800631857645433E-2</v>
      </c>
      <c r="D217">
        <v>31.021428571428544</v>
      </c>
    </row>
    <row r="218" spans="1:4" x14ac:dyDescent="0.25">
      <c r="A218" s="1">
        <v>45973</v>
      </c>
      <c r="B218">
        <v>3.1714285714286063</v>
      </c>
      <c r="C218" s="12">
        <v>1.4596140570038624E-2</v>
      </c>
      <c r="D218">
        <v>34.19285714285715</v>
      </c>
    </row>
    <row r="219" spans="1:4" x14ac:dyDescent="0.25">
      <c r="A219" s="1">
        <v>45974</v>
      </c>
      <c r="B219">
        <v>29.31428571428566</v>
      </c>
      <c r="C219" s="12">
        <v>0.13297475942066528</v>
      </c>
      <c r="D219">
        <v>63.50714285714281</v>
      </c>
    </row>
    <row r="220" spans="1:4" x14ac:dyDescent="0.25">
      <c r="A220" s="1">
        <v>45975</v>
      </c>
      <c r="B220">
        <v>-2.7821428571428157</v>
      </c>
      <c r="C220" s="12">
        <v>-1.1139073984041932E-2</v>
      </c>
      <c r="D220">
        <v>60.724999999999994</v>
      </c>
    </row>
    <row r="221" spans="1:4" x14ac:dyDescent="0.25">
      <c r="A221" s="1">
        <v>45978</v>
      </c>
      <c r="B221">
        <v>30.142857142857139</v>
      </c>
      <c r="C221" s="12">
        <v>0.12204468223555778</v>
      </c>
      <c r="D221">
        <v>90.867857142857133</v>
      </c>
    </row>
    <row r="222" spans="1:4" x14ac:dyDescent="0.25">
      <c r="A222" s="1">
        <v>45979</v>
      </c>
      <c r="B222">
        <v>20.732142857142833</v>
      </c>
      <c r="C222" s="12">
        <v>7.4811521360912348E-2</v>
      </c>
      <c r="D222">
        <v>111.59999999999997</v>
      </c>
    </row>
    <row r="223" spans="1:4" x14ac:dyDescent="0.25">
      <c r="A223" s="1">
        <v>45980</v>
      </c>
      <c r="B223">
        <v>-8.9571428571428555</v>
      </c>
      <c r="C223" s="12">
        <v>-3.0071942446043162E-2</v>
      </c>
      <c r="D223">
        <v>102.64285714285711</v>
      </c>
    </row>
    <row r="224" spans="1:4" x14ac:dyDescent="0.25">
      <c r="A224" s="1">
        <v>45981</v>
      </c>
      <c r="B224">
        <v>26.5</v>
      </c>
      <c r="C224" s="12">
        <v>9.1727241259951547E-2</v>
      </c>
      <c r="D224">
        <v>129.14285714285711</v>
      </c>
    </row>
    <row r="225" spans="1:4" x14ac:dyDescent="0.25">
      <c r="A225" s="1">
        <v>45982</v>
      </c>
      <c r="B225">
        <v>-27.789285714285654</v>
      </c>
      <c r="C225" s="12">
        <v>-8.8108071383277281E-2</v>
      </c>
      <c r="D225">
        <v>101.35357142857146</v>
      </c>
    </row>
    <row r="226" spans="1:4" x14ac:dyDescent="0.25">
      <c r="A226" s="1">
        <v>45985</v>
      </c>
      <c r="B226">
        <v>-34.887500000000045</v>
      </c>
      <c r="C226" s="12">
        <v>-0.12130111385677579</v>
      </c>
      <c r="D226">
        <v>66.466071428571411</v>
      </c>
    </row>
    <row r="227" spans="1:4" x14ac:dyDescent="0.25">
      <c r="A227" s="1">
        <v>45986</v>
      </c>
      <c r="B227">
        <v>-22.076785714285734</v>
      </c>
      <c r="C227" s="12">
        <v>-8.7355590885002735E-2</v>
      </c>
      <c r="D227">
        <v>44.389285714285677</v>
      </c>
    </row>
    <row r="228" spans="1:4" x14ac:dyDescent="0.25">
      <c r="A228" s="1">
        <v>45987</v>
      </c>
      <c r="B228">
        <v>-12.24642857142851</v>
      </c>
      <c r="C228" s="12">
        <v>-5.3096111859524987E-2</v>
      </c>
      <c r="D228">
        <v>32.142857142857167</v>
      </c>
    </row>
    <row r="229" spans="1:4" x14ac:dyDescent="0.25">
      <c r="A229" s="1">
        <v>45989</v>
      </c>
      <c r="B229">
        <v>-6.9857142857142946</v>
      </c>
      <c r="C229" s="12">
        <v>-3.1985871271585593E-2</v>
      </c>
      <c r="D229">
        <v>25.157142857142873</v>
      </c>
    </row>
    <row r="230" spans="1:4" x14ac:dyDescent="0.25">
      <c r="A230" s="1">
        <v>45992</v>
      </c>
      <c r="B230">
        <v>9.3999999999999488</v>
      </c>
      <c r="C230" s="12">
        <v>4.446246367997813E-2</v>
      </c>
      <c r="D230">
        <v>34.557142857142821</v>
      </c>
    </row>
    <row r="231" spans="1:4" x14ac:dyDescent="0.25">
      <c r="A231" s="1">
        <v>45993</v>
      </c>
      <c r="B231">
        <v>-5.8892857142856769</v>
      </c>
      <c r="C231" s="12">
        <v>-2.6670764055120491E-2</v>
      </c>
      <c r="D231">
        <v>28.667857142857144</v>
      </c>
    </row>
    <row r="232" spans="1:4" x14ac:dyDescent="0.25">
      <c r="A232" s="1">
        <v>45994</v>
      </c>
      <c r="B232">
        <v>-5.1750000000000114</v>
      </c>
      <c r="C232" s="12">
        <v>-2.4078166802372972E-2</v>
      </c>
      <c r="D232">
        <v>23.492857142857133</v>
      </c>
    </row>
    <row r="233" spans="1:4" x14ac:dyDescent="0.25">
      <c r="A233" s="1">
        <v>45995</v>
      </c>
      <c r="B233">
        <v>-5.9124999999999943</v>
      </c>
      <c r="C233" s="12">
        <v>-2.818831942789032E-2</v>
      </c>
      <c r="D233">
        <v>17.580357142857139</v>
      </c>
    </row>
    <row r="234" spans="1:4" x14ac:dyDescent="0.25">
      <c r="A234" s="1">
        <v>45996</v>
      </c>
      <c r="B234">
        <v>-4.7089285714286007</v>
      </c>
      <c r="C234" s="12">
        <v>-2.3101385031844487E-2</v>
      </c>
      <c r="D234">
        <v>12.871428571428538</v>
      </c>
    </row>
    <row r="235" spans="1:4" x14ac:dyDescent="0.25">
      <c r="A235" s="1">
        <v>45999</v>
      </c>
      <c r="B235">
        <v>14.316071428571433</v>
      </c>
      <c r="C235" s="12">
        <v>7.1893607862830944E-2</v>
      </c>
      <c r="D235">
        <v>27.187499999999972</v>
      </c>
    </row>
    <row r="236" spans="1:4" x14ac:dyDescent="0.25">
      <c r="A236" s="1">
        <v>46000</v>
      </c>
      <c r="B236">
        <v>0.13392857142858361</v>
      </c>
      <c r="C236" s="12">
        <v>6.2746279145652376E-4</v>
      </c>
      <c r="D236">
        <v>27.321428571428555</v>
      </c>
    </row>
    <row r="237" spans="1:4" x14ac:dyDescent="0.25">
      <c r="A237" s="1">
        <v>46001</v>
      </c>
      <c r="B237">
        <v>-13.978571428571428</v>
      </c>
      <c r="C237" s="12">
        <v>-6.5449316076385405E-2</v>
      </c>
      <c r="D237">
        <v>13.342857142857127</v>
      </c>
    </row>
    <row r="238" spans="1:4" x14ac:dyDescent="0.25">
      <c r="A238" s="1">
        <v>46002</v>
      </c>
      <c r="B238">
        <v>-7.9071428571428726</v>
      </c>
      <c r="C238" s="12">
        <v>-3.9614944174062486E-2</v>
      </c>
      <c r="D238">
        <v>5.4357142857142549</v>
      </c>
    </row>
    <row r="239" spans="1:4" x14ac:dyDescent="0.25">
      <c r="A239" s="1">
        <v>46003</v>
      </c>
      <c r="B239">
        <v>4.289285714285711</v>
      </c>
      <c r="C239" s="12">
        <v>2.2375824421507606E-2</v>
      </c>
      <c r="D239">
        <v>9.7249999999999659</v>
      </c>
    </row>
    <row r="240" spans="1:4" x14ac:dyDescent="0.25">
      <c r="A240" s="1">
        <v>46006</v>
      </c>
      <c r="B240">
        <v>7.3142857142857451</v>
      </c>
      <c r="C240" s="12">
        <v>3.7321184510250731E-2</v>
      </c>
      <c r="D240">
        <v>17.039285714285711</v>
      </c>
    </row>
    <row r="241" spans="1:4" x14ac:dyDescent="0.25">
      <c r="A241" s="1">
        <v>46007</v>
      </c>
      <c r="B241">
        <v>-1.9000000000000341</v>
      </c>
      <c r="C241" s="12">
        <v>-9.345958575619864E-3</v>
      </c>
      <c r="D241">
        <v>15.139285714285677</v>
      </c>
    </row>
    <row r="242" spans="1:4" x14ac:dyDescent="0.25">
      <c r="A242" s="1">
        <v>46008</v>
      </c>
      <c r="B242">
        <v>24.003571428571462</v>
      </c>
      <c r="C242" s="12">
        <v>0.11918568565905925</v>
      </c>
      <c r="D242">
        <v>39.142857142857139</v>
      </c>
    </row>
    <row r="243" spans="1:4" x14ac:dyDescent="0.25">
      <c r="A243" s="1">
        <v>46009</v>
      </c>
      <c r="B243">
        <v>-22.099999999999994</v>
      </c>
      <c r="C243" s="12">
        <v>-9.8047914818101128E-2</v>
      </c>
      <c r="D243">
        <v>17.042857142857144</v>
      </c>
    </row>
    <row r="244" spans="1:4" x14ac:dyDescent="0.25">
      <c r="A244" s="1">
        <v>46010</v>
      </c>
      <c r="B244">
        <v>-20.217142857142846</v>
      </c>
      <c r="C244" s="12">
        <v>-9.9444873866910213E-2</v>
      </c>
      <c r="D244">
        <v>-3.1742857142857019</v>
      </c>
    </row>
    <row r="245" spans="1:4" x14ac:dyDescent="0.25">
      <c r="A245" s="1">
        <v>46013</v>
      </c>
      <c r="B245">
        <v>-9.1400000000000148</v>
      </c>
      <c r="C245" s="12">
        <v>-4.9922751603489517E-2</v>
      </c>
      <c r="D245">
        <v>-12.314285714285717</v>
      </c>
    </row>
    <row r="246" spans="1:4" x14ac:dyDescent="0.25">
      <c r="A246" s="1">
        <v>46014</v>
      </c>
      <c r="B246">
        <v>-2.2785714285714107</v>
      </c>
      <c r="C246" s="12">
        <v>-1.3099540078843524E-2</v>
      </c>
      <c r="D246">
        <v>-14.592857142857127</v>
      </c>
    </row>
    <row r="247" spans="1:4" x14ac:dyDescent="0.25">
      <c r="A247" s="1">
        <v>46015</v>
      </c>
      <c r="B247">
        <v>-2.784285714285744</v>
      </c>
      <c r="C247" s="12">
        <v>-1.6219365039737199E-2</v>
      </c>
      <c r="D247">
        <v>-17.377142857142871</v>
      </c>
    </row>
    <row r="248" spans="1:4" x14ac:dyDescent="0.25">
      <c r="A248" s="1">
        <v>46017</v>
      </c>
      <c r="B248">
        <v>7.1428571428555188E-2</v>
      </c>
      <c r="C248" s="12">
        <v>4.2295459159495018E-4</v>
      </c>
      <c r="D248">
        <v>-17.305714285714316</v>
      </c>
    </row>
    <row r="249" spans="1:4" x14ac:dyDescent="0.25">
      <c r="A249" s="1">
        <v>46020</v>
      </c>
      <c r="B249">
        <v>7.7771428571429055</v>
      </c>
      <c r="C249" s="12">
        <v>4.6031826560465686E-2</v>
      </c>
      <c r="D249">
        <v>-9.5285714285714107</v>
      </c>
    </row>
    <row r="250" spans="1:4" x14ac:dyDescent="0.25">
      <c r="A250" s="1">
        <v>46021</v>
      </c>
      <c r="B250">
        <v>0.74571428571425713</v>
      </c>
      <c r="C250" s="12">
        <v>4.2195457117450482E-3</v>
      </c>
      <c r="D250">
        <v>-8.7828571428571536</v>
      </c>
    </row>
    <row r="251" spans="1:4" x14ac:dyDescent="0.25">
      <c r="A251" s="1">
        <v>46022</v>
      </c>
      <c r="B251">
        <v>6.0657142857143072</v>
      </c>
      <c r="C251" s="12">
        <v>3.4177989567905333E-2</v>
      </c>
      <c r="D251">
        <v>-2.7171428571428464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D5CC-1E58-4A46-8D8A-87AA1A1C84DE}">
  <dimension ref="A1:O251"/>
  <sheetViews>
    <sheetView topLeftCell="A190" workbookViewId="0">
      <selection activeCell="N3" sqref="N3"/>
    </sheetView>
  </sheetViews>
  <sheetFormatPr defaultRowHeight="15" x14ac:dyDescent="0.25"/>
  <cols>
    <col min="1" max="1" width="10.42578125" style="1" bestFit="1" customWidth="1"/>
    <col min="2" max="2" width="20.140625" bestFit="1" customWidth="1"/>
    <col min="3" max="3" width="10" bestFit="1" customWidth="1"/>
    <col min="4" max="4" width="21.5703125" bestFit="1" customWidth="1"/>
    <col min="5" max="5" width="21.140625" bestFit="1" customWidth="1"/>
    <col min="6" max="6" width="13.85546875" bestFit="1" customWidth="1"/>
    <col min="7" max="7" width="13.140625" bestFit="1" customWidth="1"/>
    <col min="8" max="8" width="21" bestFit="1" customWidth="1"/>
    <col min="9" max="9" width="17.7109375" bestFit="1" customWidth="1"/>
    <col min="10" max="10" width="12.7109375" bestFit="1" customWidth="1"/>
    <col min="11" max="11" width="15.5703125" bestFit="1" customWidth="1"/>
    <col min="12" max="12" width="11.85546875" bestFit="1" customWidth="1"/>
    <col min="13" max="13" width="12.7109375" bestFit="1" customWidth="1"/>
    <col min="15" max="15" width="14.5703125" bestFit="1" customWidth="1"/>
  </cols>
  <sheetData>
    <row r="1" spans="1:15" x14ac:dyDescent="0.25">
      <c r="A1" s="1" t="s">
        <v>0</v>
      </c>
      <c r="B1" t="s">
        <v>1</v>
      </c>
      <c r="C1" t="s">
        <v>2</v>
      </c>
      <c r="D1" t="s">
        <v>6</v>
      </c>
      <c r="E1" t="s">
        <v>7</v>
      </c>
      <c r="F1" t="s">
        <v>844</v>
      </c>
      <c r="G1" t="s">
        <v>845</v>
      </c>
      <c r="H1" t="s">
        <v>838</v>
      </c>
      <c r="I1" t="s">
        <v>839</v>
      </c>
      <c r="J1" t="s">
        <v>833</v>
      </c>
      <c r="K1" t="s">
        <v>846</v>
      </c>
      <c r="L1" t="s">
        <v>847</v>
      </c>
      <c r="M1" t="s">
        <v>848</v>
      </c>
      <c r="N1" t="s">
        <v>849</v>
      </c>
      <c r="O1" t="s">
        <v>843</v>
      </c>
    </row>
    <row r="2" spans="1:15" x14ac:dyDescent="0.25">
      <c r="A2" s="1">
        <v>45659</v>
      </c>
      <c r="B2">
        <v>5868.55</v>
      </c>
      <c r="C2">
        <v>5870</v>
      </c>
      <c r="D2">
        <v>15</v>
      </c>
      <c r="E2">
        <v>50</v>
      </c>
      <c r="F2">
        <v>139.05000000000001</v>
      </c>
      <c r="G2">
        <v>249.2</v>
      </c>
      <c r="H2">
        <v>0.52662133427749214</v>
      </c>
      <c r="I2">
        <v>-0.47337866572250786</v>
      </c>
      <c r="J2">
        <v>-5.3242668554984274E-2</v>
      </c>
      <c r="K2">
        <f>IF(ABS(D2-30)&lt;ABS(E2-30), F2, G2)</f>
        <v>139.05000000000001</v>
      </c>
      <c r="O2">
        <v>0</v>
      </c>
    </row>
    <row r="3" spans="1:15" x14ac:dyDescent="0.25">
      <c r="A3" s="1">
        <v>45660</v>
      </c>
      <c r="B3">
        <v>5942.47</v>
      </c>
      <c r="C3">
        <v>5940</v>
      </c>
      <c r="D3">
        <v>14</v>
      </c>
      <c r="E3">
        <v>49</v>
      </c>
      <c r="F3">
        <v>115.5</v>
      </c>
      <c r="G3">
        <v>229.10000000000002</v>
      </c>
      <c r="H3">
        <v>0.53917958949077627</v>
      </c>
      <c r="I3">
        <v>-0.46082041050922373</v>
      </c>
      <c r="J3">
        <v>-7.8359178981552535E-2</v>
      </c>
      <c r="K3">
        <f t="shared" ref="K3:K66" si="0">IF(ABS(D3-30)&lt;ABS(E3-30), F3, G3)</f>
        <v>115.5</v>
      </c>
      <c r="L3">
        <f>K3 - K2</f>
        <v>-23.550000000000011</v>
      </c>
      <c r="M3">
        <f>J2 * (B3 - B2)</f>
        <v>-3.9356980595844413</v>
      </c>
      <c r="N3">
        <f>L3 + M3</f>
        <v>-27.485698059584454</v>
      </c>
      <c r="O3">
        <f>O2 + N3</f>
        <v>-27.485698059584454</v>
      </c>
    </row>
    <row r="4" spans="1:15" x14ac:dyDescent="0.25">
      <c r="A4" s="1">
        <v>45663</v>
      </c>
      <c r="B4">
        <v>5975.38</v>
      </c>
      <c r="C4">
        <v>5975</v>
      </c>
      <c r="D4">
        <v>11</v>
      </c>
      <c r="E4">
        <v>46</v>
      </c>
      <c r="F4">
        <v>105.15</v>
      </c>
      <c r="G4">
        <v>219.79999999999998</v>
      </c>
      <c r="H4">
        <v>0.55683228804472484</v>
      </c>
      <c r="I4">
        <v>-0.44316771195527516</v>
      </c>
      <c r="J4">
        <v>-0.11366457608944969</v>
      </c>
      <c r="K4">
        <f t="shared" si="0"/>
        <v>219.79999999999998</v>
      </c>
      <c r="L4">
        <f t="shared" ref="L4:L67" si="1">K4 - K3</f>
        <v>104.29999999999998</v>
      </c>
      <c r="M4">
        <f t="shared" ref="M4:M67" si="2">J3 * (B4 - B3)</f>
        <v>-2.5788005802828824</v>
      </c>
      <c r="N4">
        <f t="shared" ref="N4:N67" si="3">L4 + M4</f>
        <v>101.7211994197171</v>
      </c>
      <c r="O4">
        <f t="shared" ref="O4:O67" si="4">O3 + N4</f>
        <v>74.235501360132645</v>
      </c>
    </row>
    <row r="5" spans="1:15" x14ac:dyDescent="0.25">
      <c r="A5" s="1">
        <v>45664</v>
      </c>
      <c r="B5">
        <v>5909.03</v>
      </c>
      <c r="C5">
        <v>5910</v>
      </c>
      <c r="D5">
        <v>10</v>
      </c>
      <c r="E5">
        <v>45</v>
      </c>
      <c r="F5">
        <v>113.15</v>
      </c>
      <c r="G5">
        <v>235.49999999999997</v>
      </c>
      <c r="H5">
        <v>0.55067830913546678</v>
      </c>
      <c r="I5">
        <v>-0.44932169086453322</v>
      </c>
      <c r="J5">
        <v>-0.10135661827093356</v>
      </c>
      <c r="K5">
        <f t="shared" si="0"/>
        <v>235.49999999999997</v>
      </c>
      <c r="L5">
        <f t="shared" si="1"/>
        <v>15.699999999999989</v>
      </c>
      <c r="M5">
        <f t="shared" si="2"/>
        <v>7.5416446235350278</v>
      </c>
      <c r="N5">
        <f t="shared" si="3"/>
        <v>23.241644623535016</v>
      </c>
      <c r="O5">
        <f t="shared" si="4"/>
        <v>97.477145983667668</v>
      </c>
    </row>
    <row r="6" spans="1:15" x14ac:dyDescent="0.25">
      <c r="A6" s="1">
        <v>45665</v>
      </c>
      <c r="B6">
        <v>5918.25</v>
      </c>
      <c r="C6">
        <v>5920</v>
      </c>
      <c r="D6">
        <v>9</v>
      </c>
      <c r="E6">
        <v>44</v>
      </c>
      <c r="F6">
        <v>105.65</v>
      </c>
      <c r="G6">
        <v>230.4</v>
      </c>
      <c r="H6">
        <v>0.54926438090468299</v>
      </c>
      <c r="I6">
        <v>-0.45073561909531701</v>
      </c>
      <c r="J6">
        <v>-9.8528761809365983E-2</v>
      </c>
      <c r="K6">
        <f t="shared" si="0"/>
        <v>230.4</v>
      </c>
      <c r="L6">
        <f t="shared" si="1"/>
        <v>-5.0999999999999659</v>
      </c>
      <c r="M6">
        <f t="shared" si="2"/>
        <v>-0.93450802045803327</v>
      </c>
      <c r="N6">
        <f t="shared" si="3"/>
        <v>-6.0345080204579995</v>
      </c>
      <c r="O6">
        <f t="shared" si="4"/>
        <v>91.442637963209663</v>
      </c>
    </row>
    <row r="7" spans="1:15" x14ac:dyDescent="0.25">
      <c r="A7" s="1">
        <v>45667</v>
      </c>
      <c r="B7">
        <v>5827.04</v>
      </c>
      <c r="C7">
        <v>5825</v>
      </c>
      <c r="D7">
        <v>7</v>
      </c>
      <c r="E7">
        <v>42</v>
      </c>
      <c r="F7">
        <v>103.9</v>
      </c>
      <c r="G7">
        <v>243.15</v>
      </c>
      <c r="H7">
        <v>0.55014242710165373</v>
      </c>
      <c r="I7">
        <v>-0.44985757289834627</v>
      </c>
      <c r="J7">
        <v>-0.10028485420330746</v>
      </c>
      <c r="K7">
        <f t="shared" si="0"/>
        <v>243.15</v>
      </c>
      <c r="L7">
        <f t="shared" si="1"/>
        <v>12.75</v>
      </c>
      <c r="M7">
        <f t="shared" si="2"/>
        <v>8.9868083646322745</v>
      </c>
      <c r="N7">
        <f t="shared" si="3"/>
        <v>21.736808364632275</v>
      </c>
      <c r="O7">
        <f t="shared" si="4"/>
        <v>113.17944632784193</v>
      </c>
    </row>
    <row r="8" spans="1:15" x14ac:dyDescent="0.25">
      <c r="A8" s="1">
        <v>45670</v>
      </c>
      <c r="B8">
        <v>5836.22</v>
      </c>
      <c r="C8">
        <v>5835</v>
      </c>
      <c r="D8">
        <v>4</v>
      </c>
      <c r="E8">
        <v>39</v>
      </c>
      <c r="F8">
        <v>94.300000000000011</v>
      </c>
      <c r="G8">
        <v>233.45000000000002</v>
      </c>
      <c r="H8">
        <v>0.54841763306497548</v>
      </c>
      <c r="I8">
        <v>-0.45158236693502452</v>
      </c>
      <c r="J8">
        <v>-9.683526612995097E-2</v>
      </c>
      <c r="K8">
        <f t="shared" si="0"/>
        <v>233.45000000000002</v>
      </c>
      <c r="L8">
        <f t="shared" si="1"/>
        <v>-9.6999999999999886</v>
      </c>
      <c r="M8">
        <f t="shared" si="2"/>
        <v>-0.92061496158639167</v>
      </c>
      <c r="N8">
        <f t="shared" si="3"/>
        <v>-10.62061496158638</v>
      </c>
      <c r="O8">
        <f t="shared" si="4"/>
        <v>102.55883136625555</v>
      </c>
    </row>
    <row r="9" spans="1:15" x14ac:dyDescent="0.25">
      <c r="A9" s="1">
        <v>45671</v>
      </c>
      <c r="B9">
        <v>5842.91</v>
      </c>
      <c r="C9">
        <v>5845</v>
      </c>
      <c r="D9">
        <v>3</v>
      </c>
      <c r="E9">
        <v>38</v>
      </c>
      <c r="F9">
        <v>86.95</v>
      </c>
      <c r="G9">
        <v>227.45000000000002</v>
      </c>
      <c r="H9">
        <v>0.54345109263402835</v>
      </c>
      <c r="I9">
        <v>-0.45654890736597165</v>
      </c>
      <c r="J9">
        <v>-8.6902185268056709E-2</v>
      </c>
      <c r="K9">
        <f t="shared" si="0"/>
        <v>227.45000000000002</v>
      </c>
      <c r="L9">
        <f t="shared" si="1"/>
        <v>-6</v>
      </c>
      <c r="M9">
        <f t="shared" si="2"/>
        <v>-0.64782793040933329</v>
      </c>
      <c r="N9">
        <f t="shared" si="3"/>
        <v>-6.6478279304093331</v>
      </c>
      <c r="O9">
        <f t="shared" si="4"/>
        <v>95.911003435846212</v>
      </c>
    </row>
    <row r="10" spans="1:15" x14ac:dyDescent="0.25">
      <c r="A10" s="1">
        <v>45672</v>
      </c>
      <c r="B10">
        <v>5949.91</v>
      </c>
      <c r="C10">
        <v>5950</v>
      </c>
      <c r="D10">
        <v>2</v>
      </c>
      <c r="E10">
        <v>37</v>
      </c>
      <c r="F10">
        <v>45.3</v>
      </c>
      <c r="G10">
        <v>193.64999999999998</v>
      </c>
      <c r="H10">
        <v>0.55033824796609521</v>
      </c>
      <c r="I10">
        <v>-0.44966175203390479</v>
      </c>
      <c r="J10">
        <v>-0.10067649593219041</v>
      </c>
      <c r="K10">
        <f t="shared" si="0"/>
        <v>193.64999999999998</v>
      </c>
      <c r="L10">
        <f t="shared" si="1"/>
        <v>-33.80000000000004</v>
      </c>
      <c r="M10">
        <f t="shared" si="2"/>
        <v>-9.2985338236820674</v>
      </c>
      <c r="N10">
        <f t="shared" si="3"/>
        <v>-43.098533823682104</v>
      </c>
      <c r="O10">
        <f t="shared" si="4"/>
        <v>52.812469612164108</v>
      </c>
    </row>
    <row r="11" spans="1:15" x14ac:dyDescent="0.25">
      <c r="A11" s="1">
        <v>45673</v>
      </c>
      <c r="B11">
        <v>5937.34</v>
      </c>
      <c r="C11">
        <v>5935</v>
      </c>
      <c r="D11">
        <v>1</v>
      </c>
      <c r="E11">
        <v>36</v>
      </c>
      <c r="F11">
        <v>25.2</v>
      </c>
      <c r="G11">
        <v>191.25</v>
      </c>
      <c r="H11">
        <v>0.55321746766173729</v>
      </c>
      <c r="I11">
        <v>-0.44678253233826271</v>
      </c>
      <c r="J11">
        <v>-0.10643493532347459</v>
      </c>
      <c r="K11">
        <f t="shared" si="0"/>
        <v>191.25</v>
      </c>
      <c r="L11">
        <f t="shared" si="1"/>
        <v>-2.3999999999999773</v>
      </c>
      <c r="M11">
        <f t="shared" si="2"/>
        <v>1.2655035538676043</v>
      </c>
      <c r="N11">
        <f t="shared" si="3"/>
        <v>-1.134496446132373</v>
      </c>
      <c r="O11">
        <f t="shared" si="4"/>
        <v>51.677973166031734</v>
      </c>
    </row>
    <row r="12" spans="1:15" x14ac:dyDescent="0.25">
      <c r="A12" s="1">
        <v>45674</v>
      </c>
      <c r="B12">
        <v>5996.66</v>
      </c>
      <c r="C12">
        <v>5995</v>
      </c>
      <c r="D12">
        <v>35</v>
      </c>
      <c r="E12">
        <v>63</v>
      </c>
      <c r="F12">
        <v>186.8</v>
      </c>
      <c r="G12">
        <v>262.75</v>
      </c>
      <c r="H12">
        <v>0.55187532270545936</v>
      </c>
      <c r="I12">
        <v>-0.44812467729454064</v>
      </c>
      <c r="J12">
        <v>-0.10375064541091872</v>
      </c>
      <c r="K12">
        <f t="shared" si="0"/>
        <v>186.8</v>
      </c>
      <c r="L12">
        <f t="shared" si="1"/>
        <v>-4.4499999999999886</v>
      </c>
      <c r="M12">
        <f t="shared" si="2"/>
        <v>-6.313720363388482</v>
      </c>
      <c r="N12">
        <f t="shared" si="3"/>
        <v>-10.763720363388471</v>
      </c>
      <c r="O12">
        <f t="shared" si="4"/>
        <v>40.914252802643261</v>
      </c>
    </row>
    <row r="13" spans="1:15" x14ac:dyDescent="0.25">
      <c r="A13" s="1">
        <v>45678</v>
      </c>
      <c r="B13">
        <v>6049.24</v>
      </c>
      <c r="C13">
        <v>6050</v>
      </c>
      <c r="D13">
        <v>31</v>
      </c>
      <c r="E13">
        <v>59</v>
      </c>
      <c r="F13">
        <v>167.25</v>
      </c>
      <c r="G13">
        <v>243.3</v>
      </c>
      <c r="H13">
        <v>0.54820263557414284</v>
      </c>
      <c r="I13">
        <v>-0.45179736442585716</v>
      </c>
      <c r="J13">
        <v>-9.6405271148285676E-2</v>
      </c>
      <c r="K13">
        <f t="shared" si="0"/>
        <v>167.25</v>
      </c>
      <c r="L13">
        <f t="shared" si="1"/>
        <v>-19.550000000000011</v>
      </c>
      <c r="M13">
        <f t="shared" si="2"/>
        <v>-5.4552089357060982</v>
      </c>
      <c r="N13">
        <f t="shared" si="3"/>
        <v>-25.005208935706108</v>
      </c>
      <c r="O13">
        <f t="shared" si="4"/>
        <v>15.909043866937154</v>
      </c>
    </row>
    <row r="14" spans="1:15" x14ac:dyDescent="0.25">
      <c r="A14" s="1">
        <v>45679</v>
      </c>
      <c r="B14">
        <v>6086.37</v>
      </c>
      <c r="C14">
        <v>6085</v>
      </c>
      <c r="D14">
        <v>30</v>
      </c>
      <c r="E14">
        <v>58</v>
      </c>
      <c r="F14">
        <v>161.4</v>
      </c>
      <c r="G14">
        <v>240.45</v>
      </c>
      <c r="H14">
        <v>0.55230753338489058</v>
      </c>
      <c r="I14">
        <v>-0.44769246661510942</v>
      </c>
      <c r="J14">
        <v>-0.10461506676978116</v>
      </c>
      <c r="K14">
        <f t="shared" si="0"/>
        <v>161.4</v>
      </c>
      <c r="L14">
        <f t="shared" si="1"/>
        <v>-5.8499999999999943</v>
      </c>
      <c r="M14">
        <f t="shared" si="2"/>
        <v>-3.5795277177358575</v>
      </c>
      <c r="N14">
        <f t="shared" si="3"/>
        <v>-9.4295277177358514</v>
      </c>
      <c r="O14">
        <f t="shared" si="4"/>
        <v>6.4795161492013023</v>
      </c>
    </row>
    <row r="15" spans="1:15" x14ac:dyDescent="0.25">
      <c r="A15" s="1">
        <v>45680</v>
      </c>
      <c r="B15">
        <v>6118.71</v>
      </c>
      <c r="C15">
        <v>6120</v>
      </c>
      <c r="D15">
        <v>29</v>
      </c>
      <c r="E15">
        <v>57</v>
      </c>
      <c r="F15">
        <v>156.05000000000001</v>
      </c>
      <c r="G15">
        <v>235.5</v>
      </c>
      <c r="H15">
        <v>0.54653870707416496</v>
      </c>
      <c r="I15">
        <v>-0.45346129292583504</v>
      </c>
      <c r="J15">
        <v>-9.3077414148329929E-2</v>
      </c>
      <c r="K15">
        <f t="shared" si="0"/>
        <v>156.05000000000001</v>
      </c>
      <c r="L15">
        <f t="shared" si="1"/>
        <v>-5.3499999999999943</v>
      </c>
      <c r="M15">
        <f t="shared" si="2"/>
        <v>-3.3832512593347381</v>
      </c>
      <c r="N15">
        <f t="shared" si="3"/>
        <v>-8.7332512593347325</v>
      </c>
      <c r="O15">
        <f t="shared" si="4"/>
        <v>-2.2537351101334302</v>
      </c>
    </row>
    <row r="16" spans="1:15" x14ac:dyDescent="0.25">
      <c r="A16" s="1">
        <v>45681</v>
      </c>
      <c r="B16">
        <v>6101.24</v>
      </c>
      <c r="C16">
        <v>6100</v>
      </c>
      <c r="D16">
        <v>28</v>
      </c>
      <c r="E16">
        <v>56</v>
      </c>
      <c r="F16">
        <v>153.10000000000002</v>
      </c>
      <c r="G16">
        <v>233.1</v>
      </c>
      <c r="H16">
        <v>0.55075593963260372</v>
      </c>
      <c r="I16">
        <v>-0.44924406036739628</v>
      </c>
      <c r="J16">
        <v>-0.10151187926520744</v>
      </c>
      <c r="K16">
        <f t="shared" si="0"/>
        <v>153.10000000000002</v>
      </c>
      <c r="L16">
        <f t="shared" si="1"/>
        <v>-2.9499999999999886</v>
      </c>
      <c r="M16">
        <f t="shared" si="2"/>
        <v>1.6260624251713476</v>
      </c>
      <c r="N16">
        <f t="shared" si="3"/>
        <v>-1.3239375748286411</v>
      </c>
      <c r="O16">
        <f t="shared" si="4"/>
        <v>-3.5776726849620712</v>
      </c>
    </row>
    <row r="17" spans="1:15" x14ac:dyDescent="0.25">
      <c r="A17" s="1">
        <v>45684</v>
      </c>
      <c r="B17">
        <v>6012.28</v>
      </c>
      <c r="C17">
        <v>6010</v>
      </c>
      <c r="D17">
        <v>25</v>
      </c>
      <c r="E17">
        <v>53</v>
      </c>
      <c r="F17">
        <v>177.65</v>
      </c>
      <c r="G17">
        <v>258.89999999999998</v>
      </c>
      <c r="H17">
        <v>0.54374485998376754</v>
      </c>
      <c r="I17">
        <v>-0.45625514001623246</v>
      </c>
      <c r="J17">
        <v>-8.7489719967535073E-2</v>
      </c>
      <c r="K17">
        <f t="shared" si="0"/>
        <v>177.65</v>
      </c>
      <c r="L17">
        <f t="shared" si="1"/>
        <v>24.549999999999983</v>
      </c>
      <c r="M17">
        <f t="shared" si="2"/>
        <v>9.0304967794328572</v>
      </c>
      <c r="N17">
        <f t="shared" si="3"/>
        <v>33.580496779432842</v>
      </c>
      <c r="O17">
        <f t="shared" si="4"/>
        <v>30.002824094470771</v>
      </c>
    </row>
    <row r="18" spans="1:15" x14ac:dyDescent="0.25">
      <c r="A18" s="1">
        <v>45685</v>
      </c>
      <c r="B18">
        <v>6067.7</v>
      </c>
      <c r="C18">
        <v>6070</v>
      </c>
      <c r="D18">
        <v>24</v>
      </c>
      <c r="E18">
        <v>52</v>
      </c>
      <c r="F18">
        <v>157.69999999999999</v>
      </c>
      <c r="G18">
        <v>238.89999999999998</v>
      </c>
      <c r="H18">
        <v>0.53683735487625028</v>
      </c>
      <c r="I18">
        <v>-0.46316264512374972</v>
      </c>
      <c r="J18">
        <v>-7.3674709752500567E-2</v>
      </c>
      <c r="K18">
        <f t="shared" si="0"/>
        <v>157.69999999999999</v>
      </c>
      <c r="L18">
        <f t="shared" si="1"/>
        <v>-19.950000000000017</v>
      </c>
      <c r="M18">
        <f t="shared" si="2"/>
        <v>-4.8486802806008003</v>
      </c>
      <c r="N18">
        <f t="shared" si="3"/>
        <v>-24.798680280600816</v>
      </c>
      <c r="O18">
        <f t="shared" si="4"/>
        <v>5.2041438138699547</v>
      </c>
    </row>
    <row r="19" spans="1:15" x14ac:dyDescent="0.25">
      <c r="A19" s="1">
        <v>45686</v>
      </c>
      <c r="B19">
        <v>6039.31</v>
      </c>
      <c r="C19">
        <v>6040</v>
      </c>
      <c r="D19">
        <v>23</v>
      </c>
      <c r="E19">
        <v>51</v>
      </c>
      <c r="F19">
        <v>157.30000000000001</v>
      </c>
      <c r="G19">
        <v>239.45</v>
      </c>
      <c r="H19">
        <v>0.53856591030372658</v>
      </c>
      <c r="I19">
        <v>-0.46143408969627342</v>
      </c>
      <c r="J19">
        <v>-7.7131820607453161E-2</v>
      </c>
      <c r="K19">
        <f t="shared" si="0"/>
        <v>157.30000000000001</v>
      </c>
      <c r="L19">
        <f t="shared" si="1"/>
        <v>-0.39999999999997726</v>
      </c>
      <c r="M19">
        <f t="shared" si="2"/>
        <v>2.0916250098734483</v>
      </c>
      <c r="N19">
        <f t="shared" si="3"/>
        <v>1.6916250098734711</v>
      </c>
      <c r="O19">
        <f t="shared" si="4"/>
        <v>6.8957688237434258</v>
      </c>
    </row>
    <row r="20" spans="1:15" x14ac:dyDescent="0.25">
      <c r="A20" s="1">
        <v>45687</v>
      </c>
      <c r="B20">
        <v>6071.17</v>
      </c>
      <c r="C20">
        <v>6070</v>
      </c>
      <c r="D20">
        <v>22</v>
      </c>
      <c r="E20">
        <v>50</v>
      </c>
      <c r="F20">
        <v>148.1</v>
      </c>
      <c r="G20">
        <v>233.45</v>
      </c>
      <c r="H20">
        <v>0.54288278320356054</v>
      </c>
      <c r="I20">
        <v>-0.45711721679643946</v>
      </c>
      <c r="J20">
        <v>-8.5765566407121074E-2</v>
      </c>
      <c r="K20">
        <f t="shared" si="0"/>
        <v>148.1</v>
      </c>
      <c r="L20">
        <f t="shared" si="1"/>
        <v>-9.2000000000000171</v>
      </c>
      <c r="M20">
        <f t="shared" si="2"/>
        <v>-2.4574198045534326</v>
      </c>
      <c r="N20">
        <f t="shared" si="3"/>
        <v>-11.657419804553449</v>
      </c>
      <c r="O20">
        <f t="shared" si="4"/>
        <v>-4.7616509808100229</v>
      </c>
    </row>
    <row r="21" spans="1:15" x14ac:dyDescent="0.25">
      <c r="A21" s="1">
        <v>45688</v>
      </c>
      <c r="B21">
        <v>6040.53</v>
      </c>
      <c r="C21">
        <v>6040</v>
      </c>
      <c r="D21">
        <v>21</v>
      </c>
      <c r="E21">
        <v>49</v>
      </c>
      <c r="F21">
        <v>151.30000000000001</v>
      </c>
      <c r="G21">
        <v>237.75</v>
      </c>
      <c r="H21">
        <v>0.53815854352410275</v>
      </c>
      <c r="I21">
        <v>-0.46184145647589725</v>
      </c>
      <c r="J21">
        <v>-7.6317087048205501E-2</v>
      </c>
      <c r="K21">
        <f t="shared" si="0"/>
        <v>151.30000000000001</v>
      </c>
      <c r="L21">
        <f t="shared" si="1"/>
        <v>3.2000000000000171</v>
      </c>
      <c r="M21">
        <f t="shared" si="2"/>
        <v>2.6278569547142179</v>
      </c>
      <c r="N21">
        <f t="shared" si="3"/>
        <v>5.8278569547142354</v>
      </c>
      <c r="O21">
        <f t="shared" si="4"/>
        <v>1.0662059739042125</v>
      </c>
    </row>
    <row r="22" spans="1:15" x14ac:dyDescent="0.25">
      <c r="A22" s="1">
        <v>45691</v>
      </c>
      <c r="B22">
        <v>5994.57</v>
      </c>
      <c r="C22">
        <v>5995</v>
      </c>
      <c r="D22">
        <v>18</v>
      </c>
      <c r="E22">
        <v>46</v>
      </c>
      <c r="F22">
        <v>164.10000000000002</v>
      </c>
      <c r="G22">
        <v>252.85</v>
      </c>
      <c r="H22">
        <v>0.53167233635469446</v>
      </c>
      <c r="I22">
        <v>-0.46832766364530554</v>
      </c>
      <c r="J22">
        <v>-6.3344672709388927E-2</v>
      </c>
      <c r="K22">
        <f t="shared" si="0"/>
        <v>164.10000000000002</v>
      </c>
      <c r="L22">
        <f t="shared" si="1"/>
        <v>12.800000000000011</v>
      </c>
      <c r="M22">
        <f t="shared" si="2"/>
        <v>3.5075333207355275</v>
      </c>
      <c r="N22">
        <f t="shared" si="3"/>
        <v>16.307533320735537</v>
      </c>
      <c r="O22">
        <f t="shared" si="4"/>
        <v>17.373739294639748</v>
      </c>
    </row>
    <row r="23" spans="1:15" x14ac:dyDescent="0.25">
      <c r="A23" s="1">
        <v>45692</v>
      </c>
      <c r="B23">
        <v>6037.88</v>
      </c>
      <c r="C23">
        <v>6040</v>
      </c>
      <c r="D23">
        <v>17</v>
      </c>
      <c r="E23">
        <v>45</v>
      </c>
      <c r="F23">
        <v>139.5</v>
      </c>
      <c r="G23">
        <v>229.6</v>
      </c>
      <c r="H23">
        <v>0.52869284035529085</v>
      </c>
      <c r="I23">
        <v>-0.47130715964470915</v>
      </c>
      <c r="J23">
        <v>-5.7385680710581699E-2</v>
      </c>
      <c r="K23">
        <f t="shared" si="0"/>
        <v>139.5</v>
      </c>
      <c r="L23">
        <f t="shared" si="1"/>
        <v>-24.600000000000023</v>
      </c>
      <c r="M23">
        <f t="shared" si="2"/>
        <v>-2.7434577750436597</v>
      </c>
      <c r="N23">
        <f t="shared" si="3"/>
        <v>-27.343457775043682</v>
      </c>
      <c r="O23">
        <f t="shared" si="4"/>
        <v>-9.9697184804039338</v>
      </c>
    </row>
    <row r="24" spans="1:15" x14ac:dyDescent="0.25">
      <c r="A24" s="1">
        <v>45693</v>
      </c>
      <c r="B24">
        <v>6061.48</v>
      </c>
      <c r="C24">
        <v>6060</v>
      </c>
      <c r="D24">
        <v>16</v>
      </c>
      <c r="E24">
        <v>44</v>
      </c>
      <c r="F24">
        <v>124.35000000000001</v>
      </c>
      <c r="G24">
        <v>219.10000000000002</v>
      </c>
      <c r="H24">
        <v>0.55747542468792988</v>
      </c>
      <c r="I24">
        <v>-0.44252457531207012</v>
      </c>
      <c r="J24">
        <v>-0.11495084937585975</v>
      </c>
      <c r="K24">
        <f t="shared" si="0"/>
        <v>219.10000000000002</v>
      </c>
      <c r="L24">
        <f t="shared" si="1"/>
        <v>79.600000000000023</v>
      </c>
      <c r="M24">
        <f t="shared" si="2"/>
        <v>-1.3543020647696968</v>
      </c>
      <c r="N24">
        <f t="shared" si="3"/>
        <v>78.245697935230325</v>
      </c>
      <c r="O24">
        <f t="shared" si="4"/>
        <v>68.275979454826398</v>
      </c>
    </row>
    <row r="25" spans="1:15" x14ac:dyDescent="0.25">
      <c r="A25" s="1">
        <v>45694</v>
      </c>
      <c r="B25">
        <v>6083.57</v>
      </c>
      <c r="C25">
        <v>6085</v>
      </c>
      <c r="D25">
        <v>15</v>
      </c>
      <c r="E25">
        <v>43</v>
      </c>
      <c r="F25">
        <v>111.55000000000001</v>
      </c>
      <c r="G25">
        <v>208</v>
      </c>
      <c r="H25">
        <v>0.55373325812515817</v>
      </c>
      <c r="I25">
        <v>-0.44626674187484183</v>
      </c>
      <c r="J25">
        <v>-0.10746651625031634</v>
      </c>
      <c r="K25">
        <f t="shared" si="0"/>
        <v>208</v>
      </c>
      <c r="L25">
        <f t="shared" si="1"/>
        <v>-11.100000000000023</v>
      </c>
      <c r="M25">
        <f t="shared" si="2"/>
        <v>-2.5392642627127588</v>
      </c>
      <c r="N25">
        <f t="shared" si="3"/>
        <v>-13.639264262712782</v>
      </c>
      <c r="O25">
        <f t="shared" si="4"/>
        <v>54.636715192113613</v>
      </c>
    </row>
    <row r="26" spans="1:15" x14ac:dyDescent="0.25">
      <c r="A26" s="1">
        <v>45695</v>
      </c>
      <c r="B26">
        <v>6025.99</v>
      </c>
      <c r="C26">
        <v>6025</v>
      </c>
      <c r="D26">
        <v>14</v>
      </c>
      <c r="E26">
        <v>42</v>
      </c>
      <c r="F26">
        <v>115.64999999999999</v>
      </c>
      <c r="G26">
        <v>217.05</v>
      </c>
      <c r="H26">
        <v>0.55438887551053528</v>
      </c>
      <c r="I26">
        <v>-0.44561112448946472</v>
      </c>
      <c r="J26">
        <v>-0.10877775102107057</v>
      </c>
      <c r="K26">
        <f t="shared" si="0"/>
        <v>217.05</v>
      </c>
      <c r="L26">
        <f t="shared" si="1"/>
        <v>9.0500000000000114</v>
      </c>
      <c r="M26">
        <f t="shared" si="2"/>
        <v>6.1879220056932072</v>
      </c>
      <c r="N26">
        <f t="shared" si="3"/>
        <v>15.237922005693218</v>
      </c>
      <c r="O26">
        <f t="shared" si="4"/>
        <v>69.874637197806834</v>
      </c>
    </row>
    <row r="27" spans="1:15" x14ac:dyDescent="0.25">
      <c r="A27" s="1">
        <v>45698</v>
      </c>
      <c r="B27">
        <v>6066.44</v>
      </c>
      <c r="C27">
        <v>6065</v>
      </c>
      <c r="D27">
        <v>11</v>
      </c>
      <c r="E27">
        <v>39</v>
      </c>
      <c r="F27">
        <v>94.55</v>
      </c>
      <c r="G27">
        <v>200.15</v>
      </c>
      <c r="H27">
        <v>0.55608604199528311</v>
      </c>
      <c r="I27">
        <v>-0.44391395800471689</v>
      </c>
      <c r="J27">
        <v>-0.11217208399056622</v>
      </c>
      <c r="K27">
        <f t="shared" si="0"/>
        <v>200.15</v>
      </c>
      <c r="L27">
        <f t="shared" si="1"/>
        <v>-16.900000000000006</v>
      </c>
      <c r="M27">
        <f t="shared" si="2"/>
        <v>-4.4000600288022849</v>
      </c>
      <c r="N27">
        <f t="shared" si="3"/>
        <v>-21.300060028802292</v>
      </c>
      <c r="O27">
        <f t="shared" si="4"/>
        <v>48.574577169004542</v>
      </c>
    </row>
    <row r="28" spans="1:15" x14ac:dyDescent="0.25">
      <c r="A28" s="1">
        <v>45699</v>
      </c>
      <c r="B28">
        <v>6068.5</v>
      </c>
      <c r="C28">
        <v>6070</v>
      </c>
      <c r="D28">
        <v>10</v>
      </c>
      <c r="E28">
        <v>38</v>
      </c>
      <c r="F28">
        <v>90.7</v>
      </c>
      <c r="G28">
        <v>197.9</v>
      </c>
      <c r="H28">
        <v>0.55055183663990437</v>
      </c>
      <c r="I28">
        <v>-0.44944816336009563</v>
      </c>
      <c r="J28">
        <v>-0.10110367327980874</v>
      </c>
      <c r="K28">
        <f t="shared" si="0"/>
        <v>197.9</v>
      </c>
      <c r="L28">
        <f t="shared" si="1"/>
        <v>-2.25</v>
      </c>
      <c r="M28">
        <f t="shared" si="2"/>
        <v>-0.23107449302061131</v>
      </c>
      <c r="N28">
        <f t="shared" si="3"/>
        <v>-2.4810744930206114</v>
      </c>
      <c r="O28">
        <f t="shared" si="4"/>
        <v>46.093502675983927</v>
      </c>
    </row>
    <row r="29" spans="1:15" x14ac:dyDescent="0.25">
      <c r="A29" s="1">
        <v>45700</v>
      </c>
      <c r="B29">
        <v>6051.97</v>
      </c>
      <c r="C29">
        <v>6050</v>
      </c>
      <c r="D29">
        <v>9</v>
      </c>
      <c r="E29">
        <v>37</v>
      </c>
      <c r="F29">
        <v>86.25</v>
      </c>
      <c r="G29">
        <v>198.95</v>
      </c>
      <c r="H29">
        <v>0.55469084169705085</v>
      </c>
      <c r="I29">
        <v>-0.44530915830294915</v>
      </c>
      <c r="J29">
        <v>-0.1093816833941017</v>
      </c>
      <c r="K29">
        <f t="shared" si="0"/>
        <v>198.95</v>
      </c>
      <c r="L29">
        <f t="shared" si="1"/>
        <v>1.0499999999999829</v>
      </c>
      <c r="M29">
        <f t="shared" si="2"/>
        <v>1.6712437193152128</v>
      </c>
      <c r="N29">
        <f t="shared" si="3"/>
        <v>2.7212437193151957</v>
      </c>
      <c r="O29">
        <f t="shared" si="4"/>
        <v>48.814746395299125</v>
      </c>
    </row>
    <row r="30" spans="1:15" x14ac:dyDescent="0.25">
      <c r="A30" s="1">
        <v>45701</v>
      </c>
      <c r="B30">
        <v>6115.07</v>
      </c>
      <c r="C30">
        <v>6115</v>
      </c>
      <c r="D30">
        <v>8</v>
      </c>
      <c r="E30">
        <v>36</v>
      </c>
      <c r="F30">
        <v>67.400000000000006</v>
      </c>
      <c r="G30">
        <v>183.35</v>
      </c>
      <c r="H30">
        <v>0.55309927858086316</v>
      </c>
      <c r="I30">
        <v>-0.44690072141913684</v>
      </c>
      <c r="J30">
        <v>-0.10619855716172633</v>
      </c>
      <c r="K30">
        <f t="shared" si="0"/>
        <v>183.35</v>
      </c>
      <c r="L30">
        <f t="shared" si="1"/>
        <v>-15.599999999999994</v>
      </c>
      <c r="M30">
        <f t="shared" si="2"/>
        <v>-6.9019842221677576</v>
      </c>
      <c r="N30">
        <f t="shared" si="3"/>
        <v>-22.501984222167753</v>
      </c>
      <c r="O30">
        <f t="shared" si="4"/>
        <v>26.312762173131372</v>
      </c>
    </row>
    <row r="31" spans="1:15" x14ac:dyDescent="0.25">
      <c r="A31" s="1">
        <v>45702</v>
      </c>
      <c r="B31">
        <v>6114.63</v>
      </c>
      <c r="C31">
        <v>6115</v>
      </c>
      <c r="D31">
        <v>7</v>
      </c>
      <c r="E31">
        <v>35</v>
      </c>
      <c r="F31">
        <v>55.2</v>
      </c>
      <c r="G31">
        <v>176.60000000000002</v>
      </c>
      <c r="H31">
        <v>0.55231502656957798</v>
      </c>
      <c r="I31">
        <v>-0.44768497343042202</v>
      </c>
      <c r="J31">
        <v>-0.10463005313915597</v>
      </c>
      <c r="K31">
        <f t="shared" si="0"/>
        <v>176.60000000000002</v>
      </c>
      <c r="L31">
        <f t="shared" si="1"/>
        <v>-6.7499999999999716</v>
      </c>
      <c r="M31">
        <f t="shared" si="2"/>
        <v>4.6727365151117084E-2</v>
      </c>
      <c r="N31">
        <f t="shared" si="3"/>
        <v>-6.7032726348488545</v>
      </c>
      <c r="O31">
        <f t="shared" si="4"/>
        <v>19.609489538282517</v>
      </c>
    </row>
    <row r="32" spans="1:15" x14ac:dyDescent="0.25">
      <c r="A32" s="1">
        <v>45706</v>
      </c>
      <c r="B32">
        <v>6129.58</v>
      </c>
      <c r="C32">
        <v>6130</v>
      </c>
      <c r="D32">
        <v>3</v>
      </c>
      <c r="E32">
        <v>31</v>
      </c>
      <c r="F32">
        <v>40.450000000000003</v>
      </c>
      <c r="G32">
        <v>167.55</v>
      </c>
      <c r="H32">
        <v>0.54998960321937496</v>
      </c>
      <c r="I32">
        <v>-0.45001039678062504</v>
      </c>
      <c r="J32">
        <v>-9.9979206438749912E-2</v>
      </c>
      <c r="K32">
        <f t="shared" si="0"/>
        <v>167.55</v>
      </c>
      <c r="L32">
        <f t="shared" si="1"/>
        <v>-9.0500000000000114</v>
      </c>
      <c r="M32">
        <f t="shared" si="2"/>
        <v>-1.5642192944303626</v>
      </c>
      <c r="N32">
        <f t="shared" si="3"/>
        <v>-10.614219294430374</v>
      </c>
      <c r="O32">
        <f t="shared" si="4"/>
        <v>8.9952702438521435</v>
      </c>
    </row>
    <row r="33" spans="1:15" x14ac:dyDescent="0.25">
      <c r="A33" s="1">
        <v>45707</v>
      </c>
      <c r="B33">
        <v>6144.15</v>
      </c>
      <c r="C33">
        <v>6145</v>
      </c>
      <c r="D33">
        <v>2</v>
      </c>
      <c r="E33">
        <v>30</v>
      </c>
      <c r="F33">
        <v>28.950000000000003</v>
      </c>
      <c r="G33">
        <v>161.5</v>
      </c>
      <c r="H33">
        <v>0.54903524667074444</v>
      </c>
      <c r="I33">
        <v>-0.45096475332925556</v>
      </c>
      <c r="J33">
        <v>-9.8070493341488874E-2</v>
      </c>
      <c r="K33">
        <f t="shared" si="0"/>
        <v>161.5</v>
      </c>
      <c r="L33">
        <f t="shared" si="1"/>
        <v>-6.0500000000000114</v>
      </c>
      <c r="M33">
        <f t="shared" si="2"/>
        <v>-1.4566970378125572</v>
      </c>
      <c r="N33">
        <f t="shared" si="3"/>
        <v>-7.5066970378125681</v>
      </c>
      <c r="O33">
        <f t="shared" si="4"/>
        <v>1.4885732060395753</v>
      </c>
    </row>
    <row r="34" spans="1:15" x14ac:dyDescent="0.25">
      <c r="A34" s="1">
        <v>45708</v>
      </c>
      <c r="B34">
        <v>6117.52</v>
      </c>
      <c r="C34">
        <v>6120</v>
      </c>
      <c r="D34">
        <v>1</v>
      </c>
      <c r="E34">
        <v>29</v>
      </c>
      <c r="F34">
        <v>17.95</v>
      </c>
      <c r="G34">
        <v>161.39999999999998</v>
      </c>
      <c r="H34">
        <v>0.54431616801576022</v>
      </c>
      <c r="I34">
        <v>-0.45568383198423978</v>
      </c>
      <c r="J34">
        <v>-8.8632336031520431E-2</v>
      </c>
      <c r="K34">
        <f t="shared" si="0"/>
        <v>161.39999999999998</v>
      </c>
      <c r="L34">
        <f t="shared" si="1"/>
        <v>-0.10000000000002274</v>
      </c>
      <c r="M34">
        <f t="shared" si="2"/>
        <v>2.6116172376837703</v>
      </c>
      <c r="N34">
        <f t="shared" si="3"/>
        <v>2.5116172376837476</v>
      </c>
      <c r="O34">
        <f t="shared" si="4"/>
        <v>4.0001904437233229</v>
      </c>
    </row>
    <row r="35" spans="1:15" x14ac:dyDescent="0.25">
      <c r="A35" s="1">
        <v>45709</v>
      </c>
      <c r="B35">
        <v>6013.13</v>
      </c>
      <c r="C35">
        <v>6015</v>
      </c>
      <c r="D35">
        <v>28</v>
      </c>
      <c r="E35">
        <v>55</v>
      </c>
      <c r="F35">
        <v>187.45</v>
      </c>
      <c r="G35">
        <v>261.70000000000005</v>
      </c>
      <c r="H35">
        <v>0.53869681788696633</v>
      </c>
      <c r="I35">
        <v>-0.46130318211303367</v>
      </c>
      <c r="J35">
        <v>-7.7393635773932656E-2</v>
      </c>
      <c r="K35">
        <f t="shared" si="0"/>
        <v>187.45</v>
      </c>
      <c r="L35">
        <f t="shared" si="1"/>
        <v>26.050000000000011</v>
      </c>
      <c r="M35">
        <f t="shared" si="2"/>
        <v>9.2523295583304463</v>
      </c>
      <c r="N35">
        <f t="shared" si="3"/>
        <v>35.302329558330456</v>
      </c>
      <c r="O35">
        <f t="shared" si="4"/>
        <v>39.302520002053782</v>
      </c>
    </row>
    <row r="36" spans="1:15" x14ac:dyDescent="0.25">
      <c r="A36" s="1">
        <v>45712</v>
      </c>
      <c r="B36">
        <v>5983.25</v>
      </c>
      <c r="C36">
        <v>5985</v>
      </c>
      <c r="D36">
        <v>25</v>
      </c>
      <c r="E36">
        <v>52</v>
      </c>
      <c r="F36">
        <v>193.5</v>
      </c>
      <c r="G36">
        <v>267.89999999999998</v>
      </c>
      <c r="H36">
        <v>0.53518417045155542</v>
      </c>
      <c r="I36">
        <v>-0.46481582954844458</v>
      </c>
      <c r="J36">
        <v>-7.0368340903110838E-2</v>
      </c>
      <c r="K36">
        <f t="shared" si="0"/>
        <v>193.5</v>
      </c>
      <c r="L36">
        <f t="shared" si="1"/>
        <v>6.0500000000000114</v>
      </c>
      <c r="M36">
        <f t="shared" si="2"/>
        <v>2.3125218369251161</v>
      </c>
      <c r="N36">
        <f t="shared" si="3"/>
        <v>8.3625218369251275</v>
      </c>
      <c r="O36">
        <f t="shared" si="4"/>
        <v>47.665041838978908</v>
      </c>
    </row>
    <row r="37" spans="1:15" x14ac:dyDescent="0.25">
      <c r="A37" s="1">
        <v>45713</v>
      </c>
      <c r="B37">
        <v>5955.25</v>
      </c>
      <c r="C37">
        <v>5955</v>
      </c>
      <c r="D37">
        <v>24</v>
      </c>
      <c r="E37">
        <v>51</v>
      </c>
      <c r="F37">
        <v>197.45000000000002</v>
      </c>
      <c r="G37">
        <v>272.60000000000002</v>
      </c>
      <c r="H37">
        <v>0.53665454741942065</v>
      </c>
      <c r="I37">
        <v>-0.46334545258057935</v>
      </c>
      <c r="J37">
        <v>-7.3309094838841293E-2</v>
      </c>
      <c r="K37">
        <f t="shared" si="0"/>
        <v>197.45000000000002</v>
      </c>
      <c r="L37">
        <f t="shared" si="1"/>
        <v>3.9500000000000171</v>
      </c>
      <c r="M37">
        <f t="shared" si="2"/>
        <v>1.9703135452871035</v>
      </c>
      <c r="N37">
        <f t="shared" si="3"/>
        <v>5.9203135452871205</v>
      </c>
      <c r="O37">
        <f t="shared" si="4"/>
        <v>53.58535538426603</v>
      </c>
    </row>
    <row r="38" spans="1:15" x14ac:dyDescent="0.25">
      <c r="A38" s="1">
        <v>45714</v>
      </c>
      <c r="B38">
        <v>5956.06</v>
      </c>
      <c r="C38">
        <v>5955</v>
      </c>
      <c r="D38">
        <v>23</v>
      </c>
      <c r="E38">
        <v>50</v>
      </c>
      <c r="F38">
        <v>192.35</v>
      </c>
      <c r="G38">
        <v>267.8</v>
      </c>
      <c r="H38">
        <v>0.53685478967906364</v>
      </c>
      <c r="I38">
        <v>-0.46314521032093636</v>
      </c>
      <c r="J38">
        <v>-7.3709579358127275E-2</v>
      </c>
      <c r="K38">
        <f t="shared" si="0"/>
        <v>192.35</v>
      </c>
      <c r="L38">
        <f t="shared" si="1"/>
        <v>-5.1000000000000227</v>
      </c>
      <c r="M38">
        <f t="shared" si="2"/>
        <v>-5.9380366819490785E-2</v>
      </c>
      <c r="N38">
        <f t="shared" si="3"/>
        <v>-5.159380366819514</v>
      </c>
      <c r="O38">
        <f t="shared" si="4"/>
        <v>48.425975017446518</v>
      </c>
    </row>
    <row r="39" spans="1:15" x14ac:dyDescent="0.25">
      <c r="A39" s="1">
        <v>45715</v>
      </c>
      <c r="B39">
        <v>5861.57</v>
      </c>
      <c r="C39">
        <v>5860</v>
      </c>
      <c r="D39">
        <v>22</v>
      </c>
      <c r="E39">
        <v>49</v>
      </c>
      <c r="F39">
        <v>210.85</v>
      </c>
      <c r="G39">
        <v>291.25</v>
      </c>
      <c r="H39">
        <v>0.53464158546329577</v>
      </c>
      <c r="I39">
        <v>-0.46535841453670423</v>
      </c>
      <c r="J39">
        <v>-6.9283170926591531E-2</v>
      </c>
      <c r="K39">
        <f t="shared" si="0"/>
        <v>210.85</v>
      </c>
      <c r="L39">
        <f t="shared" si="1"/>
        <v>18.5</v>
      </c>
      <c r="M39">
        <f t="shared" si="2"/>
        <v>6.9648181535494968</v>
      </c>
      <c r="N39">
        <f t="shared" si="3"/>
        <v>25.464818153549498</v>
      </c>
      <c r="O39">
        <f t="shared" si="4"/>
        <v>73.89079317099602</v>
      </c>
    </row>
    <row r="40" spans="1:15" x14ac:dyDescent="0.25">
      <c r="A40" s="1">
        <v>45716</v>
      </c>
      <c r="B40">
        <v>5954.5</v>
      </c>
      <c r="C40">
        <v>5955</v>
      </c>
      <c r="D40">
        <v>21</v>
      </c>
      <c r="E40">
        <v>48</v>
      </c>
      <c r="F40">
        <v>186.5</v>
      </c>
      <c r="G40">
        <v>268.35000000000002</v>
      </c>
      <c r="H40">
        <v>0.53239860330680633</v>
      </c>
      <c r="I40">
        <v>-0.46760139669319367</v>
      </c>
      <c r="J40">
        <v>-6.4797206613612657E-2</v>
      </c>
      <c r="K40">
        <f t="shared" si="0"/>
        <v>186.5</v>
      </c>
      <c r="L40">
        <f t="shared" si="1"/>
        <v>-24.349999999999994</v>
      </c>
      <c r="M40">
        <f t="shared" si="2"/>
        <v>-6.4384850742081712</v>
      </c>
      <c r="N40">
        <f t="shared" si="3"/>
        <v>-30.788485074208165</v>
      </c>
      <c r="O40">
        <f t="shared" si="4"/>
        <v>43.102308096787851</v>
      </c>
    </row>
    <row r="41" spans="1:15" x14ac:dyDescent="0.25">
      <c r="A41" s="1">
        <v>45719</v>
      </c>
      <c r="B41">
        <v>5849.72</v>
      </c>
      <c r="C41">
        <v>5850</v>
      </c>
      <c r="D41">
        <v>18</v>
      </c>
      <c r="E41">
        <v>45</v>
      </c>
      <c r="F41">
        <v>207.8</v>
      </c>
      <c r="G41">
        <v>295.64999999999998</v>
      </c>
      <c r="H41">
        <v>0.52808402670071897</v>
      </c>
      <c r="I41">
        <v>-0.47191597329928103</v>
      </c>
      <c r="J41">
        <v>-5.6168053401437934E-2</v>
      </c>
      <c r="K41">
        <f t="shared" si="0"/>
        <v>207.8</v>
      </c>
      <c r="L41">
        <f t="shared" si="1"/>
        <v>21.300000000000011</v>
      </c>
      <c r="M41">
        <f t="shared" si="2"/>
        <v>6.7894513089743178</v>
      </c>
      <c r="N41">
        <f t="shared" si="3"/>
        <v>28.089451308974329</v>
      </c>
      <c r="O41">
        <f t="shared" si="4"/>
        <v>71.191759405762184</v>
      </c>
    </row>
    <row r="42" spans="1:15" x14ac:dyDescent="0.25">
      <c r="A42" s="1">
        <v>45720</v>
      </c>
      <c r="B42">
        <v>5778.15</v>
      </c>
      <c r="C42">
        <v>5780</v>
      </c>
      <c r="D42">
        <v>17</v>
      </c>
      <c r="E42">
        <v>44</v>
      </c>
      <c r="F42">
        <v>216.85000000000002</v>
      </c>
      <c r="G42">
        <v>306.95</v>
      </c>
      <c r="H42">
        <v>0.52409001776003772</v>
      </c>
      <c r="I42">
        <v>-0.47590998223996228</v>
      </c>
      <c r="J42">
        <v>-4.8180035520075437E-2</v>
      </c>
      <c r="K42">
        <f t="shared" si="0"/>
        <v>216.85000000000002</v>
      </c>
      <c r="L42">
        <f t="shared" si="1"/>
        <v>9.0500000000000114</v>
      </c>
      <c r="M42">
        <f t="shared" si="2"/>
        <v>4.019947581940948</v>
      </c>
      <c r="N42">
        <f t="shared" si="3"/>
        <v>13.069947581940959</v>
      </c>
      <c r="O42">
        <f t="shared" si="4"/>
        <v>84.26170698770315</v>
      </c>
    </row>
    <row r="43" spans="1:15" x14ac:dyDescent="0.25">
      <c r="A43" s="1">
        <v>45721</v>
      </c>
      <c r="B43">
        <v>5842.63</v>
      </c>
      <c r="C43">
        <v>5845</v>
      </c>
      <c r="D43">
        <v>16</v>
      </c>
      <c r="E43">
        <v>43</v>
      </c>
      <c r="F43">
        <v>196.75</v>
      </c>
      <c r="G43">
        <v>282.54999999999995</v>
      </c>
      <c r="H43">
        <v>0.54320426452031967</v>
      </c>
      <c r="I43">
        <v>-0.45679573547968033</v>
      </c>
      <c r="J43">
        <v>-8.6408529040639337E-2</v>
      </c>
      <c r="K43">
        <f t="shared" si="0"/>
        <v>282.54999999999995</v>
      </c>
      <c r="L43">
        <f t="shared" si="1"/>
        <v>65.699999999999932</v>
      </c>
      <c r="M43">
        <f t="shared" si="2"/>
        <v>-3.1066486903344868</v>
      </c>
      <c r="N43">
        <f t="shared" si="3"/>
        <v>62.593351309665444</v>
      </c>
      <c r="O43">
        <f t="shared" si="4"/>
        <v>146.8550582973686</v>
      </c>
    </row>
    <row r="44" spans="1:15" x14ac:dyDescent="0.25">
      <c r="A44" s="1">
        <v>45722</v>
      </c>
      <c r="B44">
        <v>5738.52</v>
      </c>
      <c r="C44">
        <v>5740</v>
      </c>
      <c r="D44">
        <v>15</v>
      </c>
      <c r="E44">
        <v>42</v>
      </c>
      <c r="F44">
        <v>219.15</v>
      </c>
      <c r="G44">
        <v>315.70000000000005</v>
      </c>
      <c r="H44">
        <v>0.54113079285071386</v>
      </c>
      <c r="I44">
        <v>-0.45886920714928614</v>
      </c>
      <c r="J44">
        <v>-8.226158570142772E-2</v>
      </c>
      <c r="K44">
        <f t="shared" si="0"/>
        <v>315.70000000000005</v>
      </c>
      <c r="L44">
        <f t="shared" si="1"/>
        <v>33.150000000000091</v>
      </c>
      <c r="M44">
        <f t="shared" si="2"/>
        <v>8.9959919584209338</v>
      </c>
      <c r="N44">
        <f t="shared" si="3"/>
        <v>42.145991958421021</v>
      </c>
      <c r="O44">
        <f t="shared" si="4"/>
        <v>189.00105025578961</v>
      </c>
    </row>
    <row r="45" spans="1:15" x14ac:dyDescent="0.25">
      <c r="A45" s="1">
        <v>45723</v>
      </c>
      <c r="B45">
        <v>5770.2</v>
      </c>
      <c r="C45">
        <v>5770</v>
      </c>
      <c r="D45">
        <v>14</v>
      </c>
      <c r="E45">
        <v>41</v>
      </c>
      <c r="F45">
        <v>191.4</v>
      </c>
      <c r="G45">
        <v>291</v>
      </c>
      <c r="H45">
        <v>0.54335234476080885</v>
      </c>
      <c r="I45">
        <v>-0.45664765523919115</v>
      </c>
      <c r="J45">
        <v>-8.6704689521617695E-2</v>
      </c>
      <c r="K45">
        <f t="shared" si="0"/>
        <v>291</v>
      </c>
      <c r="L45">
        <f t="shared" si="1"/>
        <v>-24.700000000000045</v>
      </c>
      <c r="M45">
        <f t="shared" si="2"/>
        <v>-2.6060470350211791</v>
      </c>
      <c r="N45">
        <f t="shared" si="3"/>
        <v>-27.306047035021223</v>
      </c>
      <c r="O45">
        <f t="shared" si="4"/>
        <v>161.6950032207684</v>
      </c>
    </row>
    <row r="46" spans="1:15" x14ac:dyDescent="0.25">
      <c r="A46" s="1">
        <v>45726</v>
      </c>
      <c r="B46">
        <v>5614.56</v>
      </c>
      <c r="C46">
        <v>5615</v>
      </c>
      <c r="D46">
        <v>11</v>
      </c>
      <c r="E46">
        <v>38</v>
      </c>
      <c r="F46">
        <v>212.55</v>
      </c>
      <c r="G46">
        <v>325.7</v>
      </c>
      <c r="H46">
        <v>0.5388175291396412</v>
      </c>
      <c r="I46">
        <v>-0.4611824708603588</v>
      </c>
      <c r="J46">
        <v>-7.763505827928241E-2</v>
      </c>
      <c r="K46">
        <f t="shared" si="0"/>
        <v>325.7</v>
      </c>
      <c r="L46">
        <f t="shared" si="1"/>
        <v>34.699999999999989</v>
      </c>
      <c r="M46">
        <f t="shared" si="2"/>
        <v>13.494717877144527</v>
      </c>
      <c r="N46">
        <f t="shared" si="3"/>
        <v>48.194717877144512</v>
      </c>
      <c r="O46">
        <f t="shared" si="4"/>
        <v>209.88972109791291</v>
      </c>
    </row>
    <row r="47" spans="1:15" x14ac:dyDescent="0.25">
      <c r="A47" s="1">
        <v>45727</v>
      </c>
      <c r="B47">
        <v>5572.07</v>
      </c>
      <c r="C47">
        <v>5570</v>
      </c>
      <c r="D47">
        <v>10</v>
      </c>
      <c r="E47">
        <v>37</v>
      </c>
      <c r="F47">
        <v>200.25</v>
      </c>
      <c r="G47">
        <v>322.55</v>
      </c>
      <c r="H47">
        <v>0.5407230637395174</v>
      </c>
      <c r="I47">
        <v>-0.4592769362604826</v>
      </c>
      <c r="J47">
        <v>-8.1446127479034791E-2</v>
      </c>
      <c r="K47">
        <f t="shared" si="0"/>
        <v>322.55</v>
      </c>
      <c r="L47">
        <f t="shared" si="1"/>
        <v>-3.1499999999999773</v>
      </c>
      <c r="M47">
        <f t="shared" si="2"/>
        <v>3.2987136262867631</v>
      </c>
      <c r="N47">
        <f t="shared" si="3"/>
        <v>0.14871362628678586</v>
      </c>
      <c r="O47">
        <f t="shared" si="4"/>
        <v>210.0384347241997</v>
      </c>
    </row>
    <row r="48" spans="1:15" x14ac:dyDescent="0.25">
      <c r="A48" s="1">
        <v>45728</v>
      </c>
      <c r="B48">
        <v>5599.3</v>
      </c>
      <c r="C48">
        <v>5600</v>
      </c>
      <c r="D48">
        <v>9</v>
      </c>
      <c r="E48">
        <v>36</v>
      </c>
      <c r="F48">
        <v>167.2</v>
      </c>
      <c r="G48">
        <v>292.35000000000002</v>
      </c>
      <c r="H48">
        <v>0.53827686424228971</v>
      </c>
      <c r="I48">
        <v>-0.46172313575771029</v>
      </c>
      <c r="J48">
        <v>-7.655372848457942E-2</v>
      </c>
      <c r="K48">
        <f t="shared" si="0"/>
        <v>292.35000000000002</v>
      </c>
      <c r="L48">
        <f t="shared" si="1"/>
        <v>-30.199999999999989</v>
      </c>
      <c r="M48">
        <f t="shared" si="2"/>
        <v>-2.2177780512541561</v>
      </c>
      <c r="N48">
        <f t="shared" si="3"/>
        <v>-32.417778051254146</v>
      </c>
      <c r="O48">
        <f t="shared" si="4"/>
        <v>177.62065667294556</v>
      </c>
    </row>
    <row r="49" spans="1:15" x14ac:dyDescent="0.25">
      <c r="A49" s="1">
        <v>45729</v>
      </c>
      <c r="B49">
        <v>5521.52</v>
      </c>
      <c r="C49">
        <v>5520</v>
      </c>
      <c r="D49">
        <v>8</v>
      </c>
      <c r="E49">
        <v>35</v>
      </c>
      <c r="F49">
        <v>159.05000000000001</v>
      </c>
      <c r="G49">
        <v>298.35000000000002</v>
      </c>
      <c r="H49">
        <v>0.53959352121797721</v>
      </c>
      <c r="I49">
        <v>-0.46040647878202279</v>
      </c>
      <c r="J49">
        <v>-7.9187042435954424E-2</v>
      </c>
      <c r="K49">
        <f t="shared" si="0"/>
        <v>298.35000000000002</v>
      </c>
      <c r="L49">
        <f t="shared" si="1"/>
        <v>6</v>
      </c>
      <c r="M49">
        <f t="shared" si="2"/>
        <v>5.9543490015305673</v>
      </c>
      <c r="N49">
        <f t="shared" si="3"/>
        <v>11.954349001530566</v>
      </c>
      <c r="O49">
        <f t="shared" si="4"/>
        <v>189.57500567447613</v>
      </c>
    </row>
    <row r="50" spans="1:15" x14ac:dyDescent="0.25">
      <c r="A50" s="1">
        <v>45730</v>
      </c>
      <c r="B50">
        <v>5638.94</v>
      </c>
      <c r="C50">
        <v>5640</v>
      </c>
      <c r="D50">
        <v>7</v>
      </c>
      <c r="E50">
        <v>34</v>
      </c>
      <c r="F50">
        <v>122.85</v>
      </c>
      <c r="G50">
        <v>257.95</v>
      </c>
      <c r="H50">
        <v>0.53804346997524499</v>
      </c>
      <c r="I50">
        <v>-0.46195653002475501</v>
      </c>
      <c r="J50">
        <v>-7.6086939950489985E-2</v>
      </c>
      <c r="K50">
        <f t="shared" si="0"/>
        <v>257.95</v>
      </c>
      <c r="L50">
        <f t="shared" si="1"/>
        <v>-40.400000000000034</v>
      </c>
      <c r="M50">
        <f t="shared" si="2"/>
        <v>-9.2981425228297017</v>
      </c>
      <c r="N50">
        <f t="shared" si="3"/>
        <v>-49.698142522829734</v>
      </c>
      <c r="O50">
        <f t="shared" si="4"/>
        <v>139.8768631516464</v>
      </c>
    </row>
    <row r="51" spans="1:15" x14ac:dyDescent="0.25">
      <c r="A51" s="1">
        <v>45733</v>
      </c>
      <c r="B51">
        <v>5675.12</v>
      </c>
      <c r="C51">
        <v>5675</v>
      </c>
      <c r="D51">
        <v>4</v>
      </c>
      <c r="E51">
        <v>31</v>
      </c>
      <c r="F51">
        <v>98.65</v>
      </c>
      <c r="G51">
        <v>238.85000000000002</v>
      </c>
      <c r="H51">
        <v>0.53885214099823042</v>
      </c>
      <c r="I51">
        <v>-0.46114785900176958</v>
      </c>
      <c r="J51">
        <v>-7.7704281996460844E-2</v>
      </c>
      <c r="K51">
        <f t="shared" si="0"/>
        <v>238.85000000000002</v>
      </c>
      <c r="L51">
        <f t="shared" si="1"/>
        <v>-19.099999999999966</v>
      </c>
      <c r="M51">
        <f t="shared" si="2"/>
        <v>-2.7528254874087499</v>
      </c>
      <c r="N51">
        <f t="shared" si="3"/>
        <v>-21.852825487408715</v>
      </c>
      <c r="O51">
        <f t="shared" si="4"/>
        <v>118.02403766423768</v>
      </c>
    </row>
    <row r="52" spans="1:15" x14ac:dyDescent="0.25">
      <c r="A52" s="1">
        <v>45734</v>
      </c>
      <c r="B52">
        <v>5614.66</v>
      </c>
      <c r="C52">
        <v>5615</v>
      </c>
      <c r="D52">
        <v>3</v>
      </c>
      <c r="E52">
        <v>30</v>
      </c>
      <c r="F52">
        <v>93.850000000000009</v>
      </c>
      <c r="G52">
        <v>247.5</v>
      </c>
      <c r="H52">
        <v>0.53648197866679759</v>
      </c>
      <c r="I52">
        <v>-0.46351802133320241</v>
      </c>
      <c r="J52">
        <v>-7.2963957333595175E-2</v>
      </c>
      <c r="K52">
        <f t="shared" si="0"/>
        <v>247.5</v>
      </c>
      <c r="L52">
        <f t="shared" si="1"/>
        <v>8.6499999999999773</v>
      </c>
      <c r="M52">
        <f t="shared" si="2"/>
        <v>4.6980008895060257</v>
      </c>
      <c r="N52">
        <f t="shared" si="3"/>
        <v>13.348000889506004</v>
      </c>
      <c r="O52">
        <f t="shared" si="4"/>
        <v>131.37203855374369</v>
      </c>
    </row>
    <row r="53" spans="1:15" x14ac:dyDescent="0.25">
      <c r="A53" s="1">
        <v>45735</v>
      </c>
      <c r="B53">
        <v>5675.29</v>
      </c>
      <c r="C53">
        <v>5675</v>
      </c>
      <c r="D53">
        <v>2</v>
      </c>
      <c r="E53">
        <v>29</v>
      </c>
      <c r="F53">
        <v>61.3</v>
      </c>
      <c r="G53">
        <v>225</v>
      </c>
      <c r="H53">
        <v>0.53806014620780196</v>
      </c>
      <c r="I53">
        <v>-0.46193985379219804</v>
      </c>
      <c r="J53">
        <v>-7.6120292415603918E-2</v>
      </c>
      <c r="K53">
        <f t="shared" si="0"/>
        <v>225</v>
      </c>
      <c r="L53">
        <f t="shared" si="1"/>
        <v>-22.5</v>
      </c>
      <c r="M53">
        <f t="shared" si="2"/>
        <v>-4.4238047331358832</v>
      </c>
      <c r="N53">
        <f t="shared" si="3"/>
        <v>-26.923804733135881</v>
      </c>
      <c r="O53">
        <f t="shared" si="4"/>
        <v>104.44823382060781</v>
      </c>
    </row>
    <row r="54" spans="1:15" x14ac:dyDescent="0.25">
      <c r="A54" s="1">
        <v>45736</v>
      </c>
      <c r="B54">
        <v>5662.89</v>
      </c>
      <c r="C54">
        <v>5665</v>
      </c>
      <c r="D54">
        <v>1</v>
      </c>
      <c r="E54">
        <v>28</v>
      </c>
      <c r="F54">
        <v>32.1</v>
      </c>
      <c r="G54">
        <v>218.95</v>
      </c>
      <c r="H54">
        <v>0.53388689207664997</v>
      </c>
      <c r="I54">
        <v>-0.46611310792335003</v>
      </c>
      <c r="J54">
        <v>-6.7773784153299932E-2</v>
      </c>
      <c r="K54">
        <f t="shared" si="0"/>
        <v>218.95</v>
      </c>
      <c r="L54">
        <f t="shared" si="1"/>
        <v>-6.0500000000000114</v>
      </c>
      <c r="M54">
        <f t="shared" si="2"/>
        <v>0.94389162595346088</v>
      </c>
      <c r="N54">
        <f t="shared" si="3"/>
        <v>-5.1061083740465509</v>
      </c>
      <c r="O54">
        <f t="shared" si="4"/>
        <v>99.342125446561255</v>
      </c>
    </row>
    <row r="55" spans="1:15" x14ac:dyDescent="0.25">
      <c r="A55" s="1">
        <v>45737</v>
      </c>
      <c r="B55">
        <v>5667.56</v>
      </c>
      <c r="C55">
        <v>5670</v>
      </c>
      <c r="D55">
        <v>27</v>
      </c>
      <c r="E55">
        <v>56</v>
      </c>
      <c r="F55">
        <v>209.79999999999998</v>
      </c>
      <c r="G55">
        <v>293.95000000000005</v>
      </c>
      <c r="H55">
        <v>0.53287632987591504</v>
      </c>
      <c r="I55">
        <v>-0.46712367012408496</v>
      </c>
      <c r="J55">
        <v>-6.5752659751830089E-2</v>
      </c>
      <c r="K55">
        <f t="shared" si="0"/>
        <v>209.79999999999998</v>
      </c>
      <c r="L55">
        <f t="shared" si="1"/>
        <v>-9.1500000000000057</v>
      </c>
      <c r="M55">
        <f t="shared" si="2"/>
        <v>-0.31650357199591561</v>
      </c>
      <c r="N55">
        <f t="shared" si="3"/>
        <v>-9.4665035719959221</v>
      </c>
      <c r="O55">
        <f t="shared" si="4"/>
        <v>89.875621874565326</v>
      </c>
    </row>
    <row r="56" spans="1:15" x14ac:dyDescent="0.25">
      <c r="A56" s="1">
        <v>45740</v>
      </c>
      <c r="B56">
        <v>5767.57</v>
      </c>
      <c r="C56">
        <v>5770</v>
      </c>
      <c r="D56">
        <v>24</v>
      </c>
      <c r="E56">
        <v>53</v>
      </c>
      <c r="F56">
        <v>182.2</v>
      </c>
      <c r="G56">
        <v>265.45</v>
      </c>
      <c r="H56">
        <v>0.53262030361879376</v>
      </c>
      <c r="I56">
        <v>-0.46737969638120624</v>
      </c>
      <c r="J56">
        <v>-6.5240607237587511E-2</v>
      </c>
      <c r="K56">
        <f t="shared" si="0"/>
        <v>182.2</v>
      </c>
      <c r="L56">
        <f t="shared" si="1"/>
        <v>-27.599999999999994</v>
      </c>
      <c r="M56">
        <f t="shared" si="2"/>
        <v>-6.5759235017804816</v>
      </c>
      <c r="N56">
        <f t="shared" si="3"/>
        <v>-34.175923501780474</v>
      </c>
      <c r="O56">
        <f t="shared" si="4"/>
        <v>55.699698372784852</v>
      </c>
    </row>
    <row r="57" spans="1:15" x14ac:dyDescent="0.25">
      <c r="A57" s="1">
        <v>45741</v>
      </c>
      <c r="B57">
        <v>5776.65</v>
      </c>
      <c r="C57">
        <v>5775</v>
      </c>
      <c r="D57">
        <v>23</v>
      </c>
      <c r="E57">
        <v>52</v>
      </c>
      <c r="F57">
        <v>176.64999999999998</v>
      </c>
      <c r="G57">
        <v>264.10000000000002</v>
      </c>
      <c r="H57">
        <v>0.53974304343689927</v>
      </c>
      <c r="I57">
        <v>-0.46025695656310073</v>
      </c>
      <c r="J57">
        <v>-7.9486086873798545E-2</v>
      </c>
      <c r="K57">
        <f t="shared" si="0"/>
        <v>176.64999999999998</v>
      </c>
      <c r="L57">
        <f t="shared" si="1"/>
        <v>-5.5500000000000114</v>
      </c>
      <c r="M57">
        <f t="shared" si="2"/>
        <v>-0.59238471371728985</v>
      </c>
      <c r="N57">
        <f t="shared" si="3"/>
        <v>-6.1423847137173011</v>
      </c>
      <c r="O57">
        <f t="shared" si="4"/>
        <v>49.557313659067553</v>
      </c>
    </row>
    <row r="58" spans="1:15" x14ac:dyDescent="0.25">
      <c r="A58" s="1">
        <v>45742</v>
      </c>
      <c r="B58">
        <v>5712.2</v>
      </c>
      <c r="C58">
        <v>5710</v>
      </c>
      <c r="D58">
        <v>22</v>
      </c>
      <c r="E58">
        <v>51</v>
      </c>
      <c r="F58">
        <v>184.29999999999998</v>
      </c>
      <c r="G58">
        <v>272.8</v>
      </c>
      <c r="H58">
        <v>0.53775092359385601</v>
      </c>
      <c r="I58">
        <v>-0.46224907640614399</v>
      </c>
      <c r="J58">
        <v>-7.5501847187712023E-2</v>
      </c>
      <c r="K58">
        <f t="shared" si="0"/>
        <v>184.29999999999998</v>
      </c>
      <c r="L58">
        <f t="shared" si="1"/>
        <v>7.6500000000000057</v>
      </c>
      <c r="M58">
        <f t="shared" si="2"/>
        <v>5.1228782990163015</v>
      </c>
      <c r="N58">
        <f t="shared" si="3"/>
        <v>12.772878299016307</v>
      </c>
      <c r="O58">
        <f t="shared" si="4"/>
        <v>62.330191958083859</v>
      </c>
    </row>
    <row r="59" spans="1:15" x14ac:dyDescent="0.25">
      <c r="A59" s="1">
        <v>45743</v>
      </c>
      <c r="B59">
        <v>5693.31</v>
      </c>
      <c r="C59">
        <v>5695</v>
      </c>
      <c r="D59">
        <v>21</v>
      </c>
      <c r="E59">
        <v>50</v>
      </c>
      <c r="F59">
        <v>184.15</v>
      </c>
      <c r="G59">
        <v>274.39999999999998</v>
      </c>
      <c r="H59">
        <v>0.52974105418267725</v>
      </c>
      <c r="I59">
        <v>-0.47025894581732275</v>
      </c>
      <c r="J59">
        <v>-5.9482108365354502E-2</v>
      </c>
      <c r="K59">
        <f t="shared" si="0"/>
        <v>184.15</v>
      </c>
      <c r="L59">
        <f t="shared" si="1"/>
        <v>-0.14999999999997726</v>
      </c>
      <c r="M59">
        <f t="shared" si="2"/>
        <v>1.4262298933758362</v>
      </c>
      <c r="N59">
        <f t="shared" si="3"/>
        <v>1.2762298933758589</v>
      </c>
      <c r="O59">
        <f t="shared" si="4"/>
        <v>63.606421851459714</v>
      </c>
    </row>
    <row r="60" spans="1:15" x14ac:dyDescent="0.25">
      <c r="A60" s="1">
        <v>45744</v>
      </c>
      <c r="B60">
        <v>5580.94</v>
      </c>
      <c r="C60">
        <v>5580</v>
      </c>
      <c r="D60">
        <v>20</v>
      </c>
      <c r="E60">
        <v>49</v>
      </c>
      <c r="F60">
        <v>206</v>
      </c>
      <c r="G60">
        <v>303.25</v>
      </c>
      <c r="H60">
        <v>0.53093227311017088</v>
      </c>
      <c r="I60">
        <v>-0.46906772688982912</v>
      </c>
      <c r="J60">
        <v>-6.1864546220341765E-2</v>
      </c>
      <c r="K60">
        <f t="shared" si="0"/>
        <v>206</v>
      </c>
      <c r="L60">
        <f t="shared" si="1"/>
        <v>21.849999999999994</v>
      </c>
      <c r="M60">
        <f t="shared" si="2"/>
        <v>6.6840045170149329</v>
      </c>
      <c r="N60">
        <f t="shared" si="3"/>
        <v>28.534004517014928</v>
      </c>
      <c r="O60">
        <f t="shared" si="4"/>
        <v>92.140426368474635</v>
      </c>
    </row>
    <row r="61" spans="1:15" x14ac:dyDescent="0.25">
      <c r="A61" s="1">
        <v>45747</v>
      </c>
      <c r="B61">
        <v>5611.85</v>
      </c>
      <c r="C61">
        <v>5610</v>
      </c>
      <c r="D61">
        <v>17</v>
      </c>
      <c r="E61">
        <v>46</v>
      </c>
      <c r="F61">
        <v>194</v>
      </c>
      <c r="G61">
        <v>292.45</v>
      </c>
      <c r="H61">
        <v>0.53054611866935453</v>
      </c>
      <c r="I61">
        <v>-0.46945388133064547</v>
      </c>
      <c r="J61">
        <v>-6.1092237338709054E-2</v>
      </c>
      <c r="K61">
        <f t="shared" si="0"/>
        <v>194</v>
      </c>
      <c r="L61">
        <f t="shared" si="1"/>
        <v>-12</v>
      </c>
      <c r="M61">
        <f t="shared" si="2"/>
        <v>-1.9122331236708112</v>
      </c>
      <c r="N61">
        <f t="shared" si="3"/>
        <v>-13.912233123670811</v>
      </c>
      <c r="O61">
        <f t="shared" si="4"/>
        <v>78.228193244803819</v>
      </c>
    </row>
    <row r="62" spans="1:15" x14ac:dyDescent="0.25">
      <c r="A62" s="1">
        <v>45748</v>
      </c>
      <c r="B62">
        <v>5633.07</v>
      </c>
      <c r="C62">
        <v>5635</v>
      </c>
      <c r="D62">
        <v>16</v>
      </c>
      <c r="E62">
        <v>45</v>
      </c>
      <c r="F62">
        <v>188.1</v>
      </c>
      <c r="G62">
        <v>287.20000000000005</v>
      </c>
      <c r="H62">
        <v>0.52333587432979756</v>
      </c>
      <c r="I62">
        <v>-0.47666412567020244</v>
      </c>
      <c r="J62">
        <v>-4.6671748659595114E-2</v>
      </c>
      <c r="K62">
        <f t="shared" si="0"/>
        <v>188.1</v>
      </c>
      <c r="L62">
        <f t="shared" si="1"/>
        <v>-5.9000000000000057</v>
      </c>
      <c r="M62">
        <f t="shared" si="2"/>
        <v>-1.2963772763273662</v>
      </c>
      <c r="N62">
        <f t="shared" si="3"/>
        <v>-7.1963772763273717</v>
      </c>
      <c r="O62">
        <f t="shared" si="4"/>
        <v>71.031815968476451</v>
      </c>
    </row>
    <row r="63" spans="1:15" x14ac:dyDescent="0.25">
      <c r="A63" s="1">
        <v>45749</v>
      </c>
      <c r="B63">
        <v>5670.97</v>
      </c>
      <c r="C63">
        <v>5670</v>
      </c>
      <c r="D63">
        <v>15</v>
      </c>
      <c r="E63">
        <v>44</v>
      </c>
      <c r="F63">
        <v>206.25000000000003</v>
      </c>
      <c r="G63">
        <v>295.64999999999998</v>
      </c>
      <c r="H63">
        <v>0.54700886475406207</v>
      </c>
      <c r="I63">
        <v>-0.45299113524593793</v>
      </c>
      <c r="J63">
        <v>-9.4017729508124148E-2</v>
      </c>
      <c r="K63">
        <f t="shared" si="0"/>
        <v>295.64999999999998</v>
      </c>
      <c r="L63">
        <f t="shared" si="1"/>
        <v>107.54999999999998</v>
      </c>
      <c r="M63">
        <f t="shared" si="2"/>
        <v>-1.7688592741986804</v>
      </c>
      <c r="N63">
        <f t="shared" si="3"/>
        <v>105.78114072580131</v>
      </c>
      <c r="O63">
        <f t="shared" si="4"/>
        <v>176.81295669427777</v>
      </c>
    </row>
    <row r="64" spans="1:15" x14ac:dyDescent="0.25">
      <c r="A64" s="1">
        <v>45750</v>
      </c>
      <c r="B64">
        <v>5396.52</v>
      </c>
      <c r="C64">
        <v>5395</v>
      </c>
      <c r="D64">
        <v>14</v>
      </c>
      <c r="E64">
        <v>43</v>
      </c>
      <c r="F64">
        <v>236.1</v>
      </c>
      <c r="G64">
        <v>362</v>
      </c>
      <c r="H64">
        <v>0.54221855872288538</v>
      </c>
      <c r="I64">
        <v>-0.45778144127711462</v>
      </c>
      <c r="J64">
        <v>-8.443711744577076E-2</v>
      </c>
      <c r="K64">
        <f t="shared" si="0"/>
        <v>362</v>
      </c>
      <c r="L64">
        <f t="shared" si="1"/>
        <v>66.350000000000023</v>
      </c>
      <c r="M64">
        <f t="shared" si="2"/>
        <v>25.803165863504656</v>
      </c>
      <c r="N64">
        <f t="shared" si="3"/>
        <v>92.153165863504682</v>
      </c>
      <c r="O64">
        <f t="shared" si="4"/>
        <v>268.96612255778246</v>
      </c>
    </row>
    <row r="65" spans="1:15" x14ac:dyDescent="0.25">
      <c r="A65" s="1">
        <v>45751</v>
      </c>
      <c r="B65">
        <v>5074.08</v>
      </c>
      <c r="C65">
        <v>5075</v>
      </c>
      <c r="D65">
        <v>13</v>
      </c>
      <c r="E65">
        <v>42</v>
      </c>
      <c r="F65">
        <v>349.65</v>
      </c>
      <c r="G65">
        <v>478</v>
      </c>
      <c r="H65">
        <v>0.53935097671362786</v>
      </c>
      <c r="I65">
        <v>-0.46064902328637214</v>
      </c>
      <c r="J65">
        <v>-7.8701953427255722E-2</v>
      </c>
      <c r="K65">
        <f t="shared" si="0"/>
        <v>478</v>
      </c>
      <c r="L65">
        <f t="shared" si="1"/>
        <v>116</v>
      </c>
      <c r="M65">
        <f t="shared" si="2"/>
        <v>27.225904149214365</v>
      </c>
      <c r="N65">
        <f t="shared" si="3"/>
        <v>143.22590414921436</v>
      </c>
      <c r="O65">
        <f t="shared" si="4"/>
        <v>412.19202670699678</v>
      </c>
    </row>
    <row r="66" spans="1:15" x14ac:dyDescent="0.25">
      <c r="A66" s="1">
        <v>45754</v>
      </c>
      <c r="B66">
        <v>5062.25</v>
      </c>
      <c r="C66">
        <v>5060</v>
      </c>
      <c r="D66">
        <v>10</v>
      </c>
      <c r="E66">
        <v>39</v>
      </c>
      <c r="F66">
        <v>361</v>
      </c>
      <c r="G66">
        <v>485.95</v>
      </c>
      <c r="H66">
        <v>0.54046899708237817</v>
      </c>
      <c r="I66">
        <v>-0.45953100291762183</v>
      </c>
      <c r="J66">
        <v>-8.0937994164756333E-2</v>
      </c>
      <c r="K66">
        <f t="shared" si="0"/>
        <v>485.95</v>
      </c>
      <c r="L66">
        <f t="shared" si="1"/>
        <v>7.9499999999999886</v>
      </c>
      <c r="M66">
        <f t="shared" si="2"/>
        <v>0.93104410904442947</v>
      </c>
      <c r="N66">
        <f t="shared" si="3"/>
        <v>8.8810441090444172</v>
      </c>
      <c r="O66">
        <f t="shared" si="4"/>
        <v>421.0730708160412</v>
      </c>
    </row>
    <row r="67" spans="1:15" x14ac:dyDescent="0.25">
      <c r="A67" s="1">
        <v>45755</v>
      </c>
      <c r="B67">
        <v>4982.7700000000004</v>
      </c>
      <c r="C67">
        <v>4985</v>
      </c>
      <c r="D67">
        <v>9</v>
      </c>
      <c r="E67">
        <v>38</v>
      </c>
      <c r="F67">
        <v>359.15</v>
      </c>
      <c r="G67">
        <v>512.6</v>
      </c>
      <c r="H67">
        <v>0.53798541680478507</v>
      </c>
      <c r="I67">
        <v>-0.46201458319521493</v>
      </c>
      <c r="J67">
        <v>-7.5970833609570132E-2</v>
      </c>
      <c r="K67">
        <f t="shared" ref="K67:K130" si="5">IF(ABS(D67-30)&lt;ABS(E67-30), F67, G67)</f>
        <v>512.6</v>
      </c>
      <c r="L67">
        <f t="shared" si="1"/>
        <v>26.650000000000034</v>
      </c>
      <c r="M67">
        <f t="shared" si="2"/>
        <v>6.4329517762147983</v>
      </c>
      <c r="N67">
        <f t="shared" si="3"/>
        <v>33.082951776214834</v>
      </c>
      <c r="O67">
        <f t="shared" si="4"/>
        <v>454.15602259225602</v>
      </c>
    </row>
    <row r="68" spans="1:15" x14ac:dyDescent="0.25">
      <c r="A68" s="1">
        <v>45756</v>
      </c>
      <c r="B68">
        <v>5456.9</v>
      </c>
      <c r="C68">
        <v>5455</v>
      </c>
      <c r="D68">
        <v>8</v>
      </c>
      <c r="E68">
        <v>37</v>
      </c>
      <c r="F68">
        <v>220</v>
      </c>
      <c r="G68">
        <v>358.15000000000003</v>
      </c>
      <c r="H68">
        <v>0.53912379358867901</v>
      </c>
      <c r="I68">
        <v>-0.46087620641132099</v>
      </c>
      <c r="J68">
        <v>-7.8247587177358024E-2</v>
      </c>
      <c r="K68">
        <f t="shared" si="5"/>
        <v>358.15000000000003</v>
      </c>
      <c r="L68">
        <f t="shared" ref="L68:L131" si="6">K68 - K67</f>
        <v>-154.44999999999999</v>
      </c>
      <c r="M68">
        <f t="shared" ref="M68:M131" si="7">J67 * (B68 - B67)</f>
        <v>-36.020051339305425</v>
      </c>
      <c r="N68">
        <f t="shared" ref="N68:N131" si="8">L68 + M68</f>
        <v>-190.47005133930543</v>
      </c>
      <c r="O68">
        <f t="shared" ref="O68:O131" si="9">O67 + N68</f>
        <v>263.68597125295059</v>
      </c>
    </row>
    <row r="69" spans="1:15" x14ac:dyDescent="0.25">
      <c r="A69" s="1">
        <v>45757</v>
      </c>
      <c r="B69">
        <v>5268.05</v>
      </c>
      <c r="C69">
        <v>5270</v>
      </c>
      <c r="D69">
        <v>7</v>
      </c>
      <c r="E69">
        <v>36</v>
      </c>
      <c r="F69">
        <v>267.2</v>
      </c>
      <c r="G69">
        <v>444.9</v>
      </c>
      <c r="H69">
        <v>0.53561389945742488</v>
      </c>
      <c r="I69">
        <v>-0.46438610054257512</v>
      </c>
      <c r="J69">
        <v>-7.122779891484976E-2</v>
      </c>
      <c r="K69">
        <f t="shared" si="5"/>
        <v>444.9</v>
      </c>
      <c r="L69">
        <f t="shared" si="6"/>
        <v>86.749999999999943</v>
      </c>
      <c r="M69">
        <f t="shared" si="7"/>
        <v>14.77705683844402</v>
      </c>
      <c r="N69">
        <f t="shared" si="8"/>
        <v>101.52705683844397</v>
      </c>
      <c r="O69">
        <f t="shared" si="9"/>
        <v>365.21302809139456</v>
      </c>
    </row>
    <row r="70" spans="1:15" x14ac:dyDescent="0.25">
      <c r="A70" s="1">
        <v>45758</v>
      </c>
      <c r="B70">
        <v>5363.36</v>
      </c>
      <c r="C70">
        <v>5365</v>
      </c>
      <c r="D70">
        <v>6</v>
      </c>
      <c r="E70">
        <v>35</v>
      </c>
      <c r="F70">
        <v>211.10000000000002</v>
      </c>
      <c r="G70">
        <v>411.55</v>
      </c>
      <c r="H70">
        <v>0.53491162458682029</v>
      </c>
      <c r="I70">
        <v>-0.46508837541317971</v>
      </c>
      <c r="J70">
        <v>-6.9823249173640578E-2</v>
      </c>
      <c r="K70">
        <f t="shared" si="5"/>
        <v>411.55</v>
      </c>
      <c r="L70">
        <f t="shared" si="6"/>
        <v>-33.349999999999966</v>
      </c>
      <c r="M70">
        <f t="shared" si="7"/>
        <v>-6.7887215145742941</v>
      </c>
      <c r="N70">
        <f t="shared" si="8"/>
        <v>-40.138721514574257</v>
      </c>
      <c r="O70">
        <f t="shared" si="9"/>
        <v>325.07430657682028</v>
      </c>
    </row>
    <row r="71" spans="1:15" x14ac:dyDescent="0.25">
      <c r="A71" s="1">
        <v>45761</v>
      </c>
      <c r="B71">
        <v>5405.97</v>
      </c>
      <c r="C71">
        <v>5405</v>
      </c>
      <c r="D71">
        <v>3</v>
      </c>
      <c r="E71">
        <v>32</v>
      </c>
      <c r="F71">
        <v>122.2</v>
      </c>
      <c r="G71">
        <v>333.65000000000003</v>
      </c>
      <c r="H71">
        <v>0.53579580999590326</v>
      </c>
      <c r="I71">
        <v>-0.46420419000409674</v>
      </c>
      <c r="J71">
        <v>-7.1591619991806521E-2</v>
      </c>
      <c r="K71">
        <f t="shared" si="5"/>
        <v>333.65000000000003</v>
      </c>
      <c r="L71">
        <f t="shared" si="6"/>
        <v>-77.899999999999977</v>
      </c>
      <c r="M71">
        <f t="shared" si="7"/>
        <v>-2.9751686472888657</v>
      </c>
      <c r="N71">
        <f t="shared" si="8"/>
        <v>-80.875168647288845</v>
      </c>
      <c r="O71">
        <f t="shared" si="9"/>
        <v>244.19913792953145</v>
      </c>
    </row>
    <row r="72" spans="1:15" x14ac:dyDescent="0.25">
      <c r="A72" s="1">
        <v>45762</v>
      </c>
      <c r="B72">
        <v>5396.63</v>
      </c>
      <c r="C72">
        <v>5395</v>
      </c>
      <c r="D72">
        <v>2</v>
      </c>
      <c r="E72">
        <v>31</v>
      </c>
      <c r="F72">
        <v>77.55</v>
      </c>
      <c r="G72">
        <v>314.5</v>
      </c>
      <c r="H72">
        <v>0.53615783358041902</v>
      </c>
      <c r="I72">
        <v>-0.46384216641958098</v>
      </c>
      <c r="J72">
        <v>-7.2315667160838037E-2</v>
      </c>
      <c r="K72">
        <f t="shared" si="5"/>
        <v>314.5</v>
      </c>
      <c r="L72">
        <f t="shared" si="6"/>
        <v>-19.150000000000034</v>
      </c>
      <c r="M72">
        <f t="shared" si="7"/>
        <v>0.66866573072348334</v>
      </c>
      <c r="N72">
        <f t="shared" si="8"/>
        <v>-18.481334269276552</v>
      </c>
      <c r="O72">
        <f t="shared" si="9"/>
        <v>225.7178036602549</v>
      </c>
    </row>
    <row r="73" spans="1:15" x14ac:dyDescent="0.25">
      <c r="A73" s="1">
        <v>45763</v>
      </c>
      <c r="B73">
        <v>5275.7</v>
      </c>
      <c r="C73">
        <v>5275</v>
      </c>
      <c r="D73">
        <v>1</v>
      </c>
      <c r="E73">
        <v>30</v>
      </c>
      <c r="F73">
        <v>64.650000000000006</v>
      </c>
      <c r="G73">
        <v>341.9</v>
      </c>
      <c r="H73">
        <v>0.53414129258340259</v>
      </c>
      <c r="I73">
        <v>-0.46585870741659741</v>
      </c>
      <c r="J73">
        <v>-6.8282585166805188E-2</v>
      </c>
      <c r="K73">
        <f t="shared" si="5"/>
        <v>341.9</v>
      </c>
      <c r="L73">
        <f t="shared" si="6"/>
        <v>27.399999999999977</v>
      </c>
      <c r="M73">
        <f t="shared" si="7"/>
        <v>8.745133629760165</v>
      </c>
      <c r="N73">
        <f t="shared" si="8"/>
        <v>36.145133629760139</v>
      </c>
      <c r="O73">
        <f t="shared" si="9"/>
        <v>261.86293729001505</v>
      </c>
    </row>
    <row r="74" spans="1:15" x14ac:dyDescent="0.25">
      <c r="A74" s="1">
        <v>45764</v>
      </c>
      <c r="B74">
        <v>5282.7</v>
      </c>
      <c r="C74">
        <v>5285</v>
      </c>
      <c r="D74">
        <v>29</v>
      </c>
      <c r="E74">
        <v>64</v>
      </c>
      <c r="F74">
        <v>308.7</v>
      </c>
      <c r="G74">
        <v>436.2</v>
      </c>
      <c r="H74">
        <v>0.5307049296575439</v>
      </c>
      <c r="I74">
        <v>-0.4692950703424561</v>
      </c>
      <c r="J74">
        <v>-6.14098593150878E-2</v>
      </c>
      <c r="K74">
        <f t="shared" si="5"/>
        <v>308.7</v>
      </c>
      <c r="L74">
        <f t="shared" si="6"/>
        <v>-33.199999999999989</v>
      </c>
      <c r="M74">
        <f t="shared" si="7"/>
        <v>-0.47797809616763631</v>
      </c>
      <c r="N74">
        <f t="shared" si="8"/>
        <v>-33.677978096167628</v>
      </c>
      <c r="O74">
        <f t="shared" si="9"/>
        <v>228.18495919384742</v>
      </c>
    </row>
    <row r="75" spans="1:15" x14ac:dyDescent="0.25">
      <c r="A75" s="1">
        <v>45768</v>
      </c>
      <c r="B75">
        <v>5158.2</v>
      </c>
      <c r="C75">
        <v>5160</v>
      </c>
      <c r="D75">
        <v>25</v>
      </c>
      <c r="E75">
        <v>60</v>
      </c>
      <c r="F75">
        <v>328.3</v>
      </c>
      <c r="G75">
        <v>455.85</v>
      </c>
      <c r="H75">
        <v>0.52876733814375809</v>
      </c>
      <c r="I75">
        <v>-0.47123266185624191</v>
      </c>
      <c r="J75">
        <v>-5.7534676287516184E-2</v>
      </c>
      <c r="K75">
        <f t="shared" si="5"/>
        <v>328.3</v>
      </c>
      <c r="L75">
        <f t="shared" si="6"/>
        <v>19.600000000000023</v>
      </c>
      <c r="M75">
        <f t="shared" si="7"/>
        <v>7.6455274847284311</v>
      </c>
      <c r="N75">
        <f t="shared" si="8"/>
        <v>27.245527484728456</v>
      </c>
      <c r="O75">
        <f t="shared" si="9"/>
        <v>255.43048667857587</v>
      </c>
    </row>
    <row r="76" spans="1:15" x14ac:dyDescent="0.25">
      <c r="A76" s="1">
        <v>45769</v>
      </c>
      <c r="B76">
        <v>5287.76</v>
      </c>
      <c r="C76">
        <v>5290</v>
      </c>
      <c r="D76">
        <v>24</v>
      </c>
      <c r="E76">
        <v>59</v>
      </c>
      <c r="F76">
        <v>296.60000000000002</v>
      </c>
      <c r="G76">
        <v>428.9</v>
      </c>
      <c r="H76">
        <v>0.52754981958718217</v>
      </c>
      <c r="I76">
        <v>-0.47245018041281783</v>
      </c>
      <c r="J76">
        <v>-5.5099639174364334E-2</v>
      </c>
      <c r="K76">
        <f t="shared" si="5"/>
        <v>296.60000000000002</v>
      </c>
      <c r="L76">
        <f t="shared" si="6"/>
        <v>-31.699999999999989</v>
      </c>
      <c r="M76">
        <f t="shared" si="7"/>
        <v>-7.4541926598106203</v>
      </c>
      <c r="N76">
        <f t="shared" si="8"/>
        <v>-39.154192659810612</v>
      </c>
      <c r="O76">
        <f t="shared" si="9"/>
        <v>216.27629401876527</v>
      </c>
    </row>
    <row r="77" spans="1:15" x14ac:dyDescent="0.25">
      <c r="A77" s="1">
        <v>45770</v>
      </c>
      <c r="B77">
        <v>5375.86</v>
      </c>
      <c r="C77">
        <v>5375</v>
      </c>
      <c r="D77">
        <v>23</v>
      </c>
      <c r="E77">
        <v>58</v>
      </c>
      <c r="F77">
        <v>275.35000000000002</v>
      </c>
      <c r="G77">
        <v>410.4</v>
      </c>
      <c r="H77">
        <v>0.53060441253780088</v>
      </c>
      <c r="I77">
        <v>-0.46939558746219912</v>
      </c>
      <c r="J77">
        <v>-6.1208825075601769E-2</v>
      </c>
      <c r="K77">
        <f t="shared" si="5"/>
        <v>275.35000000000002</v>
      </c>
      <c r="L77">
        <f t="shared" si="6"/>
        <v>-21.25</v>
      </c>
      <c r="M77">
        <f t="shared" si="7"/>
        <v>-4.8542782112614677</v>
      </c>
      <c r="N77">
        <f t="shared" si="8"/>
        <v>-26.104278211261466</v>
      </c>
      <c r="O77">
        <f t="shared" si="9"/>
        <v>190.17201580750381</v>
      </c>
    </row>
    <row r="78" spans="1:15" x14ac:dyDescent="0.25">
      <c r="A78" s="1">
        <v>45771</v>
      </c>
      <c r="B78">
        <v>5484.77</v>
      </c>
      <c r="C78">
        <v>5485</v>
      </c>
      <c r="D78">
        <v>22</v>
      </c>
      <c r="E78">
        <v>57</v>
      </c>
      <c r="F78">
        <v>252.25</v>
      </c>
      <c r="G78">
        <v>385.3</v>
      </c>
      <c r="H78">
        <v>0.52907299094400873</v>
      </c>
      <c r="I78">
        <v>-0.47092700905599127</v>
      </c>
      <c r="J78">
        <v>-5.8145981888017451E-2</v>
      </c>
      <c r="K78">
        <f t="shared" si="5"/>
        <v>252.25</v>
      </c>
      <c r="L78">
        <f t="shared" si="6"/>
        <v>-23.100000000000023</v>
      </c>
      <c r="M78">
        <f t="shared" si="7"/>
        <v>-6.6662531389838353</v>
      </c>
      <c r="N78">
        <f t="shared" si="8"/>
        <v>-29.766253138983856</v>
      </c>
      <c r="O78">
        <f t="shared" si="9"/>
        <v>160.40576266851997</v>
      </c>
    </row>
    <row r="79" spans="1:15" x14ac:dyDescent="0.25">
      <c r="A79" s="1">
        <v>45772</v>
      </c>
      <c r="B79">
        <v>5525.21</v>
      </c>
      <c r="C79">
        <v>5525</v>
      </c>
      <c r="D79">
        <v>21</v>
      </c>
      <c r="E79">
        <v>56</v>
      </c>
      <c r="F79">
        <v>229.8</v>
      </c>
      <c r="G79">
        <v>364.8</v>
      </c>
      <c r="H79">
        <v>0.52950305610791015</v>
      </c>
      <c r="I79">
        <v>-0.47049694389208985</v>
      </c>
      <c r="J79">
        <v>-5.9006112215820306E-2</v>
      </c>
      <c r="K79">
        <f t="shared" si="5"/>
        <v>229.8</v>
      </c>
      <c r="L79">
        <f t="shared" si="6"/>
        <v>-22.449999999999989</v>
      </c>
      <c r="M79">
        <f t="shared" si="7"/>
        <v>-2.3514235075514023</v>
      </c>
      <c r="N79">
        <f t="shared" si="8"/>
        <v>-24.801423507551391</v>
      </c>
      <c r="O79">
        <f t="shared" si="9"/>
        <v>135.60433916096858</v>
      </c>
    </row>
    <row r="80" spans="1:15" x14ac:dyDescent="0.25">
      <c r="A80" s="1">
        <v>45775</v>
      </c>
      <c r="B80">
        <v>5528.75</v>
      </c>
      <c r="C80">
        <v>5530</v>
      </c>
      <c r="D80">
        <v>18</v>
      </c>
      <c r="E80">
        <v>53</v>
      </c>
      <c r="F80">
        <v>218.70000000000002</v>
      </c>
      <c r="G80">
        <v>358.1</v>
      </c>
      <c r="H80">
        <v>0.52543165457302421</v>
      </c>
      <c r="I80">
        <v>-0.47456834542697579</v>
      </c>
      <c r="J80">
        <v>-5.0863309146048419E-2</v>
      </c>
      <c r="K80">
        <f t="shared" si="5"/>
        <v>218.70000000000002</v>
      </c>
      <c r="L80">
        <f t="shared" si="6"/>
        <v>-11.099999999999994</v>
      </c>
      <c r="M80">
        <f t="shared" si="7"/>
        <v>-0.20888163724400174</v>
      </c>
      <c r="N80">
        <f t="shared" si="8"/>
        <v>-11.308881637243996</v>
      </c>
      <c r="O80">
        <f t="shared" si="9"/>
        <v>124.29545752372458</v>
      </c>
    </row>
    <row r="81" spans="1:15" x14ac:dyDescent="0.25">
      <c r="A81" s="1">
        <v>45776</v>
      </c>
      <c r="B81">
        <v>5560.83</v>
      </c>
      <c r="C81">
        <v>5560</v>
      </c>
      <c r="D81">
        <v>17</v>
      </c>
      <c r="E81">
        <v>52</v>
      </c>
      <c r="F81">
        <v>203.95</v>
      </c>
      <c r="G81">
        <v>348.59999999999997</v>
      </c>
      <c r="H81">
        <v>0.52819281605010193</v>
      </c>
      <c r="I81">
        <v>-0.47180718394989807</v>
      </c>
      <c r="J81">
        <v>-5.6385632100203864E-2</v>
      </c>
      <c r="K81">
        <f t="shared" si="5"/>
        <v>203.95</v>
      </c>
      <c r="L81">
        <f t="shared" si="6"/>
        <v>-14.750000000000028</v>
      </c>
      <c r="M81">
        <f t="shared" si="7"/>
        <v>-1.6316949574052295</v>
      </c>
      <c r="N81">
        <f t="shared" si="8"/>
        <v>-16.381694957405259</v>
      </c>
      <c r="O81">
        <f t="shared" si="9"/>
        <v>107.91376256631932</v>
      </c>
    </row>
    <row r="82" spans="1:15" x14ac:dyDescent="0.25">
      <c r="A82" s="1">
        <v>45777</v>
      </c>
      <c r="B82">
        <v>5569.06</v>
      </c>
      <c r="C82">
        <v>5570</v>
      </c>
      <c r="D82">
        <v>16</v>
      </c>
      <c r="E82">
        <v>51</v>
      </c>
      <c r="F82">
        <v>208</v>
      </c>
      <c r="G82">
        <v>357.35</v>
      </c>
      <c r="H82">
        <v>0.52421087588666526</v>
      </c>
      <c r="I82">
        <v>-0.47578912411333474</v>
      </c>
      <c r="J82">
        <v>-4.8421751773330524E-2</v>
      </c>
      <c r="K82">
        <f t="shared" si="5"/>
        <v>208</v>
      </c>
      <c r="L82">
        <f t="shared" si="6"/>
        <v>4.0500000000000114</v>
      </c>
      <c r="M82">
        <f t="shared" si="7"/>
        <v>-0.46405375218470446</v>
      </c>
      <c r="N82">
        <f t="shared" si="8"/>
        <v>3.5859462478153068</v>
      </c>
      <c r="O82">
        <f t="shared" si="9"/>
        <v>111.49970881413462</v>
      </c>
    </row>
    <row r="83" spans="1:15" x14ac:dyDescent="0.25">
      <c r="A83" s="1">
        <v>45778</v>
      </c>
      <c r="B83">
        <v>5604.14</v>
      </c>
      <c r="C83">
        <v>5605</v>
      </c>
      <c r="D83">
        <v>15</v>
      </c>
      <c r="E83">
        <v>50</v>
      </c>
      <c r="F83">
        <v>190.85</v>
      </c>
      <c r="G83">
        <v>341.75</v>
      </c>
      <c r="H83">
        <v>0.52358458830288956</v>
      </c>
      <c r="I83">
        <v>-0.47641541169711044</v>
      </c>
      <c r="J83">
        <v>-4.7169176605779128E-2</v>
      </c>
      <c r="K83">
        <f t="shared" si="5"/>
        <v>190.85</v>
      </c>
      <c r="L83">
        <f t="shared" si="6"/>
        <v>-17.150000000000006</v>
      </c>
      <c r="M83">
        <f t="shared" si="7"/>
        <v>-1.6986350522084313</v>
      </c>
      <c r="N83">
        <f t="shared" si="8"/>
        <v>-18.848635052208436</v>
      </c>
      <c r="O83">
        <f t="shared" si="9"/>
        <v>92.651073761926185</v>
      </c>
    </row>
    <row r="84" spans="1:15" x14ac:dyDescent="0.25">
      <c r="A84" s="1">
        <v>45779</v>
      </c>
      <c r="B84">
        <v>5686.67</v>
      </c>
      <c r="C84">
        <v>5685</v>
      </c>
      <c r="D84">
        <v>14</v>
      </c>
      <c r="E84">
        <v>49</v>
      </c>
      <c r="F84">
        <v>165.45</v>
      </c>
      <c r="G84">
        <v>321.09999999999997</v>
      </c>
      <c r="H84">
        <v>0.52864082356697473</v>
      </c>
      <c r="I84">
        <v>-0.47135917643302527</v>
      </c>
      <c r="J84">
        <v>-5.7281647133949454E-2</v>
      </c>
      <c r="K84">
        <f t="shared" si="5"/>
        <v>165.45</v>
      </c>
      <c r="L84">
        <f t="shared" si="6"/>
        <v>-25.400000000000006</v>
      </c>
      <c r="M84">
        <f t="shared" si="7"/>
        <v>-3.8928721452749393</v>
      </c>
      <c r="N84">
        <f t="shared" si="8"/>
        <v>-29.292872145274945</v>
      </c>
      <c r="O84">
        <f t="shared" si="9"/>
        <v>63.358201616651243</v>
      </c>
    </row>
    <row r="85" spans="1:15" x14ac:dyDescent="0.25">
      <c r="A85" s="1">
        <v>45782</v>
      </c>
      <c r="B85">
        <v>5650.38</v>
      </c>
      <c r="C85">
        <v>5650</v>
      </c>
      <c r="D85">
        <v>11</v>
      </c>
      <c r="E85">
        <v>46</v>
      </c>
      <c r="F85">
        <v>153.5</v>
      </c>
      <c r="G85">
        <v>317.45</v>
      </c>
      <c r="H85">
        <v>0.54512127783347353</v>
      </c>
      <c r="I85">
        <v>-0.45487872216652647</v>
      </c>
      <c r="J85">
        <v>-9.0242555666947055E-2</v>
      </c>
      <c r="K85">
        <f t="shared" si="5"/>
        <v>317.45</v>
      </c>
      <c r="L85">
        <f t="shared" si="6"/>
        <v>152</v>
      </c>
      <c r="M85">
        <f t="shared" si="7"/>
        <v>2.0787509744910238</v>
      </c>
      <c r="N85">
        <f t="shared" si="8"/>
        <v>154.07875097449102</v>
      </c>
      <c r="O85">
        <f t="shared" si="9"/>
        <v>217.43695259114224</v>
      </c>
    </row>
    <row r="86" spans="1:15" x14ac:dyDescent="0.25">
      <c r="A86" s="1">
        <v>45783</v>
      </c>
      <c r="B86">
        <v>5606.91</v>
      </c>
      <c r="C86">
        <v>5605</v>
      </c>
      <c r="D86">
        <v>10</v>
      </c>
      <c r="E86">
        <v>45</v>
      </c>
      <c r="F86">
        <v>158.30000000000001</v>
      </c>
      <c r="G86">
        <v>329.05</v>
      </c>
      <c r="H86">
        <v>0.54530588918246115</v>
      </c>
      <c r="I86">
        <v>-0.45469411081753885</v>
      </c>
      <c r="J86">
        <v>-9.0611778364922291E-2</v>
      </c>
      <c r="K86">
        <f t="shared" si="5"/>
        <v>329.05</v>
      </c>
      <c r="L86">
        <f t="shared" si="6"/>
        <v>11.600000000000023</v>
      </c>
      <c r="M86">
        <f t="shared" si="7"/>
        <v>3.9228438948422113</v>
      </c>
      <c r="N86">
        <f t="shared" si="8"/>
        <v>15.522843894842234</v>
      </c>
      <c r="O86">
        <f t="shared" si="9"/>
        <v>232.95979648598447</v>
      </c>
    </row>
    <row r="87" spans="1:15" x14ac:dyDescent="0.25">
      <c r="A87" s="1">
        <v>45784</v>
      </c>
      <c r="B87">
        <v>5631.28</v>
      </c>
      <c r="C87">
        <v>5630</v>
      </c>
      <c r="D87">
        <v>9</v>
      </c>
      <c r="E87">
        <v>44</v>
      </c>
      <c r="F87">
        <v>141.4</v>
      </c>
      <c r="G87">
        <v>312.45</v>
      </c>
      <c r="H87">
        <v>0.54458758743465618</v>
      </c>
      <c r="I87">
        <v>-0.45541241256534382</v>
      </c>
      <c r="J87">
        <v>-8.9175174869312368E-2</v>
      </c>
      <c r="K87">
        <f t="shared" si="5"/>
        <v>312.45</v>
      </c>
      <c r="L87">
        <f t="shared" si="6"/>
        <v>-16.600000000000023</v>
      </c>
      <c r="M87">
        <f t="shared" si="7"/>
        <v>-2.2082090387531466</v>
      </c>
      <c r="N87">
        <f t="shared" si="8"/>
        <v>-18.808209038753169</v>
      </c>
      <c r="O87">
        <f t="shared" si="9"/>
        <v>214.15158744723129</v>
      </c>
    </row>
    <row r="88" spans="1:15" x14ac:dyDescent="0.25">
      <c r="A88" s="1">
        <v>45785</v>
      </c>
      <c r="B88">
        <v>5663.94</v>
      </c>
      <c r="C88">
        <v>5665</v>
      </c>
      <c r="D88">
        <v>8</v>
      </c>
      <c r="E88">
        <v>43</v>
      </c>
      <c r="F88">
        <v>128.35</v>
      </c>
      <c r="G88">
        <v>298.25</v>
      </c>
      <c r="H88">
        <v>0.54231808455986563</v>
      </c>
      <c r="I88">
        <v>-0.45768191544013437</v>
      </c>
      <c r="J88">
        <v>-8.4636169119731264E-2</v>
      </c>
      <c r="K88">
        <f t="shared" si="5"/>
        <v>298.25</v>
      </c>
      <c r="L88">
        <f t="shared" si="6"/>
        <v>-14.199999999999989</v>
      </c>
      <c r="M88">
        <f t="shared" si="7"/>
        <v>-2.912461211231729</v>
      </c>
      <c r="N88">
        <f t="shared" si="8"/>
        <v>-17.112461211231718</v>
      </c>
      <c r="O88">
        <f t="shared" si="9"/>
        <v>197.03912623599956</v>
      </c>
    </row>
    <row r="89" spans="1:15" x14ac:dyDescent="0.25">
      <c r="A89" s="1">
        <v>45786</v>
      </c>
      <c r="B89">
        <v>5659.91</v>
      </c>
      <c r="C89">
        <v>5660</v>
      </c>
      <c r="D89">
        <v>7</v>
      </c>
      <c r="E89">
        <v>42</v>
      </c>
      <c r="F89">
        <v>120.75</v>
      </c>
      <c r="G89">
        <v>290.95000000000005</v>
      </c>
      <c r="H89">
        <v>0.54289020050187786</v>
      </c>
      <c r="I89">
        <v>-0.45710979949812214</v>
      </c>
      <c r="J89">
        <v>-8.5780401003755724E-2</v>
      </c>
      <c r="K89">
        <f t="shared" si="5"/>
        <v>290.95000000000005</v>
      </c>
      <c r="L89">
        <f t="shared" si="6"/>
        <v>-7.2999999999999545</v>
      </c>
      <c r="M89">
        <f t="shared" si="7"/>
        <v>0.34108376155249542</v>
      </c>
      <c r="N89">
        <f t="shared" si="8"/>
        <v>-6.9589162384474594</v>
      </c>
      <c r="O89">
        <f t="shared" si="9"/>
        <v>190.08020999755209</v>
      </c>
    </row>
    <row r="90" spans="1:15" x14ac:dyDescent="0.25">
      <c r="A90" s="1">
        <v>45789</v>
      </c>
      <c r="B90">
        <v>5844.19</v>
      </c>
      <c r="C90">
        <v>5845</v>
      </c>
      <c r="D90">
        <v>4</v>
      </c>
      <c r="E90">
        <v>39</v>
      </c>
      <c r="F90">
        <v>81.899999999999991</v>
      </c>
      <c r="G90">
        <v>235</v>
      </c>
      <c r="H90">
        <v>0.54572220777627656</v>
      </c>
      <c r="I90">
        <v>-0.45427779222372344</v>
      </c>
      <c r="J90">
        <v>-9.1444415552553115E-2</v>
      </c>
      <c r="K90">
        <f t="shared" si="5"/>
        <v>235</v>
      </c>
      <c r="L90">
        <f t="shared" si="6"/>
        <v>-55.950000000000045</v>
      </c>
      <c r="M90">
        <f t="shared" si="7"/>
        <v>-15.807612296972083</v>
      </c>
      <c r="N90">
        <f t="shared" si="8"/>
        <v>-71.757612296972127</v>
      </c>
      <c r="O90">
        <f t="shared" si="9"/>
        <v>118.32259770057996</v>
      </c>
    </row>
    <row r="91" spans="1:15" x14ac:dyDescent="0.25">
      <c r="A91" s="1">
        <v>45790</v>
      </c>
      <c r="B91">
        <v>5886.55</v>
      </c>
      <c r="C91">
        <v>5885</v>
      </c>
      <c r="D91">
        <v>3</v>
      </c>
      <c r="E91">
        <v>38</v>
      </c>
      <c r="F91">
        <v>64.849999999999994</v>
      </c>
      <c r="G91">
        <v>224.3</v>
      </c>
      <c r="H91">
        <v>0.5491509033185944</v>
      </c>
      <c r="I91">
        <v>-0.4508490966814056</v>
      </c>
      <c r="J91">
        <v>-9.8301806637188793E-2</v>
      </c>
      <c r="K91">
        <f t="shared" si="5"/>
        <v>224.3</v>
      </c>
      <c r="L91">
        <f t="shared" si="6"/>
        <v>-10.699999999999989</v>
      </c>
      <c r="M91">
        <f t="shared" si="7"/>
        <v>-3.8735854428062031</v>
      </c>
      <c r="N91">
        <f t="shared" si="8"/>
        <v>-14.573585442806191</v>
      </c>
      <c r="O91">
        <f t="shared" si="9"/>
        <v>103.74901225777377</v>
      </c>
    </row>
    <row r="92" spans="1:15" x14ac:dyDescent="0.25">
      <c r="A92" s="1">
        <v>45791</v>
      </c>
      <c r="B92">
        <v>5892.58</v>
      </c>
      <c r="C92">
        <v>5895</v>
      </c>
      <c r="D92">
        <v>2</v>
      </c>
      <c r="E92">
        <v>37</v>
      </c>
      <c r="F92">
        <v>50.5</v>
      </c>
      <c r="G92">
        <v>227.5</v>
      </c>
      <c r="H92">
        <v>0.54218416692582649</v>
      </c>
      <c r="I92">
        <v>-0.45781583307417351</v>
      </c>
      <c r="J92">
        <v>-8.4368333851652988E-2</v>
      </c>
      <c r="K92">
        <f t="shared" si="5"/>
        <v>227.5</v>
      </c>
      <c r="L92">
        <f t="shared" si="6"/>
        <v>3.1999999999999886</v>
      </c>
      <c r="M92">
        <f t="shared" si="7"/>
        <v>-0.5927598940222234</v>
      </c>
      <c r="N92">
        <f t="shared" si="8"/>
        <v>2.6072401059777652</v>
      </c>
      <c r="O92">
        <f t="shared" si="9"/>
        <v>106.35625236375154</v>
      </c>
    </row>
    <row r="93" spans="1:15" x14ac:dyDescent="0.25">
      <c r="A93" s="1">
        <v>45792</v>
      </c>
      <c r="B93">
        <v>5916.93</v>
      </c>
      <c r="C93">
        <v>5915</v>
      </c>
      <c r="D93">
        <v>1</v>
      </c>
      <c r="E93">
        <v>36</v>
      </c>
      <c r="F93">
        <v>27.799999999999997</v>
      </c>
      <c r="G93">
        <v>218.3</v>
      </c>
      <c r="H93">
        <v>0.54825702298759693</v>
      </c>
      <c r="I93">
        <v>-0.45174297701240307</v>
      </c>
      <c r="J93">
        <v>-9.6514045975193863E-2</v>
      </c>
      <c r="K93">
        <f t="shared" si="5"/>
        <v>218.3</v>
      </c>
      <c r="L93">
        <f t="shared" si="6"/>
        <v>-9.1999999999999886</v>
      </c>
      <c r="M93">
        <f t="shared" si="7"/>
        <v>-2.0543689292877811</v>
      </c>
      <c r="N93">
        <f t="shared" si="8"/>
        <v>-11.25436892928777</v>
      </c>
      <c r="O93">
        <f t="shared" si="9"/>
        <v>95.101883434463772</v>
      </c>
    </row>
    <row r="94" spans="1:15" x14ac:dyDescent="0.25">
      <c r="A94" s="1">
        <v>45793</v>
      </c>
      <c r="B94">
        <v>5958.38</v>
      </c>
      <c r="C94">
        <v>5960</v>
      </c>
      <c r="D94">
        <v>35</v>
      </c>
      <c r="E94">
        <v>63</v>
      </c>
      <c r="F94">
        <v>214.25</v>
      </c>
      <c r="G94">
        <v>300.10000000000002</v>
      </c>
      <c r="H94">
        <v>0.54269754034272255</v>
      </c>
      <c r="I94">
        <v>-0.45730245965727745</v>
      </c>
      <c r="J94">
        <v>-8.5395080685445102E-2</v>
      </c>
      <c r="K94">
        <f t="shared" si="5"/>
        <v>214.25</v>
      </c>
      <c r="L94">
        <f t="shared" si="6"/>
        <v>-4.0500000000000114</v>
      </c>
      <c r="M94">
        <f t="shared" si="7"/>
        <v>-4.0005072056717683</v>
      </c>
      <c r="N94">
        <f t="shared" si="8"/>
        <v>-8.0505072056717797</v>
      </c>
      <c r="O94">
        <f t="shared" si="9"/>
        <v>87.051376228791995</v>
      </c>
    </row>
    <row r="95" spans="1:15" x14ac:dyDescent="0.25">
      <c r="A95" s="1">
        <v>45796</v>
      </c>
      <c r="B95">
        <v>5963.6</v>
      </c>
      <c r="C95">
        <v>5965</v>
      </c>
      <c r="D95">
        <v>32</v>
      </c>
      <c r="E95">
        <v>60</v>
      </c>
      <c r="F95">
        <v>211.95000000000002</v>
      </c>
      <c r="G95">
        <v>301.60000000000002</v>
      </c>
      <c r="H95">
        <v>0.54060053919533613</v>
      </c>
      <c r="I95">
        <v>-0.45939946080466387</v>
      </c>
      <c r="J95">
        <v>-8.1201078390672254E-2</v>
      </c>
      <c r="K95">
        <f t="shared" si="5"/>
        <v>211.95000000000002</v>
      </c>
      <c r="L95">
        <f t="shared" si="6"/>
        <v>-2.2999999999999829</v>
      </c>
      <c r="M95">
        <f t="shared" si="7"/>
        <v>-0.44576232117804515</v>
      </c>
      <c r="N95">
        <f t="shared" si="8"/>
        <v>-2.7457623211780282</v>
      </c>
      <c r="O95">
        <f t="shared" si="9"/>
        <v>84.30561390761396</v>
      </c>
    </row>
    <row r="96" spans="1:15" x14ac:dyDescent="0.25">
      <c r="A96" s="1">
        <v>45797</v>
      </c>
      <c r="B96">
        <v>5940.46</v>
      </c>
      <c r="C96">
        <v>5940</v>
      </c>
      <c r="D96">
        <v>31</v>
      </c>
      <c r="E96">
        <v>59</v>
      </c>
      <c r="F96">
        <v>208.4</v>
      </c>
      <c r="G96">
        <v>299.8</v>
      </c>
      <c r="H96">
        <v>0.54227467046082545</v>
      </c>
      <c r="I96">
        <v>-0.45772532953917455</v>
      </c>
      <c r="J96">
        <v>-8.4549340921650895E-2</v>
      </c>
      <c r="K96">
        <f t="shared" si="5"/>
        <v>208.4</v>
      </c>
      <c r="L96">
        <f t="shared" si="6"/>
        <v>-3.5500000000000114</v>
      </c>
      <c r="M96">
        <f t="shared" si="7"/>
        <v>1.8789929539601826</v>
      </c>
      <c r="N96">
        <f t="shared" si="8"/>
        <v>-1.6710070460398287</v>
      </c>
      <c r="O96">
        <f t="shared" si="9"/>
        <v>82.634606861574127</v>
      </c>
    </row>
    <row r="97" spans="1:15" x14ac:dyDescent="0.25">
      <c r="A97" s="1">
        <v>45798</v>
      </c>
      <c r="B97">
        <v>5844.61</v>
      </c>
      <c r="C97">
        <v>5845</v>
      </c>
      <c r="D97">
        <v>30</v>
      </c>
      <c r="E97">
        <v>58</v>
      </c>
      <c r="F97">
        <v>230.39999999999998</v>
      </c>
      <c r="G97">
        <v>325</v>
      </c>
      <c r="H97">
        <v>0.53730219548881109</v>
      </c>
      <c r="I97">
        <v>-0.46269780451118891</v>
      </c>
      <c r="J97">
        <v>-7.460439097762217E-2</v>
      </c>
      <c r="K97">
        <f t="shared" si="5"/>
        <v>230.39999999999998</v>
      </c>
      <c r="L97">
        <f t="shared" si="6"/>
        <v>21.999999999999972</v>
      </c>
      <c r="M97">
        <f t="shared" si="7"/>
        <v>8.1040543273402683</v>
      </c>
      <c r="N97">
        <f t="shared" si="8"/>
        <v>30.10405432734024</v>
      </c>
      <c r="O97">
        <f t="shared" si="9"/>
        <v>112.73866118891436</v>
      </c>
    </row>
    <row r="98" spans="1:15" x14ac:dyDescent="0.25">
      <c r="A98" s="1">
        <v>45799</v>
      </c>
      <c r="B98">
        <v>5842.01</v>
      </c>
      <c r="C98">
        <v>5840</v>
      </c>
      <c r="D98">
        <v>29</v>
      </c>
      <c r="E98">
        <v>57</v>
      </c>
      <c r="F98">
        <v>223.45</v>
      </c>
      <c r="G98">
        <v>320.35000000000002</v>
      </c>
      <c r="H98">
        <v>0.54014439190361263</v>
      </c>
      <c r="I98">
        <v>-0.45985560809638737</v>
      </c>
      <c r="J98">
        <v>-8.0288783807225261E-2</v>
      </c>
      <c r="K98">
        <f t="shared" si="5"/>
        <v>223.45</v>
      </c>
      <c r="L98">
        <f t="shared" si="6"/>
        <v>-6.9499999999999886</v>
      </c>
      <c r="M98">
        <f t="shared" si="7"/>
        <v>0.19397141654177694</v>
      </c>
      <c r="N98">
        <f t="shared" si="8"/>
        <v>-6.7560285834582121</v>
      </c>
      <c r="O98">
        <f t="shared" si="9"/>
        <v>105.98263260545615</v>
      </c>
    </row>
    <row r="99" spans="1:15" x14ac:dyDescent="0.25">
      <c r="A99" s="1">
        <v>45800</v>
      </c>
      <c r="B99">
        <v>5802.82</v>
      </c>
      <c r="C99">
        <v>5805</v>
      </c>
      <c r="D99">
        <v>28</v>
      </c>
      <c r="E99">
        <v>56</v>
      </c>
      <c r="F99">
        <v>234.7</v>
      </c>
      <c r="G99">
        <v>335.9</v>
      </c>
      <c r="H99">
        <v>0.53242663751298225</v>
      </c>
      <c r="I99">
        <v>-0.46757336248701775</v>
      </c>
      <c r="J99">
        <v>-6.4853275025964496E-2</v>
      </c>
      <c r="K99">
        <f t="shared" si="5"/>
        <v>234.7</v>
      </c>
      <c r="L99">
        <f t="shared" si="6"/>
        <v>11.25</v>
      </c>
      <c r="M99">
        <f t="shared" si="7"/>
        <v>3.146517437405199</v>
      </c>
      <c r="N99">
        <f t="shared" si="8"/>
        <v>14.396517437405199</v>
      </c>
      <c r="O99">
        <f t="shared" si="9"/>
        <v>120.37915004286134</v>
      </c>
    </row>
    <row r="100" spans="1:15" x14ac:dyDescent="0.25">
      <c r="A100" s="1">
        <v>45804</v>
      </c>
      <c r="B100">
        <v>5921.54</v>
      </c>
      <c r="C100">
        <v>5920</v>
      </c>
      <c r="D100">
        <v>24</v>
      </c>
      <c r="E100">
        <v>52</v>
      </c>
      <c r="F100">
        <v>186</v>
      </c>
      <c r="G100">
        <v>286.3</v>
      </c>
      <c r="H100">
        <v>0.53883691746376861</v>
      </c>
      <c r="I100">
        <v>-0.46116308253623139</v>
      </c>
      <c r="J100">
        <v>-7.7673834927537211E-2</v>
      </c>
      <c r="K100">
        <f t="shared" si="5"/>
        <v>186</v>
      </c>
      <c r="L100">
        <f t="shared" si="6"/>
        <v>-48.699999999999989</v>
      </c>
      <c r="M100">
        <f t="shared" si="7"/>
        <v>-7.6993808110825217</v>
      </c>
      <c r="N100">
        <f t="shared" si="8"/>
        <v>-56.399380811082509</v>
      </c>
      <c r="O100">
        <f t="shared" si="9"/>
        <v>63.979769231778832</v>
      </c>
    </row>
    <row r="101" spans="1:15" x14ac:dyDescent="0.25">
      <c r="A101" s="1">
        <v>45805</v>
      </c>
      <c r="B101">
        <v>5888.55</v>
      </c>
      <c r="C101">
        <v>5890</v>
      </c>
      <c r="D101">
        <v>23</v>
      </c>
      <c r="E101">
        <v>51</v>
      </c>
      <c r="F101">
        <v>187.15</v>
      </c>
      <c r="G101">
        <v>290.64999999999998</v>
      </c>
      <c r="H101">
        <v>0.53252120838942318</v>
      </c>
      <c r="I101">
        <v>-0.46747879161057682</v>
      </c>
      <c r="J101">
        <v>-6.5042416778846368E-2</v>
      </c>
      <c r="K101">
        <f t="shared" si="5"/>
        <v>187.15</v>
      </c>
      <c r="L101">
        <f t="shared" si="6"/>
        <v>1.1500000000000057</v>
      </c>
      <c r="M101">
        <f t="shared" si="7"/>
        <v>2.5624598142594355</v>
      </c>
      <c r="N101">
        <f t="shared" si="8"/>
        <v>3.7124598142594412</v>
      </c>
      <c r="O101">
        <f t="shared" si="9"/>
        <v>67.692229046038278</v>
      </c>
    </row>
    <row r="102" spans="1:15" x14ac:dyDescent="0.25">
      <c r="A102" s="1">
        <v>45806</v>
      </c>
      <c r="B102">
        <v>5912.17</v>
      </c>
      <c r="C102">
        <v>5910</v>
      </c>
      <c r="D102">
        <v>22</v>
      </c>
      <c r="E102">
        <v>50</v>
      </c>
      <c r="F102">
        <v>180.2</v>
      </c>
      <c r="G102">
        <v>282.84999999999997</v>
      </c>
      <c r="H102">
        <v>0.53819483399437362</v>
      </c>
      <c r="I102">
        <v>-0.46180516600562638</v>
      </c>
      <c r="J102">
        <v>-7.6389667988747245E-2</v>
      </c>
      <c r="K102">
        <f t="shared" si="5"/>
        <v>180.2</v>
      </c>
      <c r="L102">
        <f t="shared" si="6"/>
        <v>-6.9500000000000171</v>
      </c>
      <c r="M102">
        <f t="shared" si="7"/>
        <v>-1.5363018843163441</v>
      </c>
      <c r="N102">
        <f t="shared" si="8"/>
        <v>-8.4863018843163616</v>
      </c>
      <c r="O102">
        <f t="shared" si="9"/>
        <v>59.205927161721917</v>
      </c>
    </row>
    <row r="103" spans="1:15" x14ac:dyDescent="0.25">
      <c r="A103" s="1">
        <v>45807</v>
      </c>
      <c r="B103">
        <v>5911.69</v>
      </c>
      <c r="C103">
        <v>5910</v>
      </c>
      <c r="D103">
        <v>21</v>
      </c>
      <c r="E103">
        <v>49</v>
      </c>
      <c r="F103">
        <v>172</v>
      </c>
      <c r="G103">
        <v>274.79999999999995</v>
      </c>
      <c r="H103">
        <v>0.53662029899868779</v>
      </c>
      <c r="I103">
        <v>-0.46337970100131221</v>
      </c>
      <c r="J103">
        <v>-7.3240597997375589E-2</v>
      </c>
      <c r="K103">
        <f t="shared" si="5"/>
        <v>172</v>
      </c>
      <c r="L103">
        <f t="shared" si="6"/>
        <v>-8.1999999999999886</v>
      </c>
      <c r="M103">
        <f t="shared" si="7"/>
        <v>3.6667040634634808E-2</v>
      </c>
      <c r="N103">
        <f t="shared" si="8"/>
        <v>-8.1633329593653539</v>
      </c>
      <c r="O103">
        <f t="shared" si="9"/>
        <v>51.042594202356561</v>
      </c>
    </row>
    <row r="104" spans="1:15" x14ac:dyDescent="0.25">
      <c r="A104" s="1">
        <v>45810</v>
      </c>
      <c r="B104">
        <v>5935.94</v>
      </c>
      <c r="C104">
        <v>5935</v>
      </c>
      <c r="D104">
        <v>18</v>
      </c>
      <c r="E104">
        <v>46</v>
      </c>
      <c r="F104">
        <v>160.25</v>
      </c>
      <c r="G104">
        <v>266.8</v>
      </c>
      <c r="H104">
        <v>0.53394838318227555</v>
      </c>
      <c r="I104">
        <v>-0.46605161681772445</v>
      </c>
      <c r="J104">
        <v>-6.7896766364551109E-2</v>
      </c>
      <c r="K104">
        <f t="shared" si="5"/>
        <v>160.25</v>
      </c>
      <c r="L104">
        <f t="shared" si="6"/>
        <v>-11.75</v>
      </c>
      <c r="M104">
        <f t="shared" si="7"/>
        <v>-1.776084501436358</v>
      </c>
      <c r="N104">
        <f t="shared" si="8"/>
        <v>-13.526084501436358</v>
      </c>
      <c r="O104">
        <f t="shared" si="9"/>
        <v>37.516509700920203</v>
      </c>
    </row>
    <row r="105" spans="1:15" x14ac:dyDescent="0.25">
      <c r="A105" s="1">
        <v>45811</v>
      </c>
      <c r="B105">
        <v>5970.37</v>
      </c>
      <c r="C105">
        <v>5970</v>
      </c>
      <c r="D105">
        <v>17</v>
      </c>
      <c r="E105">
        <v>45</v>
      </c>
      <c r="F105">
        <v>147.60000000000002</v>
      </c>
      <c r="G105">
        <v>254.75</v>
      </c>
      <c r="H105">
        <v>0.533090090471256</v>
      </c>
      <c r="I105">
        <v>-0.466909909528744</v>
      </c>
      <c r="J105">
        <v>-6.618018094251199E-2</v>
      </c>
      <c r="K105">
        <f t="shared" si="5"/>
        <v>147.60000000000002</v>
      </c>
      <c r="L105">
        <f t="shared" si="6"/>
        <v>-12.649999999999977</v>
      </c>
      <c r="M105">
        <f t="shared" si="7"/>
        <v>-2.3376856659315144</v>
      </c>
      <c r="N105">
        <f t="shared" si="8"/>
        <v>-14.987685665931492</v>
      </c>
      <c r="O105">
        <f t="shared" si="9"/>
        <v>22.528824034988709</v>
      </c>
    </row>
    <row r="106" spans="1:15" x14ac:dyDescent="0.25">
      <c r="A106" s="1">
        <v>45812</v>
      </c>
      <c r="B106">
        <v>5970.81</v>
      </c>
      <c r="C106">
        <v>5970</v>
      </c>
      <c r="D106">
        <v>16</v>
      </c>
      <c r="E106">
        <v>44</v>
      </c>
      <c r="F106">
        <v>141.60000000000002</v>
      </c>
      <c r="G106">
        <v>252.3</v>
      </c>
      <c r="H106">
        <v>0.55008991274777996</v>
      </c>
      <c r="I106">
        <v>-0.44991008725222004</v>
      </c>
      <c r="J106">
        <v>-0.10017982549555993</v>
      </c>
      <c r="K106">
        <f t="shared" si="5"/>
        <v>252.3</v>
      </c>
      <c r="L106">
        <f t="shared" si="6"/>
        <v>104.69999999999999</v>
      </c>
      <c r="M106">
        <f t="shared" si="7"/>
        <v>-2.9119279614738983E-2</v>
      </c>
      <c r="N106">
        <f t="shared" si="8"/>
        <v>104.67088072038526</v>
      </c>
      <c r="O106">
        <f t="shared" si="9"/>
        <v>127.19970475537397</v>
      </c>
    </row>
    <row r="107" spans="1:15" x14ac:dyDescent="0.25">
      <c r="A107" s="1">
        <v>45813</v>
      </c>
      <c r="B107">
        <v>5939.3</v>
      </c>
      <c r="C107">
        <v>5940</v>
      </c>
      <c r="D107">
        <v>15</v>
      </c>
      <c r="E107">
        <v>43</v>
      </c>
      <c r="F107">
        <v>142.9</v>
      </c>
      <c r="G107">
        <v>253.85</v>
      </c>
      <c r="H107">
        <v>0.54655828840936571</v>
      </c>
      <c r="I107">
        <v>-0.45344171159063429</v>
      </c>
      <c r="J107">
        <v>-9.3116576818731422E-2</v>
      </c>
      <c r="K107">
        <f t="shared" si="5"/>
        <v>253.85</v>
      </c>
      <c r="L107">
        <f t="shared" si="6"/>
        <v>1.5499999999999829</v>
      </c>
      <c r="M107">
        <f t="shared" si="7"/>
        <v>3.1566663013651151</v>
      </c>
      <c r="N107">
        <f t="shared" si="8"/>
        <v>4.7066663013650984</v>
      </c>
      <c r="O107">
        <f t="shared" si="9"/>
        <v>131.90637105673906</v>
      </c>
    </row>
    <row r="108" spans="1:15" x14ac:dyDescent="0.25">
      <c r="A108" s="1">
        <v>45814</v>
      </c>
      <c r="B108">
        <v>6000.36</v>
      </c>
      <c r="C108">
        <v>6000</v>
      </c>
      <c r="D108">
        <v>14</v>
      </c>
      <c r="E108">
        <v>42</v>
      </c>
      <c r="F108">
        <v>120.3</v>
      </c>
      <c r="G108">
        <v>234.65000000000003</v>
      </c>
      <c r="H108">
        <v>0.5499387892392793</v>
      </c>
      <c r="I108">
        <v>-0.4500612107607207</v>
      </c>
      <c r="J108">
        <v>-9.9877578478558604E-2</v>
      </c>
      <c r="K108">
        <f t="shared" si="5"/>
        <v>234.65000000000003</v>
      </c>
      <c r="L108">
        <f t="shared" si="6"/>
        <v>-19.19999999999996</v>
      </c>
      <c r="M108">
        <f t="shared" si="7"/>
        <v>-5.6856981805516931</v>
      </c>
      <c r="N108">
        <f t="shared" si="8"/>
        <v>-24.885698180551653</v>
      </c>
      <c r="O108">
        <f t="shared" si="9"/>
        <v>107.0206728761874</v>
      </c>
    </row>
    <row r="109" spans="1:15" x14ac:dyDescent="0.25">
      <c r="A109" s="1">
        <v>45817</v>
      </c>
      <c r="B109">
        <v>6005.88</v>
      </c>
      <c r="C109">
        <v>6005</v>
      </c>
      <c r="D109">
        <v>11</v>
      </c>
      <c r="E109">
        <v>39</v>
      </c>
      <c r="F109">
        <v>111.30000000000001</v>
      </c>
      <c r="G109">
        <v>226.65</v>
      </c>
      <c r="H109">
        <v>0.54895769050305088</v>
      </c>
      <c r="I109">
        <v>-0.45104230949694912</v>
      </c>
      <c r="J109">
        <v>-9.7915381006101754E-2</v>
      </c>
      <c r="K109">
        <f t="shared" si="5"/>
        <v>226.65</v>
      </c>
      <c r="L109">
        <f t="shared" si="6"/>
        <v>-8.0000000000000284</v>
      </c>
      <c r="M109">
        <f t="shared" si="7"/>
        <v>-0.55132423320168711</v>
      </c>
      <c r="N109">
        <f t="shared" si="8"/>
        <v>-8.551324233201715</v>
      </c>
      <c r="O109">
        <f t="shared" si="9"/>
        <v>98.469348642985693</v>
      </c>
    </row>
    <row r="110" spans="1:15" x14ac:dyDescent="0.25">
      <c r="A110" s="1">
        <v>45818</v>
      </c>
      <c r="B110">
        <v>6038.81</v>
      </c>
      <c r="C110">
        <v>6040</v>
      </c>
      <c r="D110">
        <v>10</v>
      </c>
      <c r="E110">
        <v>38</v>
      </c>
      <c r="F110">
        <v>103.75</v>
      </c>
      <c r="G110">
        <v>219.65</v>
      </c>
      <c r="H110">
        <v>0.54573305579268161</v>
      </c>
      <c r="I110">
        <v>-0.45426694420731839</v>
      </c>
      <c r="J110">
        <v>-9.1466111585363219E-2</v>
      </c>
      <c r="K110">
        <f t="shared" si="5"/>
        <v>219.65</v>
      </c>
      <c r="L110">
        <f t="shared" si="6"/>
        <v>-7</v>
      </c>
      <c r="M110">
        <f t="shared" si="7"/>
        <v>-3.2243534965309593</v>
      </c>
      <c r="N110">
        <f t="shared" si="8"/>
        <v>-10.224353496530959</v>
      </c>
      <c r="O110">
        <f t="shared" si="9"/>
        <v>88.244995146454727</v>
      </c>
    </row>
    <row r="111" spans="1:15" x14ac:dyDescent="0.25">
      <c r="A111" s="1">
        <v>45819</v>
      </c>
      <c r="B111">
        <v>6022.24</v>
      </c>
      <c r="C111">
        <v>6020</v>
      </c>
      <c r="D111">
        <v>9</v>
      </c>
      <c r="E111">
        <v>37</v>
      </c>
      <c r="F111">
        <v>100.4</v>
      </c>
      <c r="G111">
        <v>221.4</v>
      </c>
      <c r="H111">
        <v>0.54931277491305885</v>
      </c>
      <c r="I111">
        <v>-0.45068722508694115</v>
      </c>
      <c r="J111">
        <v>-9.8625549826117709E-2</v>
      </c>
      <c r="K111">
        <f t="shared" si="5"/>
        <v>221.4</v>
      </c>
      <c r="L111">
        <f t="shared" si="6"/>
        <v>1.75</v>
      </c>
      <c r="M111">
        <f t="shared" si="7"/>
        <v>1.5155934689695252</v>
      </c>
      <c r="N111">
        <f t="shared" si="8"/>
        <v>3.2655934689695254</v>
      </c>
      <c r="O111">
        <f t="shared" si="9"/>
        <v>91.510588615424254</v>
      </c>
    </row>
    <row r="112" spans="1:15" x14ac:dyDescent="0.25">
      <c r="A112" s="1">
        <v>45820</v>
      </c>
      <c r="B112">
        <v>6045.26</v>
      </c>
      <c r="C112">
        <v>6045</v>
      </c>
      <c r="D112">
        <v>8</v>
      </c>
      <c r="E112">
        <v>36</v>
      </c>
      <c r="F112">
        <v>92.449999999999989</v>
      </c>
      <c r="G112">
        <v>220.4</v>
      </c>
      <c r="H112">
        <v>0.54515630071824206</v>
      </c>
      <c r="I112">
        <v>-0.45484369928175794</v>
      </c>
      <c r="J112">
        <v>-9.0312601436484119E-2</v>
      </c>
      <c r="K112">
        <f t="shared" si="5"/>
        <v>220.4</v>
      </c>
      <c r="L112">
        <f t="shared" si="6"/>
        <v>-1</v>
      </c>
      <c r="M112">
        <f t="shared" si="7"/>
        <v>-2.2703601569972727</v>
      </c>
      <c r="N112">
        <f t="shared" si="8"/>
        <v>-3.2703601569972727</v>
      </c>
      <c r="O112">
        <f t="shared" si="9"/>
        <v>88.240228458426984</v>
      </c>
    </row>
    <row r="113" spans="1:15" x14ac:dyDescent="0.25">
      <c r="A113" s="1">
        <v>45821</v>
      </c>
      <c r="B113">
        <v>5976.97</v>
      </c>
      <c r="C113">
        <v>5975</v>
      </c>
      <c r="D113">
        <v>7</v>
      </c>
      <c r="E113">
        <v>35</v>
      </c>
      <c r="F113">
        <v>107.45</v>
      </c>
      <c r="G113">
        <v>244.2</v>
      </c>
      <c r="H113">
        <v>0.54353494767662403</v>
      </c>
      <c r="I113">
        <v>-0.45646505232337597</v>
      </c>
      <c r="J113">
        <v>-8.706989535324805E-2</v>
      </c>
      <c r="K113">
        <f t="shared" si="5"/>
        <v>244.2</v>
      </c>
      <c r="L113">
        <f t="shared" si="6"/>
        <v>23.799999999999983</v>
      </c>
      <c r="M113">
        <f t="shared" si="7"/>
        <v>6.1674475520974976</v>
      </c>
      <c r="N113">
        <f t="shared" si="8"/>
        <v>29.967447552097482</v>
      </c>
      <c r="O113">
        <f t="shared" si="9"/>
        <v>118.20767601052447</v>
      </c>
    </row>
    <row r="114" spans="1:15" x14ac:dyDescent="0.25">
      <c r="A114" s="1">
        <v>45824</v>
      </c>
      <c r="B114">
        <v>6033.11</v>
      </c>
      <c r="C114">
        <v>6035</v>
      </c>
      <c r="D114">
        <v>4</v>
      </c>
      <c r="E114">
        <v>32</v>
      </c>
      <c r="F114">
        <v>70.2</v>
      </c>
      <c r="G114">
        <v>211.55</v>
      </c>
      <c r="H114">
        <v>0.53914525191784901</v>
      </c>
      <c r="I114">
        <v>-0.46085474808215099</v>
      </c>
      <c r="J114">
        <v>-7.8290503835698022E-2</v>
      </c>
      <c r="K114">
        <f t="shared" si="5"/>
        <v>211.55</v>
      </c>
      <c r="L114">
        <f t="shared" si="6"/>
        <v>-32.649999999999977</v>
      </c>
      <c r="M114">
        <f t="shared" si="7"/>
        <v>-4.8881039251312952</v>
      </c>
      <c r="N114">
        <f t="shared" si="8"/>
        <v>-37.538103925131274</v>
      </c>
      <c r="O114">
        <f t="shared" si="9"/>
        <v>80.669572085393185</v>
      </c>
    </row>
    <row r="115" spans="1:15" x14ac:dyDescent="0.25">
      <c r="A115" s="1">
        <v>45825</v>
      </c>
      <c r="B115">
        <v>5982.72</v>
      </c>
      <c r="C115">
        <v>5985</v>
      </c>
      <c r="D115">
        <v>3</v>
      </c>
      <c r="E115">
        <v>31</v>
      </c>
      <c r="F115">
        <v>84.4</v>
      </c>
      <c r="G115">
        <v>234.7</v>
      </c>
      <c r="H115">
        <v>0.5352257510292443</v>
      </c>
      <c r="I115">
        <v>-0.4647742489707557</v>
      </c>
      <c r="J115">
        <v>-7.0451502058488602E-2</v>
      </c>
      <c r="K115">
        <f t="shared" si="5"/>
        <v>234.7</v>
      </c>
      <c r="L115">
        <f t="shared" si="6"/>
        <v>23.149999999999977</v>
      </c>
      <c r="M115">
        <f t="shared" si="7"/>
        <v>3.9450584882807775</v>
      </c>
      <c r="N115">
        <f t="shared" si="8"/>
        <v>27.095058488280756</v>
      </c>
      <c r="O115">
        <f t="shared" si="9"/>
        <v>107.76463057367394</v>
      </c>
    </row>
    <row r="116" spans="1:15" x14ac:dyDescent="0.25">
      <c r="A116" s="1">
        <v>45826</v>
      </c>
      <c r="B116">
        <v>5980.87</v>
      </c>
      <c r="C116">
        <v>5980</v>
      </c>
      <c r="D116">
        <v>2</v>
      </c>
      <c r="E116">
        <v>30</v>
      </c>
      <c r="F116">
        <v>49.6</v>
      </c>
      <c r="G116">
        <v>222.05</v>
      </c>
      <c r="H116">
        <v>0.5394933623496535</v>
      </c>
      <c r="I116">
        <v>-0.4605066376503465</v>
      </c>
      <c r="J116">
        <v>-7.8986724699307009E-2</v>
      </c>
      <c r="K116">
        <f t="shared" si="5"/>
        <v>222.05</v>
      </c>
      <c r="L116">
        <f t="shared" si="6"/>
        <v>-12.649999999999977</v>
      </c>
      <c r="M116">
        <f t="shared" si="7"/>
        <v>0.13033527880822954</v>
      </c>
      <c r="N116">
        <f t="shared" si="8"/>
        <v>-12.519664721191747</v>
      </c>
      <c r="O116">
        <f t="shared" si="9"/>
        <v>95.244965852482196</v>
      </c>
    </row>
    <row r="117" spans="1:15" x14ac:dyDescent="0.25">
      <c r="A117" s="1">
        <v>45828</v>
      </c>
      <c r="B117">
        <v>5967.84</v>
      </c>
      <c r="C117">
        <v>5970</v>
      </c>
      <c r="D117">
        <v>28</v>
      </c>
      <c r="E117">
        <v>56</v>
      </c>
      <c r="F117">
        <v>215.75</v>
      </c>
      <c r="G117">
        <v>316.09999999999997</v>
      </c>
      <c r="H117">
        <v>0.53375025081892447</v>
      </c>
      <c r="I117">
        <v>-0.46624974918107553</v>
      </c>
      <c r="J117">
        <v>-6.7500501637848931E-2</v>
      </c>
      <c r="K117">
        <f t="shared" si="5"/>
        <v>215.75</v>
      </c>
      <c r="L117">
        <f t="shared" si="6"/>
        <v>-6.3000000000000114</v>
      </c>
      <c r="M117">
        <f t="shared" si="7"/>
        <v>1.0291970228319502</v>
      </c>
      <c r="N117">
        <f t="shared" si="8"/>
        <v>-5.2708029771680609</v>
      </c>
      <c r="O117">
        <f t="shared" si="9"/>
        <v>89.974162875314136</v>
      </c>
    </row>
    <row r="118" spans="1:15" x14ac:dyDescent="0.25">
      <c r="A118" s="1">
        <v>45831</v>
      </c>
      <c r="B118">
        <v>6025.17</v>
      </c>
      <c r="C118">
        <v>6025</v>
      </c>
      <c r="D118">
        <v>25</v>
      </c>
      <c r="E118">
        <v>53</v>
      </c>
      <c r="F118">
        <v>191.10000000000002</v>
      </c>
      <c r="G118">
        <v>293.40000000000003</v>
      </c>
      <c r="H118">
        <v>0.53672395467035006</v>
      </c>
      <c r="I118">
        <v>-0.46327604532964994</v>
      </c>
      <c r="J118">
        <v>-7.3447909340700113E-2</v>
      </c>
      <c r="K118">
        <f t="shared" si="5"/>
        <v>191.10000000000002</v>
      </c>
      <c r="L118">
        <f t="shared" si="6"/>
        <v>-24.649999999999977</v>
      </c>
      <c r="M118">
        <f t="shared" si="7"/>
        <v>-3.8698037588978744</v>
      </c>
      <c r="N118">
        <f t="shared" si="8"/>
        <v>-28.519803758897851</v>
      </c>
      <c r="O118">
        <f t="shared" si="9"/>
        <v>61.454359116416285</v>
      </c>
    </row>
    <row r="119" spans="1:15" x14ac:dyDescent="0.25">
      <c r="A119" s="1">
        <v>45832</v>
      </c>
      <c r="B119">
        <v>6092.18</v>
      </c>
      <c r="C119">
        <v>6090</v>
      </c>
      <c r="D119">
        <v>24</v>
      </c>
      <c r="E119">
        <v>52</v>
      </c>
      <c r="F119">
        <v>169.89999999999998</v>
      </c>
      <c r="G119">
        <v>268</v>
      </c>
      <c r="H119">
        <v>0.54195098688314136</v>
      </c>
      <c r="I119">
        <v>-0.45804901311685864</v>
      </c>
      <c r="J119">
        <v>-8.3901973766282723E-2</v>
      </c>
      <c r="K119">
        <f t="shared" si="5"/>
        <v>169.89999999999998</v>
      </c>
      <c r="L119">
        <f t="shared" si="6"/>
        <v>-21.200000000000045</v>
      </c>
      <c r="M119">
        <f t="shared" si="7"/>
        <v>-4.9217444049203305</v>
      </c>
      <c r="N119">
        <f t="shared" si="8"/>
        <v>-26.121744404920378</v>
      </c>
      <c r="O119">
        <f t="shared" si="9"/>
        <v>35.332614711495907</v>
      </c>
    </row>
    <row r="120" spans="1:15" x14ac:dyDescent="0.25">
      <c r="A120" s="1">
        <v>45833</v>
      </c>
      <c r="B120">
        <v>6092.16</v>
      </c>
      <c r="C120">
        <v>6090</v>
      </c>
      <c r="D120">
        <v>23</v>
      </c>
      <c r="E120">
        <v>51</v>
      </c>
      <c r="F120">
        <v>162.79999999999998</v>
      </c>
      <c r="G120">
        <v>262.39999999999998</v>
      </c>
      <c r="H120">
        <v>0.54185574976613893</v>
      </c>
      <c r="I120">
        <v>-0.45814425023386107</v>
      </c>
      <c r="J120">
        <v>-8.3711499532277855E-2</v>
      </c>
      <c r="K120">
        <f t="shared" si="5"/>
        <v>162.79999999999998</v>
      </c>
      <c r="L120">
        <f t="shared" si="6"/>
        <v>-7.0999999999999943</v>
      </c>
      <c r="M120">
        <f t="shared" si="7"/>
        <v>1.6780394753622824E-3</v>
      </c>
      <c r="N120">
        <f t="shared" si="8"/>
        <v>-7.0983219605246317</v>
      </c>
      <c r="O120">
        <f t="shared" si="9"/>
        <v>28.234292750971274</v>
      </c>
    </row>
    <row r="121" spans="1:15" x14ac:dyDescent="0.25">
      <c r="A121" s="1">
        <v>45834</v>
      </c>
      <c r="B121">
        <v>6141.02</v>
      </c>
      <c r="C121">
        <v>6140</v>
      </c>
      <c r="D121">
        <v>22</v>
      </c>
      <c r="E121">
        <v>50</v>
      </c>
      <c r="F121">
        <v>155.10000000000002</v>
      </c>
      <c r="G121">
        <v>257.14999999999998</v>
      </c>
      <c r="H121">
        <v>0.53929028132063239</v>
      </c>
      <c r="I121">
        <v>-0.46070971867936761</v>
      </c>
      <c r="J121">
        <v>-7.8580562641264784E-2</v>
      </c>
      <c r="K121">
        <f t="shared" si="5"/>
        <v>155.10000000000002</v>
      </c>
      <c r="L121">
        <f t="shared" si="6"/>
        <v>-7.6999999999999602</v>
      </c>
      <c r="M121">
        <f t="shared" si="7"/>
        <v>-4.0901438671471446</v>
      </c>
      <c r="N121">
        <f t="shared" si="8"/>
        <v>-11.790143867147105</v>
      </c>
      <c r="O121">
        <f t="shared" si="9"/>
        <v>16.44414888382417</v>
      </c>
    </row>
    <row r="122" spans="1:15" x14ac:dyDescent="0.25">
      <c r="A122" s="1">
        <v>45835</v>
      </c>
      <c r="B122">
        <v>6173.07</v>
      </c>
      <c r="C122">
        <v>6175</v>
      </c>
      <c r="D122">
        <v>21</v>
      </c>
      <c r="E122">
        <v>49</v>
      </c>
      <c r="F122">
        <v>145.85</v>
      </c>
      <c r="G122">
        <v>254.35</v>
      </c>
      <c r="H122">
        <v>0.53302323543686392</v>
      </c>
      <c r="I122">
        <v>-0.46697676456313608</v>
      </c>
      <c r="J122">
        <v>-6.6046470873727836E-2</v>
      </c>
      <c r="K122">
        <f t="shared" si="5"/>
        <v>145.85</v>
      </c>
      <c r="L122">
        <f t="shared" si="6"/>
        <v>-9.2500000000000284</v>
      </c>
      <c r="M122">
        <f t="shared" si="7"/>
        <v>-2.518507032652479</v>
      </c>
      <c r="N122">
        <f t="shared" si="8"/>
        <v>-11.768507032652508</v>
      </c>
      <c r="O122">
        <f t="shared" si="9"/>
        <v>4.6756418511716618</v>
      </c>
    </row>
    <row r="123" spans="1:15" x14ac:dyDescent="0.25">
      <c r="A123" s="1">
        <v>45838</v>
      </c>
      <c r="B123">
        <v>6204.95</v>
      </c>
      <c r="C123">
        <v>6205</v>
      </c>
      <c r="D123">
        <v>18</v>
      </c>
      <c r="E123">
        <v>46</v>
      </c>
      <c r="F123">
        <v>140.25</v>
      </c>
      <c r="G123">
        <v>247.7</v>
      </c>
      <c r="H123">
        <v>0.53513386751223191</v>
      </c>
      <c r="I123">
        <v>-0.46486613248776809</v>
      </c>
      <c r="J123">
        <v>-7.0267735024463818E-2</v>
      </c>
      <c r="K123">
        <f t="shared" si="5"/>
        <v>140.25</v>
      </c>
      <c r="L123">
        <f t="shared" si="6"/>
        <v>-5.5999999999999943</v>
      </c>
      <c r="M123">
        <f t="shared" si="7"/>
        <v>-2.1055614914544507</v>
      </c>
      <c r="N123">
        <f t="shared" si="8"/>
        <v>-7.7055614914544446</v>
      </c>
      <c r="O123">
        <f t="shared" si="9"/>
        <v>-3.0299196402827828</v>
      </c>
    </row>
    <row r="124" spans="1:15" x14ac:dyDescent="0.25">
      <c r="A124" s="1">
        <v>45839</v>
      </c>
      <c r="B124">
        <v>6198.01</v>
      </c>
      <c r="C124">
        <v>6200</v>
      </c>
      <c r="D124">
        <v>17</v>
      </c>
      <c r="E124">
        <v>45</v>
      </c>
      <c r="F124">
        <v>137.19999999999999</v>
      </c>
      <c r="G124">
        <v>247.60000000000002</v>
      </c>
      <c r="H124">
        <v>0.52946041003693889</v>
      </c>
      <c r="I124">
        <v>-0.47053958996306111</v>
      </c>
      <c r="J124">
        <v>-5.8920820073877778E-2</v>
      </c>
      <c r="K124">
        <f t="shared" si="5"/>
        <v>137.19999999999999</v>
      </c>
      <c r="L124">
        <f t="shared" si="6"/>
        <v>-3.0500000000000114</v>
      </c>
      <c r="M124">
        <f t="shared" si="7"/>
        <v>0.48765808106975078</v>
      </c>
      <c r="N124">
        <f t="shared" si="8"/>
        <v>-2.5623419189302608</v>
      </c>
      <c r="O124">
        <f t="shared" si="9"/>
        <v>-5.5922615592130436</v>
      </c>
    </row>
    <row r="125" spans="1:15" x14ac:dyDescent="0.25">
      <c r="A125" s="1">
        <v>45840</v>
      </c>
      <c r="B125">
        <v>6227.42</v>
      </c>
      <c r="C125">
        <v>6225</v>
      </c>
      <c r="D125">
        <v>16</v>
      </c>
      <c r="E125">
        <v>44</v>
      </c>
      <c r="F125">
        <v>130.15</v>
      </c>
      <c r="G125">
        <v>243.95</v>
      </c>
      <c r="H125">
        <v>0.55461556868410056</v>
      </c>
      <c r="I125">
        <v>-0.44538443131589944</v>
      </c>
      <c r="J125">
        <v>-0.10923113736820111</v>
      </c>
      <c r="K125">
        <f t="shared" si="5"/>
        <v>243.95</v>
      </c>
      <c r="L125">
        <f t="shared" si="6"/>
        <v>106.75</v>
      </c>
      <c r="M125">
        <f t="shared" si="7"/>
        <v>-1.7328613183727368</v>
      </c>
      <c r="N125">
        <f t="shared" si="8"/>
        <v>105.01713868162726</v>
      </c>
      <c r="O125">
        <f t="shared" si="9"/>
        <v>99.424877122414216</v>
      </c>
    </row>
    <row r="126" spans="1:15" x14ac:dyDescent="0.25">
      <c r="A126" s="1">
        <v>45841</v>
      </c>
      <c r="B126">
        <v>6279.35</v>
      </c>
      <c r="C126">
        <v>6280</v>
      </c>
      <c r="D126">
        <v>15</v>
      </c>
      <c r="E126">
        <v>43</v>
      </c>
      <c r="F126">
        <v>122.25</v>
      </c>
      <c r="G126">
        <v>238.60000000000002</v>
      </c>
      <c r="H126">
        <v>0.55037781037229794</v>
      </c>
      <c r="I126">
        <v>-0.44962218962770206</v>
      </c>
      <c r="J126">
        <v>-0.10075562074459588</v>
      </c>
      <c r="K126">
        <f t="shared" si="5"/>
        <v>238.60000000000002</v>
      </c>
      <c r="L126">
        <f t="shared" si="6"/>
        <v>-5.3499999999999659</v>
      </c>
      <c r="M126">
        <f t="shared" si="7"/>
        <v>-5.6723729635307159</v>
      </c>
      <c r="N126">
        <f t="shared" si="8"/>
        <v>-11.022372963530682</v>
      </c>
      <c r="O126">
        <f t="shared" si="9"/>
        <v>88.402504158883531</v>
      </c>
    </row>
    <row r="127" spans="1:15" x14ac:dyDescent="0.25">
      <c r="A127" s="1">
        <v>45845</v>
      </c>
      <c r="B127">
        <v>6229.98</v>
      </c>
      <c r="C127">
        <v>6230</v>
      </c>
      <c r="D127">
        <v>11</v>
      </c>
      <c r="E127">
        <v>39</v>
      </c>
      <c r="F127">
        <v>117.69999999999999</v>
      </c>
      <c r="G127">
        <v>241.25</v>
      </c>
      <c r="H127">
        <v>0.54845865468058852</v>
      </c>
      <c r="I127">
        <v>-0.45154134531941148</v>
      </c>
      <c r="J127">
        <v>-9.691730936117704E-2</v>
      </c>
      <c r="K127">
        <f t="shared" si="5"/>
        <v>241.25</v>
      </c>
      <c r="L127">
        <f t="shared" si="6"/>
        <v>2.6499999999999773</v>
      </c>
      <c r="M127">
        <f t="shared" si="7"/>
        <v>4.9743049961607788</v>
      </c>
      <c r="N127">
        <f t="shared" si="8"/>
        <v>7.6243049961607561</v>
      </c>
      <c r="O127">
        <f t="shared" si="9"/>
        <v>96.02680915504429</v>
      </c>
    </row>
    <row r="128" spans="1:15" x14ac:dyDescent="0.25">
      <c r="A128" s="1">
        <v>45846</v>
      </c>
      <c r="B128">
        <v>6225.52</v>
      </c>
      <c r="C128">
        <v>6225</v>
      </c>
      <c r="D128">
        <v>10</v>
      </c>
      <c r="E128">
        <v>38</v>
      </c>
      <c r="F128">
        <v>99.55</v>
      </c>
      <c r="G128">
        <v>228.45</v>
      </c>
      <c r="H128">
        <v>0.5497274073966123</v>
      </c>
      <c r="I128">
        <v>-0.4502725926033877</v>
      </c>
      <c r="J128">
        <v>-9.94548147932246E-2</v>
      </c>
      <c r="K128">
        <f t="shared" si="5"/>
        <v>228.45</v>
      </c>
      <c r="L128">
        <f t="shared" si="6"/>
        <v>-12.800000000000011</v>
      </c>
      <c r="M128">
        <f t="shared" si="7"/>
        <v>0.43225119975076498</v>
      </c>
      <c r="N128">
        <f t="shared" si="8"/>
        <v>-12.367748800249247</v>
      </c>
      <c r="O128">
        <f t="shared" si="9"/>
        <v>83.659060354795045</v>
      </c>
    </row>
    <row r="129" spans="1:15" x14ac:dyDescent="0.25">
      <c r="A129" s="1">
        <v>45847</v>
      </c>
      <c r="B129">
        <v>6263.26</v>
      </c>
      <c r="C129">
        <v>6265</v>
      </c>
      <c r="D129">
        <v>9</v>
      </c>
      <c r="E129">
        <v>37</v>
      </c>
      <c r="F129">
        <v>85.6</v>
      </c>
      <c r="G129">
        <v>214</v>
      </c>
      <c r="H129">
        <v>0.54744958229820262</v>
      </c>
      <c r="I129">
        <v>-0.45255041770179738</v>
      </c>
      <c r="J129">
        <v>-9.4899164596405239E-2</v>
      </c>
      <c r="K129">
        <f t="shared" si="5"/>
        <v>214</v>
      </c>
      <c r="L129">
        <f t="shared" si="6"/>
        <v>-14.449999999999989</v>
      </c>
      <c r="M129">
        <f t="shared" si="7"/>
        <v>-3.7534247102962746</v>
      </c>
      <c r="N129">
        <f t="shared" si="8"/>
        <v>-18.203424710296265</v>
      </c>
      <c r="O129">
        <f t="shared" si="9"/>
        <v>65.455635644498784</v>
      </c>
    </row>
    <row r="130" spans="1:15" x14ac:dyDescent="0.25">
      <c r="A130" s="1">
        <v>45848</v>
      </c>
      <c r="B130">
        <v>6280.46</v>
      </c>
      <c r="C130">
        <v>6280</v>
      </c>
      <c r="D130">
        <v>8</v>
      </c>
      <c r="E130">
        <v>36</v>
      </c>
      <c r="F130">
        <v>76.95</v>
      </c>
      <c r="G130">
        <v>206.2</v>
      </c>
      <c r="H130">
        <v>0.55076982981330702</v>
      </c>
      <c r="I130">
        <v>-0.44923017018669298</v>
      </c>
      <c r="J130">
        <v>-0.10153965962661404</v>
      </c>
      <c r="K130">
        <f t="shared" si="5"/>
        <v>206.2</v>
      </c>
      <c r="L130">
        <f t="shared" si="6"/>
        <v>-7.8000000000000114</v>
      </c>
      <c r="M130">
        <f t="shared" si="7"/>
        <v>-1.6322656310581529</v>
      </c>
      <c r="N130">
        <f t="shared" si="8"/>
        <v>-9.432265631058165</v>
      </c>
      <c r="O130">
        <f t="shared" si="9"/>
        <v>56.023370013440619</v>
      </c>
    </row>
    <row r="131" spans="1:15" x14ac:dyDescent="0.25">
      <c r="A131" s="1">
        <v>45849</v>
      </c>
      <c r="B131">
        <v>6259.75</v>
      </c>
      <c r="C131">
        <v>6260</v>
      </c>
      <c r="D131">
        <v>7</v>
      </c>
      <c r="E131">
        <v>35</v>
      </c>
      <c r="F131">
        <v>74.7</v>
      </c>
      <c r="G131">
        <v>209.3</v>
      </c>
      <c r="H131">
        <v>0.54763713437962469</v>
      </c>
      <c r="I131">
        <v>-0.45236286562037531</v>
      </c>
      <c r="J131">
        <v>-9.5274268759249381E-2</v>
      </c>
      <c r="K131">
        <f t="shared" ref="K131:K194" si="10">IF(ABS(D131-30)&lt;ABS(E131-30), F131, G131)</f>
        <v>209.3</v>
      </c>
      <c r="L131">
        <f t="shared" si="6"/>
        <v>3.1000000000000227</v>
      </c>
      <c r="M131">
        <f t="shared" si="7"/>
        <v>2.1028863508671805</v>
      </c>
      <c r="N131">
        <f t="shared" si="8"/>
        <v>5.2028863508672032</v>
      </c>
      <c r="O131">
        <f t="shared" si="9"/>
        <v>61.226256364307822</v>
      </c>
    </row>
    <row r="132" spans="1:15" x14ac:dyDescent="0.25">
      <c r="A132" s="1">
        <v>45852</v>
      </c>
      <c r="B132">
        <v>6268.56</v>
      </c>
      <c r="C132">
        <v>6270</v>
      </c>
      <c r="D132">
        <v>4</v>
      </c>
      <c r="E132">
        <v>32</v>
      </c>
      <c r="F132">
        <v>64.45</v>
      </c>
      <c r="G132">
        <v>207.55</v>
      </c>
      <c r="H132">
        <v>0.5433700269247197</v>
      </c>
      <c r="I132">
        <v>-0.4566299730752803</v>
      </c>
      <c r="J132">
        <v>-8.6740053849439391E-2</v>
      </c>
      <c r="K132">
        <f t="shared" si="10"/>
        <v>207.55</v>
      </c>
      <c r="L132">
        <f t="shared" ref="L132:L195" si="11">K132 - K131</f>
        <v>-1.75</v>
      </c>
      <c r="M132">
        <f t="shared" ref="M132:M195" si="12">J131 * (B132 - B131)</f>
        <v>-0.83936630776902521</v>
      </c>
      <c r="N132">
        <f t="shared" ref="N132:N195" si="13">L132 + M132</f>
        <v>-2.5893663077690254</v>
      </c>
      <c r="O132">
        <f t="shared" ref="O132:O195" si="14">O131 + N132</f>
        <v>58.636890056538796</v>
      </c>
    </row>
    <row r="133" spans="1:15" x14ac:dyDescent="0.25">
      <c r="A133" s="1">
        <v>45853</v>
      </c>
      <c r="B133">
        <v>6243.76</v>
      </c>
      <c r="C133">
        <v>6245</v>
      </c>
      <c r="D133">
        <v>3</v>
      </c>
      <c r="E133">
        <v>31</v>
      </c>
      <c r="F133">
        <v>57.4</v>
      </c>
      <c r="G133">
        <v>207.25</v>
      </c>
      <c r="H133">
        <v>0.54208789680062663</v>
      </c>
      <c r="I133">
        <v>-0.45791210319937337</v>
      </c>
      <c r="J133">
        <v>-8.4175793601253268E-2</v>
      </c>
      <c r="K133">
        <f t="shared" si="10"/>
        <v>207.25</v>
      </c>
      <c r="L133">
        <f t="shared" si="11"/>
        <v>-0.30000000000001137</v>
      </c>
      <c r="M133">
        <f t="shared" si="12"/>
        <v>2.1511533354661125</v>
      </c>
      <c r="N133">
        <f t="shared" si="13"/>
        <v>1.8511533354661012</v>
      </c>
      <c r="O133">
        <f t="shared" si="14"/>
        <v>60.488043392004897</v>
      </c>
    </row>
    <row r="134" spans="1:15" x14ac:dyDescent="0.25">
      <c r="A134" s="1">
        <v>45854</v>
      </c>
      <c r="B134">
        <v>6263.7</v>
      </c>
      <c r="C134">
        <v>6265</v>
      </c>
      <c r="D134">
        <v>2</v>
      </c>
      <c r="E134">
        <v>30</v>
      </c>
      <c r="F134">
        <v>39.950000000000003</v>
      </c>
      <c r="G134">
        <v>200.15</v>
      </c>
      <c r="H134">
        <v>0.54177449728317439</v>
      </c>
      <c r="I134">
        <v>-0.45822550271682561</v>
      </c>
      <c r="J134">
        <v>-8.3548994566348789E-2</v>
      </c>
      <c r="K134">
        <f t="shared" si="10"/>
        <v>200.15</v>
      </c>
      <c r="L134">
        <f t="shared" si="11"/>
        <v>-7.0999999999999943</v>
      </c>
      <c r="M134">
        <f t="shared" si="12"/>
        <v>-1.6784653244089565</v>
      </c>
      <c r="N134">
        <f t="shared" si="13"/>
        <v>-8.7784653244089501</v>
      </c>
      <c r="O134">
        <f t="shared" si="14"/>
        <v>51.709578067595949</v>
      </c>
    </row>
    <row r="135" spans="1:15" x14ac:dyDescent="0.25">
      <c r="A135" s="1">
        <v>45855</v>
      </c>
      <c r="B135">
        <v>6297.36</v>
      </c>
      <c r="C135">
        <v>6295</v>
      </c>
      <c r="D135">
        <v>1</v>
      </c>
      <c r="E135">
        <v>29</v>
      </c>
      <c r="F135">
        <v>22.85</v>
      </c>
      <c r="G135">
        <v>189.64999999999998</v>
      </c>
      <c r="H135">
        <v>0.54836237074755934</v>
      </c>
      <c r="I135">
        <v>-0.45163762925244066</v>
      </c>
      <c r="J135">
        <v>-9.6724741495118671E-2</v>
      </c>
      <c r="K135">
        <f t="shared" si="10"/>
        <v>189.64999999999998</v>
      </c>
      <c r="L135">
        <f t="shared" si="11"/>
        <v>-10.500000000000028</v>
      </c>
      <c r="M135">
        <f t="shared" si="12"/>
        <v>-2.8122591571032882</v>
      </c>
      <c r="N135">
        <f t="shared" si="13"/>
        <v>-13.312259157103316</v>
      </c>
      <c r="O135">
        <f t="shared" si="14"/>
        <v>38.397318910492629</v>
      </c>
    </row>
    <row r="136" spans="1:15" x14ac:dyDescent="0.25">
      <c r="A136" s="1">
        <v>45856</v>
      </c>
      <c r="B136">
        <v>6296.79</v>
      </c>
      <c r="C136">
        <v>6295</v>
      </c>
      <c r="D136">
        <v>28</v>
      </c>
      <c r="E136">
        <v>63</v>
      </c>
      <c r="F136">
        <v>183.10000000000002</v>
      </c>
      <c r="G136">
        <v>298.5</v>
      </c>
      <c r="H136">
        <v>0.54667195218287001</v>
      </c>
      <c r="I136">
        <v>-0.45332804781712999</v>
      </c>
      <c r="J136">
        <v>-9.3343904365740027E-2</v>
      </c>
      <c r="K136">
        <f t="shared" si="10"/>
        <v>183.10000000000002</v>
      </c>
      <c r="L136">
        <f t="shared" si="11"/>
        <v>-6.5499999999999545</v>
      </c>
      <c r="M136">
        <f t="shared" si="12"/>
        <v>5.5133102652189493E-2</v>
      </c>
      <c r="N136">
        <f t="shared" si="13"/>
        <v>-6.494866897347765</v>
      </c>
      <c r="O136">
        <f t="shared" si="14"/>
        <v>31.902452013144863</v>
      </c>
    </row>
    <row r="137" spans="1:15" x14ac:dyDescent="0.25">
      <c r="A137" s="1">
        <v>45859</v>
      </c>
      <c r="B137">
        <v>6305.6</v>
      </c>
      <c r="C137">
        <v>6305</v>
      </c>
      <c r="D137">
        <v>25</v>
      </c>
      <c r="E137">
        <v>60</v>
      </c>
      <c r="F137">
        <v>174.7</v>
      </c>
      <c r="G137">
        <v>291</v>
      </c>
      <c r="H137">
        <v>0.54305437323770978</v>
      </c>
      <c r="I137">
        <v>-0.45694562676229022</v>
      </c>
      <c r="J137">
        <v>-8.6108746475419551E-2</v>
      </c>
      <c r="K137">
        <f t="shared" si="10"/>
        <v>174.7</v>
      </c>
      <c r="L137">
        <f t="shared" si="11"/>
        <v>-8.4000000000000341</v>
      </c>
      <c r="M137">
        <f t="shared" si="12"/>
        <v>-0.822359797462207</v>
      </c>
      <c r="N137">
        <f t="shared" si="13"/>
        <v>-9.2223597974622411</v>
      </c>
      <c r="O137">
        <f t="shared" si="14"/>
        <v>22.68009221568262</v>
      </c>
    </row>
    <row r="138" spans="1:15" x14ac:dyDescent="0.25">
      <c r="A138" s="1">
        <v>45860</v>
      </c>
      <c r="B138">
        <v>6309.62</v>
      </c>
      <c r="C138">
        <v>6310</v>
      </c>
      <c r="D138">
        <v>24</v>
      </c>
      <c r="E138">
        <v>59</v>
      </c>
      <c r="F138">
        <v>169</v>
      </c>
      <c r="G138">
        <v>284.8</v>
      </c>
      <c r="H138">
        <v>0.54041221333185807</v>
      </c>
      <c r="I138">
        <v>-0.45958778666814193</v>
      </c>
      <c r="J138">
        <v>-8.0824426663716142E-2</v>
      </c>
      <c r="K138">
        <f t="shared" si="10"/>
        <v>169</v>
      </c>
      <c r="L138">
        <f t="shared" si="11"/>
        <v>-5.6999999999999886</v>
      </c>
      <c r="M138">
        <f t="shared" si="12"/>
        <v>-0.34615716083114589</v>
      </c>
      <c r="N138">
        <f t="shared" si="13"/>
        <v>-6.0461571608311342</v>
      </c>
      <c r="O138">
        <f t="shared" si="14"/>
        <v>16.633935054851484</v>
      </c>
    </row>
    <row r="139" spans="1:15" x14ac:dyDescent="0.25">
      <c r="A139" s="1">
        <v>45861</v>
      </c>
      <c r="B139">
        <v>6358.91</v>
      </c>
      <c r="C139">
        <v>6360</v>
      </c>
      <c r="D139">
        <v>23</v>
      </c>
      <c r="E139">
        <v>58</v>
      </c>
      <c r="F139">
        <v>155.80000000000001</v>
      </c>
      <c r="G139">
        <v>271.7</v>
      </c>
      <c r="H139">
        <v>0.53985564579505063</v>
      </c>
      <c r="I139">
        <v>-0.46014435420494937</v>
      </c>
      <c r="J139">
        <v>-7.9711291590101263E-2</v>
      </c>
      <c r="K139">
        <f t="shared" si="10"/>
        <v>155.80000000000001</v>
      </c>
      <c r="L139">
        <f t="shared" si="11"/>
        <v>-13.199999999999989</v>
      </c>
      <c r="M139">
        <f t="shared" si="12"/>
        <v>-3.9838359902545659</v>
      </c>
      <c r="N139">
        <f t="shared" si="13"/>
        <v>-17.183835990254554</v>
      </c>
      <c r="O139">
        <f t="shared" si="14"/>
        <v>-0.54990093540306972</v>
      </c>
    </row>
    <row r="140" spans="1:15" x14ac:dyDescent="0.25">
      <c r="A140" s="1">
        <v>45862</v>
      </c>
      <c r="B140">
        <v>6363.35</v>
      </c>
      <c r="C140">
        <v>6365</v>
      </c>
      <c r="D140">
        <v>22</v>
      </c>
      <c r="E140">
        <v>57</v>
      </c>
      <c r="F140">
        <v>148.60000000000002</v>
      </c>
      <c r="G140">
        <v>264.95</v>
      </c>
      <c r="H140">
        <v>0.5379026428075343</v>
      </c>
      <c r="I140">
        <v>-0.4620973571924657</v>
      </c>
      <c r="J140">
        <v>-7.5805285615068607E-2</v>
      </c>
      <c r="K140">
        <f t="shared" si="10"/>
        <v>148.60000000000002</v>
      </c>
      <c r="L140">
        <f t="shared" si="11"/>
        <v>-7.1999999999999886</v>
      </c>
      <c r="M140">
        <f t="shared" si="12"/>
        <v>-0.3539181346600902</v>
      </c>
      <c r="N140">
        <f t="shared" si="13"/>
        <v>-7.553918134660079</v>
      </c>
      <c r="O140">
        <f t="shared" si="14"/>
        <v>-8.1038190700631496</v>
      </c>
    </row>
    <row r="141" spans="1:15" x14ac:dyDescent="0.25">
      <c r="A141" s="1">
        <v>45863</v>
      </c>
      <c r="B141">
        <v>6388.64</v>
      </c>
      <c r="C141">
        <v>6390</v>
      </c>
      <c r="D141">
        <v>21</v>
      </c>
      <c r="E141">
        <v>56</v>
      </c>
      <c r="F141">
        <v>138.5</v>
      </c>
      <c r="G141">
        <v>257.45000000000005</v>
      </c>
      <c r="H141">
        <v>0.5390347531169698</v>
      </c>
      <c r="I141">
        <v>-0.4609652468830302</v>
      </c>
      <c r="J141">
        <v>-7.8069506233939601E-2</v>
      </c>
      <c r="K141">
        <f t="shared" si="10"/>
        <v>138.5</v>
      </c>
      <c r="L141">
        <f t="shared" si="11"/>
        <v>-10.100000000000023</v>
      </c>
      <c r="M141">
        <f t="shared" si="12"/>
        <v>-1.9171156732050822</v>
      </c>
      <c r="N141">
        <f t="shared" si="13"/>
        <v>-12.017115673205105</v>
      </c>
      <c r="O141">
        <f t="shared" si="14"/>
        <v>-20.120934743268254</v>
      </c>
    </row>
    <row r="142" spans="1:15" x14ac:dyDescent="0.25">
      <c r="A142" s="1">
        <v>45866</v>
      </c>
      <c r="B142">
        <v>6389.77</v>
      </c>
      <c r="C142">
        <v>6390</v>
      </c>
      <c r="D142">
        <v>18</v>
      </c>
      <c r="E142">
        <v>53</v>
      </c>
      <c r="F142">
        <v>128.55000000000001</v>
      </c>
      <c r="G142">
        <v>247.20000000000002</v>
      </c>
      <c r="H142">
        <v>0.54003131731689535</v>
      </c>
      <c r="I142">
        <v>-0.45996868268310465</v>
      </c>
      <c r="J142">
        <v>-8.0062634633790708E-2</v>
      </c>
      <c r="K142">
        <f t="shared" si="10"/>
        <v>128.55000000000001</v>
      </c>
      <c r="L142">
        <f t="shared" si="11"/>
        <v>-9.9499999999999886</v>
      </c>
      <c r="M142">
        <f t="shared" si="12"/>
        <v>-8.8218542044360262E-2</v>
      </c>
      <c r="N142">
        <f t="shared" si="13"/>
        <v>-10.038218542044349</v>
      </c>
      <c r="O142">
        <f t="shared" si="14"/>
        <v>-30.159153285312605</v>
      </c>
    </row>
    <row r="143" spans="1:15" x14ac:dyDescent="0.25">
      <c r="A143" s="1">
        <v>45867</v>
      </c>
      <c r="B143">
        <v>6370.86</v>
      </c>
      <c r="C143">
        <v>6370</v>
      </c>
      <c r="D143">
        <v>17</v>
      </c>
      <c r="E143">
        <v>52</v>
      </c>
      <c r="F143">
        <v>132.10000000000002</v>
      </c>
      <c r="G143">
        <v>254</v>
      </c>
      <c r="H143">
        <v>0.53958854208024842</v>
      </c>
      <c r="I143">
        <v>-0.46041145791975158</v>
      </c>
      <c r="J143">
        <v>-7.9177084160496847E-2</v>
      </c>
      <c r="K143">
        <f t="shared" si="10"/>
        <v>132.10000000000002</v>
      </c>
      <c r="L143">
        <f t="shared" si="11"/>
        <v>3.5500000000000114</v>
      </c>
      <c r="M143">
        <f t="shared" si="12"/>
        <v>1.5139844209250435</v>
      </c>
      <c r="N143">
        <f t="shared" si="13"/>
        <v>5.0639844209250544</v>
      </c>
      <c r="O143">
        <f t="shared" si="14"/>
        <v>-25.095168864387553</v>
      </c>
    </row>
    <row r="144" spans="1:15" x14ac:dyDescent="0.25">
      <c r="A144" s="1">
        <v>45868</v>
      </c>
      <c r="B144">
        <v>6362.9</v>
      </c>
      <c r="C144">
        <v>6365</v>
      </c>
      <c r="D144">
        <v>16</v>
      </c>
      <c r="E144">
        <v>51</v>
      </c>
      <c r="F144">
        <v>131.44999999999999</v>
      </c>
      <c r="G144">
        <v>255.15</v>
      </c>
      <c r="H144">
        <v>0.53134532584218852</v>
      </c>
      <c r="I144">
        <v>-0.46865467415781148</v>
      </c>
      <c r="J144">
        <v>-6.2690651684377041E-2</v>
      </c>
      <c r="K144">
        <f t="shared" si="10"/>
        <v>131.44999999999999</v>
      </c>
      <c r="L144">
        <f t="shared" si="11"/>
        <v>-0.65000000000003411</v>
      </c>
      <c r="M144">
        <f t="shared" si="12"/>
        <v>0.63024958991755775</v>
      </c>
      <c r="N144">
        <f t="shared" si="13"/>
        <v>-1.9750410082476355E-2</v>
      </c>
      <c r="O144">
        <f t="shared" si="14"/>
        <v>-25.114919274470029</v>
      </c>
    </row>
    <row r="145" spans="1:15" x14ac:dyDescent="0.25">
      <c r="A145" s="1">
        <v>45869</v>
      </c>
      <c r="B145">
        <v>6339.39</v>
      </c>
      <c r="C145">
        <v>6340</v>
      </c>
      <c r="D145">
        <v>15</v>
      </c>
      <c r="E145">
        <v>50</v>
      </c>
      <c r="F145">
        <v>130</v>
      </c>
      <c r="G145">
        <v>254.05</v>
      </c>
      <c r="H145">
        <v>0.53205535601259346</v>
      </c>
      <c r="I145">
        <v>-0.46794464398740654</v>
      </c>
      <c r="J145">
        <v>-6.4110712025186922E-2</v>
      </c>
      <c r="K145">
        <f t="shared" si="10"/>
        <v>130</v>
      </c>
      <c r="L145">
        <f t="shared" si="11"/>
        <v>-1.4499999999999886</v>
      </c>
      <c r="M145">
        <f t="shared" si="12"/>
        <v>1.473857221099661</v>
      </c>
      <c r="N145">
        <f t="shared" si="13"/>
        <v>2.3857221099672365E-2</v>
      </c>
      <c r="O145">
        <f t="shared" si="14"/>
        <v>-25.091062053370358</v>
      </c>
    </row>
    <row r="146" spans="1:15" x14ac:dyDescent="0.25">
      <c r="A146" s="1">
        <v>45870</v>
      </c>
      <c r="B146">
        <v>6238.01</v>
      </c>
      <c r="C146">
        <v>6240</v>
      </c>
      <c r="D146">
        <v>14</v>
      </c>
      <c r="E146">
        <v>49</v>
      </c>
      <c r="F146">
        <v>155.29999999999998</v>
      </c>
      <c r="G146">
        <v>285.89999999999998</v>
      </c>
      <c r="H146">
        <v>0.52333473510140727</v>
      </c>
      <c r="I146">
        <v>-0.47666526489859273</v>
      </c>
      <c r="J146">
        <v>-4.6669470202814534E-2</v>
      </c>
      <c r="K146">
        <f t="shared" si="10"/>
        <v>155.29999999999998</v>
      </c>
      <c r="L146">
        <f t="shared" si="11"/>
        <v>25.299999999999983</v>
      </c>
      <c r="M146">
        <f t="shared" si="12"/>
        <v>6.4995439851134575</v>
      </c>
      <c r="N146">
        <f t="shared" si="13"/>
        <v>31.799543985113441</v>
      </c>
      <c r="O146">
        <f t="shared" si="14"/>
        <v>6.7084819317430835</v>
      </c>
    </row>
    <row r="147" spans="1:15" x14ac:dyDescent="0.25">
      <c r="A147" s="1">
        <v>45873</v>
      </c>
      <c r="B147">
        <v>6329.94</v>
      </c>
      <c r="C147">
        <v>6330</v>
      </c>
      <c r="D147">
        <v>11</v>
      </c>
      <c r="E147">
        <v>46</v>
      </c>
      <c r="F147">
        <v>116.35000000000001</v>
      </c>
      <c r="G147">
        <v>251.45</v>
      </c>
      <c r="H147">
        <v>0.55530204965051944</v>
      </c>
      <c r="I147">
        <v>-0.44469795034948056</v>
      </c>
      <c r="J147">
        <v>-0.11060409930103887</v>
      </c>
      <c r="K147">
        <f t="shared" si="10"/>
        <v>251.45</v>
      </c>
      <c r="L147">
        <f t="shared" si="11"/>
        <v>96.15</v>
      </c>
      <c r="M147">
        <f t="shared" si="12"/>
        <v>-4.2903243957447108</v>
      </c>
      <c r="N147">
        <f t="shared" si="13"/>
        <v>91.859675604255301</v>
      </c>
      <c r="O147">
        <f t="shared" si="14"/>
        <v>98.568157535998381</v>
      </c>
    </row>
    <row r="148" spans="1:15" x14ac:dyDescent="0.25">
      <c r="A148" s="1">
        <v>45874</v>
      </c>
      <c r="B148">
        <v>6299.19</v>
      </c>
      <c r="C148">
        <v>6300</v>
      </c>
      <c r="D148">
        <v>10</v>
      </c>
      <c r="E148">
        <v>45</v>
      </c>
      <c r="F148">
        <v>116.1</v>
      </c>
      <c r="G148">
        <v>255.25</v>
      </c>
      <c r="H148">
        <v>0.55158914411885751</v>
      </c>
      <c r="I148">
        <v>-0.44841085588114249</v>
      </c>
      <c r="J148">
        <v>-0.10317828823771502</v>
      </c>
      <c r="K148">
        <f t="shared" si="10"/>
        <v>255.25</v>
      </c>
      <c r="L148">
        <f t="shared" si="11"/>
        <v>3.8000000000000114</v>
      </c>
      <c r="M148">
        <f t="shared" si="12"/>
        <v>3.4010760535069453</v>
      </c>
      <c r="N148">
        <f t="shared" si="13"/>
        <v>7.2010760535069567</v>
      </c>
      <c r="O148">
        <f t="shared" si="14"/>
        <v>105.76923358950533</v>
      </c>
    </row>
    <row r="149" spans="1:15" x14ac:dyDescent="0.25">
      <c r="A149" s="1">
        <v>45875</v>
      </c>
      <c r="B149">
        <v>6345.06</v>
      </c>
      <c r="C149">
        <v>6345</v>
      </c>
      <c r="D149">
        <v>9</v>
      </c>
      <c r="E149">
        <v>44</v>
      </c>
      <c r="F149">
        <v>98.4</v>
      </c>
      <c r="G149">
        <v>239.39999999999998</v>
      </c>
      <c r="H149">
        <v>0.55406717251400806</v>
      </c>
      <c r="I149">
        <v>-0.44593282748599194</v>
      </c>
      <c r="J149">
        <v>-0.10813434502801611</v>
      </c>
      <c r="K149">
        <f t="shared" si="10"/>
        <v>239.39999999999998</v>
      </c>
      <c r="L149">
        <f t="shared" si="11"/>
        <v>-15.850000000000023</v>
      </c>
      <c r="M149">
        <f t="shared" si="12"/>
        <v>-4.7327880814640704</v>
      </c>
      <c r="N149">
        <f t="shared" si="13"/>
        <v>-20.582788081464095</v>
      </c>
      <c r="O149">
        <f t="shared" si="14"/>
        <v>85.186445508041231</v>
      </c>
    </row>
    <row r="150" spans="1:15" x14ac:dyDescent="0.25">
      <c r="A150" s="1">
        <v>45876</v>
      </c>
      <c r="B150">
        <v>6340</v>
      </c>
      <c r="C150">
        <v>6340</v>
      </c>
      <c r="D150">
        <v>8</v>
      </c>
      <c r="E150">
        <v>43</v>
      </c>
      <c r="F150">
        <v>94.1</v>
      </c>
      <c r="G150">
        <v>237</v>
      </c>
      <c r="H150">
        <v>0.55277752831289606</v>
      </c>
      <c r="I150">
        <v>-0.44722247168710394</v>
      </c>
      <c r="J150">
        <v>-0.10555505662579212</v>
      </c>
      <c r="K150">
        <f t="shared" si="10"/>
        <v>237</v>
      </c>
      <c r="L150">
        <f t="shared" si="11"/>
        <v>-2.3999999999999773</v>
      </c>
      <c r="M150">
        <f t="shared" si="12"/>
        <v>0.5471597858418048</v>
      </c>
      <c r="N150">
        <f t="shared" si="13"/>
        <v>-1.8528402141581726</v>
      </c>
      <c r="O150">
        <f t="shared" si="14"/>
        <v>83.333605293883053</v>
      </c>
    </row>
    <row r="151" spans="1:15" x14ac:dyDescent="0.25">
      <c r="A151" s="1">
        <v>45877</v>
      </c>
      <c r="B151">
        <v>6389.45</v>
      </c>
      <c r="C151">
        <v>6390</v>
      </c>
      <c r="D151">
        <v>7</v>
      </c>
      <c r="E151">
        <v>42</v>
      </c>
      <c r="F151">
        <v>76.3</v>
      </c>
      <c r="G151">
        <v>218.65</v>
      </c>
      <c r="H151">
        <v>0.55411551367553913</v>
      </c>
      <c r="I151">
        <v>-0.44588448632446087</v>
      </c>
      <c r="J151">
        <v>-0.10823102735107826</v>
      </c>
      <c r="K151">
        <f t="shared" si="10"/>
        <v>218.65</v>
      </c>
      <c r="L151">
        <f t="shared" si="11"/>
        <v>-18.349999999999994</v>
      </c>
      <c r="M151">
        <f t="shared" si="12"/>
        <v>-5.2196975501454013</v>
      </c>
      <c r="N151">
        <f t="shared" si="13"/>
        <v>-23.569697550145396</v>
      </c>
      <c r="O151">
        <f t="shared" si="14"/>
        <v>59.763907743737661</v>
      </c>
    </row>
    <row r="152" spans="1:15" x14ac:dyDescent="0.25">
      <c r="A152" s="1">
        <v>45880</v>
      </c>
      <c r="B152">
        <v>6373.45</v>
      </c>
      <c r="C152">
        <v>6375</v>
      </c>
      <c r="D152">
        <v>4</v>
      </c>
      <c r="E152">
        <v>39</v>
      </c>
      <c r="F152">
        <v>73</v>
      </c>
      <c r="G152">
        <v>218.64999999999998</v>
      </c>
      <c r="H152">
        <v>0.55001923998287849</v>
      </c>
      <c r="I152">
        <v>-0.44998076001712151</v>
      </c>
      <c r="J152">
        <v>-0.10003847996575699</v>
      </c>
      <c r="K152">
        <f t="shared" si="10"/>
        <v>218.64999999999998</v>
      </c>
      <c r="L152">
        <f t="shared" si="11"/>
        <v>0</v>
      </c>
      <c r="M152">
        <f t="shared" si="12"/>
        <v>1.7316964376172521</v>
      </c>
      <c r="N152">
        <f t="shared" si="13"/>
        <v>1.7316964376172521</v>
      </c>
      <c r="O152">
        <f t="shared" si="14"/>
        <v>61.495604181354913</v>
      </c>
    </row>
    <row r="153" spans="1:15" x14ac:dyDescent="0.25">
      <c r="A153" s="1">
        <v>45881</v>
      </c>
      <c r="B153">
        <v>6445.76</v>
      </c>
      <c r="C153">
        <v>6445</v>
      </c>
      <c r="D153">
        <v>3</v>
      </c>
      <c r="E153">
        <v>38</v>
      </c>
      <c r="F153">
        <v>44.099999999999994</v>
      </c>
      <c r="G153">
        <v>199</v>
      </c>
      <c r="H153">
        <v>0.55544032398529608</v>
      </c>
      <c r="I153">
        <v>-0.44455967601470392</v>
      </c>
      <c r="J153">
        <v>-0.11088064797059216</v>
      </c>
      <c r="K153">
        <f t="shared" si="10"/>
        <v>199</v>
      </c>
      <c r="L153">
        <f t="shared" si="11"/>
        <v>-19.649999999999977</v>
      </c>
      <c r="M153">
        <f t="shared" si="12"/>
        <v>-7.2337824863239275</v>
      </c>
      <c r="N153">
        <f t="shared" si="13"/>
        <v>-26.883782486323906</v>
      </c>
      <c r="O153">
        <f t="shared" si="14"/>
        <v>34.611821695031011</v>
      </c>
    </row>
    <row r="154" spans="1:15" x14ac:dyDescent="0.25">
      <c r="A154" s="1">
        <v>45882</v>
      </c>
      <c r="B154">
        <v>6466.58</v>
      </c>
      <c r="C154">
        <v>6465</v>
      </c>
      <c r="D154">
        <v>2</v>
      </c>
      <c r="E154">
        <v>37</v>
      </c>
      <c r="F154">
        <v>35</v>
      </c>
      <c r="G154">
        <v>192.55</v>
      </c>
      <c r="H154">
        <v>0.55665913379240628</v>
      </c>
      <c r="I154">
        <v>-0.44334086620759372</v>
      </c>
      <c r="J154">
        <v>-0.11331826758481256</v>
      </c>
      <c r="K154">
        <f t="shared" si="10"/>
        <v>192.55</v>
      </c>
      <c r="L154">
        <f t="shared" si="11"/>
        <v>-6.4499999999999886</v>
      </c>
      <c r="M154">
        <f t="shared" si="12"/>
        <v>-2.3085350907476965</v>
      </c>
      <c r="N154">
        <f t="shared" si="13"/>
        <v>-8.7585350907476851</v>
      </c>
      <c r="O154">
        <f t="shared" si="14"/>
        <v>25.853286604283326</v>
      </c>
    </row>
    <row r="155" spans="1:15" x14ac:dyDescent="0.25">
      <c r="A155" s="1">
        <v>45883</v>
      </c>
      <c r="B155">
        <v>6468.54</v>
      </c>
      <c r="C155">
        <v>6470</v>
      </c>
      <c r="D155">
        <v>1</v>
      </c>
      <c r="E155">
        <v>36</v>
      </c>
      <c r="F155">
        <v>21.55</v>
      </c>
      <c r="G155">
        <v>189.4</v>
      </c>
      <c r="H155">
        <v>0.55101502144389092</v>
      </c>
      <c r="I155">
        <v>-0.44898497855610908</v>
      </c>
      <c r="J155">
        <v>-0.10203004288778184</v>
      </c>
      <c r="K155">
        <f t="shared" si="10"/>
        <v>189.4</v>
      </c>
      <c r="L155">
        <f t="shared" si="11"/>
        <v>-3.1500000000000057</v>
      </c>
      <c r="M155">
        <f t="shared" si="12"/>
        <v>-0.22210380446623673</v>
      </c>
      <c r="N155">
        <f t="shared" si="13"/>
        <v>-3.3721038044662426</v>
      </c>
      <c r="O155">
        <f t="shared" si="14"/>
        <v>22.481182799817084</v>
      </c>
    </row>
    <row r="156" spans="1:15" x14ac:dyDescent="0.25">
      <c r="A156" s="1">
        <v>45884</v>
      </c>
      <c r="B156">
        <v>6449.8</v>
      </c>
      <c r="C156">
        <v>6450</v>
      </c>
      <c r="D156">
        <v>35</v>
      </c>
      <c r="E156">
        <v>63</v>
      </c>
      <c r="F156">
        <v>190.35</v>
      </c>
      <c r="G156">
        <v>279.29999999999995</v>
      </c>
      <c r="H156">
        <v>0.55131095898917537</v>
      </c>
      <c r="I156">
        <v>-0.44868904101082463</v>
      </c>
      <c r="J156">
        <v>-0.10262191797835074</v>
      </c>
      <c r="K156">
        <f t="shared" si="10"/>
        <v>190.35</v>
      </c>
      <c r="L156">
        <f t="shared" si="11"/>
        <v>0.94999999999998863</v>
      </c>
      <c r="M156">
        <f t="shared" si="12"/>
        <v>1.9120430037170093</v>
      </c>
      <c r="N156">
        <f t="shared" si="13"/>
        <v>2.8620430037169982</v>
      </c>
      <c r="O156">
        <f t="shared" si="14"/>
        <v>25.343225803534082</v>
      </c>
    </row>
    <row r="157" spans="1:15" x14ac:dyDescent="0.25">
      <c r="A157" s="1">
        <v>45887</v>
      </c>
      <c r="B157">
        <v>6449.15</v>
      </c>
      <c r="C157">
        <v>6450</v>
      </c>
      <c r="D157">
        <v>32</v>
      </c>
      <c r="E157">
        <v>60</v>
      </c>
      <c r="F157">
        <v>180.3</v>
      </c>
      <c r="G157">
        <v>269.5</v>
      </c>
      <c r="H157">
        <v>0.54935227202709769</v>
      </c>
      <c r="I157">
        <v>-0.45064772797290231</v>
      </c>
      <c r="J157">
        <v>-9.8704544054195376E-2</v>
      </c>
      <c r="K157">
        <f t="shared" si="10"/>
        <v>180.3</v>
      </c>
      <c r="L157">
        <f t="shared" si="11"/>
        <v>-10.049999999999983</v>
      </c>
      <c r="M157">
        <f t="shared" si="12"/>
        <v>6.6704246685983987E-2</v>
      </c>
      <c r="N157">
        <f t="shared" si="13"/>
        <v>-9.9832957533139997</v>
      </c>
      <c r="O157">
        <f t="shared" si="14"/>
        <v>15.359930050220083</v>
      </c>
    </row>
    <row r="158" spans="1:15" x14ac:dyDescent="0.25">
      <c r="A158" s="1">
        <v>45888</v>
      </c>
      <c r="B158">
        <v>6411.37</v>
      </c>
      <c r="C158">
        <v>6410</v>
      </c>
      <c r="D158">
        <v>31</v>
      </c>
      <c r="E158">
        <v>59</v>
      </c>
      <c r="F158">
        <v>185.75</v>
      </c>
      <c r="G158">
        <v>275.84999999999997</v>
      </c>
      <c r="H158">
        <v>0.55049576344102025</v>
      </c>
      <c r="I158">
        <v>-0.44950423655897975</v>
      </c>
      <c r="J158">
        <v>-0.10099152688204049</v>
      </c>
      <c r="K158">
        <f t="shared" si="10"/>
        <v>185.75</v>
      </c>
      <c r="L158">
        <f t="shared" si="11"/>
        <v>5.4499999999999886</v>
      </c>
      <c r="M158">
        <f t="shared" si="12"/>
        <v>3.7290576743674761</v>
      </c>
      <c r="N158">
        <f t="shared" si="13"/>
        <v>9.1790576743674652</v>
      </c>
      <c r="O158">
        <f t="shared" si="14"/>
        <v>24.53898772458755</v>
      </c>
    </row>
    <row r="159" spans="1:15" x14ac:dyDescent="0.25">
      <c r="A159" s="1">
        <v>45889</v>
      </c>
      <c r="B159">
        <v>6395.78</v>
      </c>
      <c r="C159">
        <v>6395</v>
      </c>
      <c r="D159">
        <v>30</v>
      </c>
      <c r="E159">
        <v>58</v>
      </c>
      <c r="F159">
        <v>186.4</v>
      </c>
      <c r="G159">
        <v>276</v>
      </c>
      <c r="H159">
        <v>0.54743657267376367</v>
      </c>
      <c r="I159">
        <v>-0.45256342732623633</v>
      </c>
      <c r="J159">
        <v>-9.4873145347527332E-2</v>
      </c>
      <c r="K159">
        <f t="shared" si="10"/>
        <v>186.4</v>
      </c>
      <c r="L159">
        <f t="shared" si="11"/>
        <v>0.65000000000000568</v>
      </c>
      <c r="M159">
        <f t="shared" si="12"/>
        <v>1.574457904091026</v>
      </c>
      <c r="N159">
        <f t="shared" si="13"/>
        <v>2.2244579040910315</v>
      </c>
      <c r="O159">
        <f t="shared" si="14"/>
        <v>26.763445628678582</v>
      </c>
    </row>
    <row r="160" spans="1:15" x14ac:dyDescent="0.25">
      <c r="A160" s="1">
        <v>45890</v>
      </c>
      <c r="B160">
        <v>6370.17</v>
      </c>
      <c r="C160">
        <v>6370</v>
      </c>
      <c r="D160">
        <v>29</v>
      </c>
      <c r="E160">
        <v>57</v>
      </c>
      <c r="F160">
        <v>196.25</v>
      </c>
      <c r="G160">
        <v>284.75</v>
      </c>
      <c r="H160">
        <v>0.54327380374797496</v>
      </c>
      <c r="I160">
        <v>-0.45672619625202504</v>
      </c>
      <c r="J160">
        <v>-8.6547607495949919E-2</v>
      </c>
      <c r="K160">
        <f t="shared" si="10"/>
        <v>196.25</v>
      </c>
      <c r="L160">
        <f t="shared" si="11"/>
        <v>9.8499999999999943</v>
      </c>
      <c r="M160">
        <f t="shared" si="12"/>
        <v>2.429701252350144</v>
      </c>
      <c r="N160">
        <f t="shared" si="13"/>
        <v>12.279701252350138</v>
      </c>
      <c r="O160">
        <f t="shared" si="14"/>
        <v>39.043146881028719</v>
      </c>
    </row>
    <row r="161" spans="1:15" x14ac:dyDescent="0.25">
      <c r="A161" s="1">
        <v>45891</v>
      </c>
      <c r="B161">
        <v>6466.91</v>
      </c>
      <c r="C161">
        <v>6465</v>
      </c>
      <c r="D161">
        <v>28</v>
      </c>
      <c r="E161">
        <v>56</v>
      </c>
      <c r="F161">
        <v>162.4</v>
      </c>
      <c r="G161">
        <v>250.95</v>
      </c>
      <c r="H161">
        <v>0.55135169577085208</v>
      </c>
      <c r="I161">
        <v>-0.44864830422914792</v>
      </c>
      <c r="J161">
        <v>-0.10270339154170416</v>
      </c>
      <c r="K161">
        <f t="shared" si="10"/>
        <v>162.4</v>
      </c>
      <c r="L161">
        <f t="shared" si="11"/>
        <v>-33.849999999999994</v>
      </c>
      <c r="M161">
        <f t="shared" si="12"/>
        <v>-8.3726155491581764</v>
      </c>
      <c r="N161">
        <f t="shared" si="13"/>
        <v>-42.222615549158171</v>
      </c>
      <c r="O161">
        <f t="shared" si="14"/>
        <v>-3.1794686681294522</v>
      </c>
    </row>
    <row r="162" spans="1:15" x14ac:dyDescent="0.25">
      <c r="A162" s="1">
        <v>45894</v>
      </c>
      <c r="B162">
        <v>6439.32</v>
      </c>
      <c r="C162">
        <v>6440</v>
      </c>
      <c r="D162">
        <v>25</v>
      </c>
      <c r="E162">
        <v>53</v>
      </c>
      <c r="F162">
        <v>157.44999999999999</v>
      </c>
      <c r="G162">
        <v>249.45000000000002</v>
      </c>
      <c r="H162">
        <v>0.54420380279250358</v>
      </c>
      <c r="I162">
        <v>-0.45579619720749642</v>
      </c>
      <c r="J162">
        <v>-8.8407605585007154E-2</v>
      </c>
      <c r="K162">
        <f t="shared" si="10"/>
        <v>157.44999999999999</v>
      </c>
      <c r="L162">
        <f t="shared" si="11"/>
        <v>-4.9500000000000171</v>
      </c>
      <c r="M162">
        <f t="shared" si="12"/>
        <v>2.8335865726356326</v>
      </c>
      <c r="N162">
        <f t="shared" si="13"/>
        <v>-2.1164134273643844</v>
      </c>
      <c r="O162">
        <f t="shared" si="14"/>
        <v>-5.2958820954938366</v>
      </c>
    </row>
    <row r="163" spans="1:15" x14ac:dyDescent="0.25">
      <c r="A163" s="1">
        <v>45895</v>
      </c>
      <c r="B163">
        <v>6465.94</v>
      </c>
      <c r="C163">
        <v>6465</v>
      </c>
      <c r="D163">
        <v>24</v>
      </c>
      <c r="E163">
        <v>52</v>
      </c>
      <c r="F163">
        <v>151.19999999999999</v>
      </c>
      <c r="G163">
        <v>243.45</v>
      </c>
      <c r="H163">
        <v>0.54632554676307887</v>
      </c>
      <c r="I163">
        <v>-0.45367445323692113</v>
      </c>
      <c r="J163">
        <v>-9.2651093526157746E-2</v>
      </c>
      <c r="K163">
        <f t="shared" si="10"/>
        <v>151.19999999999999</v>
      </c>
      <c r="L163">
        <f t="shared" si="11"/>
        <v>-6.25</v>
      </c>
      <c r="M163">
        <f t="shared" si="12"/>
        <v>-2.353410460672881</v>
      </c>
      <c r="N163">
        <f t="shared" si="13"/>
        <v>-8.6034104606728814</v>
      </c>
      <c r="O163">
        <f t="shared" si="14"/>
        <v>-13.899292556166717</v>
      </c>
    </row>
    <row r="164" spans="1:15" x14ac:dyDescent="0.25">
      <c r="A164" s="1">
        <v>45896</v>
      </c>
      <c r="B164">
        <v>6481.4</v>
      </c>
      <c r="C164">
        <v>6480</v>
      </c>
      <c r="D164">
        <v>23</v>
      </c>
      <c r="E164">
        <v>51</v>
      </c>
      <c r="F164">
        <v>146.55000000000001</v>
      </c>
      <c r="G164">
        <v>237.95</v>
      </c>
      <c r="H164">
        <v>0.54567735534430239</v>
      </c>
      <c r="I164">
        <v>-0.45432264465569761</v>
      </c>
      <c r="J164">
        <v>-9.135471068860479E-2</v>
      </c>
      <c r="K164">
        <f t="shared" si="10"/>
        <v>146.55000000000001</v>
      </c>
      <c r="L164">
        <f t="shared" si="11"/>
        <v>-4.6499999999999773</v>
      </c>
      <c r="M164">
        <f t="shared" si="12"/>
        <v>-1.4323859059144022</v>
      </c>
      <c r="N164">
        <f t="shared" si="13"/>
        <v>-6.0823859059143794</v>
      </c>
      <c r="O164">
        <f t="shared" si="14"/>
        <v>-19.981678462081096</v>
      </c>
    </row>
    <row r="165" spans="1:15" x14ac:dyDescent="0.25">
      <c r="A165" s="1">
        <v>45897</v>
      </c>
      <c r="B165">
        <v>6501.86</v>
      </c>
      <c r="C165">
        <v>6500</v>
      </c>
      <c r="D165">
        <v>22</v>
      </c>
      <c r="E165">
        <v>50</v>
      </c>
      <c r="F165">
        <v>140.1</v>
      </c>
      <c r="G165">
        <v>235.3</v>
      </c>
      <c r="H165">
        <v>0.54758696317546218</v>
      </c>
      <c r="I165">
        <v>-0.45241303682453782</v>
      </c>
      <c r="J165">
        <v>-9.5173926350924365E-2</v>
      </c>
      <c r="K165">
        <f t="shared" si="10"/>
        <v>140.1</v>
      </c>
      <c r="L165">
        <f t="shared" si="11"/>
        <v>-6.4500000000000171</v>
      </c>
      <c r="M165">
        <f t="shared" si="12"/>
        <v>-1.8691173806888572</v>
      </c>
      <c r="N165">
        <f t="shared" si="13"/>
        <v>-8.3191173806888745</v>
      </c>
      <c r="O165">
        <f t="shared" si="14"/>
        <v>-28.300795842769972</v>
      </c>
    </row>
    <row r="166" spans="1:15" x14ac:dyDescent="0.25">
      <c r="A166" s="1">
        <v>45898</v>
      </c>
      <c r="B166">
        <v>6460.26</v>
      </c>
      <c r="C166">
        <v>6460</v>
      </c>
      <c r="D166">
        <v>21</v>
      </c>
      <c r="E166">
        <v>49</v>
      </c>
      <c r="F166">
        <v>146.9</v>
      </c>
      <c r="G166">
        <v>242.1</v>
      </c>
      <c r="H166">
        <v>0.54026254008583086</v>
      </c>
      <c r="I166">
        <v>-0.45973745991416914</v>
      </c>
      <c r="J166">
        <v>-8.0525080171661712E-2</v>
      </c>
      <c r="K166">
        <f t="shared" si="10"/>
        <v>146.9</v>
      </c>
      <c r="L166">
        <f t="shared" si="11"/>
        <v>6.8000000000000114</v>
      </c>
      <c r="M166">
        <f t="shared" si="12"/>
        <v>3.9592353361984016</v>
      </c>
      <c r="N166">
        <f t="shared" si="13"/>
        <v>10.759235336198413</v>
      </c>
      <c r="O166">
        <f t="shared" si="14"/>
        <v>-17.541560506571557</v>
      </c>
    </row>
    <row r="167" spans="1:15" x14ac:dyDescent="0.25">
      <c r="A167" s="1">
        <v>45902</v>
      </c>
      <c r="B167">
        <v>6415.54</v>
      </c>
      <c r="C167">
        <v>6415</v>
      </c>
      <c r="D167">
        <v>17</v>
      </c>
      <c r="E167">
        <v>45</v>
      </c>
      <c r="F167">
        <v>153.65</v>
      </c>
      <c r="G167">
        <v>251.55</v>
      </c>
      <c r="H167">
        <v>0.53504978284368876</v>
      </c>
      <c r="I167">
        <v>-0.46495021715631124</v>
      </c>
      <c r="J167">
        <v>-7.0099565687377519E-2</v>
      </c>
      <c r="K167">
        <f t="shared" si="10"/>
        <v>153.65</v>
      </c>
      <c r="L167">
        <f t="shared" si="11"/>
        <v>6.75</v>
      </c>
      <c r="M167">
        <f t="shared" si="12"/>
        <v>3.6010815852767322</v>
      </c>
      <c r="N167">
        <f t="shared" si="13"/>
        <v>10.351081585276733</v>
      </c>
      <c r="O167">
        <f t="shared" si="14"/>
        <v>-7.1904789212948241</v>
      </c>
    </row>
    <row r="168" spans="1:15" x14ac:dyDescent="0.25">
      <c r="A168" s="1">
        <v>45903</v>
      </c>
      <c r="B168">
        <v>6448.26</v>
      </c>
      <c r="C168">
        <v>6450</v>
      </c>
      <c r="D168">
        <v>16</v>
      </c>
      <c r="E168">
        <v>44</v>
      </c>
      <c r="F168">
        <v>136.05000000000001</v>
      </c>
      <c r="G168">
        <v>235.75</v>
      </c>
      <c r="H168">
        <v>0.55217620842560944</v>
      </c>
      <c r="I168">
        <v>-0.44782379157439056</v>
      </c>
      <c r="J168">
        <v>-0.10435241685121888</v>
      </c>
      <c r="K168">
        <f t="shared" si="10"/>
        <v>235.75</v>
      </c>
      <c r="L168">
        <f t="shared" si="11"/>
        <v>82.1</v>
      </c>
      <c r="M168">
        <f t="shared" si="12"/>
        <v>-2.2936577892910104</v>
      </c>
      <c r="N168">
        <f t="shared" si="13"/>
        <v>79.806342210708991</v>
      </c>
      <c r="O168">
        <f t="shared" si="14"/>
        <v>72.615863289414165</v>
      </c>
    </row>
    <row r="169" spans="1:15" x14ac:dyDescent="0.25">
      <c r="A169" s="1">
        <v>45904</v>
      </c>
      <c r="B169">
        <v>6502.08</v>
      </c>
      <c r="C169">
        <v>6500</v>
      </c>
      <c r="D169">
        <v>15</v>
      </c>
      <c r="E169">
        <v>43</v>
      </c>
      <c r="F169">
        <v>120.75000000000001</v>
      </c>
      <c r="G169">
        <v>223</v>
      </c>
      <c r="H169">
        <v>0.55863463609766328</v>
      </c>
      <c r="I169">
        <v>-0.44136536390233672</v>
      </c>
      <c r="J169">
        <v>-0.11726927219532657</v>
      </c>
      <c r="K169">
        <f t="shared" si="10"/>
        <v>223</v>
      </c>
      <c r="L169">
        <f t="shared" si="11"/>
        <v>-12.75</v>
      </c>
      <c r="M169">
        <f t="shared" si="12"/>
        <v>-5.6162470749325699</v>
      </c>
      <c r="N169">
        <f t="shared" si="13"/>
        <v>-18.36624707493257</v>
      </c>
      <c r="O169">
        <f t="shared" si="14"/>
        <v>54.249616214481591</v>
      </c>
    </row>
    <row r="170" spans="1:15" x14ac:dyDescent="0.25">
      <c r="A170" s="1">
        <v>45905</v>
      </c>
      <c r="B170">
        <v>6481.5</v>
      </c>
      <c r="C170">
        <v>6480</v>
      </c>
      <c r="D170">
        <v>14</v>
      </c>
      <c r="E170">
        <v>42</v>
      </c>
      <c r="F170">
        <v>111.64999999999999</v>
      </c>
      <c r="G170">
        <v>218.1</v>
      </c>
      <c r="H170">
        <v>0.55622050544556489</v>
      </c>
      <c r="I170">
        <v>-0.44377949455443511</v>
      </c>
      <c r="J170">
        <v>-0.11244101089112979</v>
      </c>
      <c r="K170">
        <f t="shared" si="10"/>
        <v>218.1</v>
      </c>
      <c r="L170">
        <f t="shared" si="11"/>
        <v>-4.9000000000000057</v>
      </c>
      <c r="M170">
        <f t="shared" si="12"/>
        <v>2.4134016217798124</v>
      </c>
      <c r="N170">
        <f t="shared" si="13"/>
        <v>-2.4865983782201933</v>
      </c>
      <c r="O170">
        <f t="shared" si="14"/>
        <v>51.763017836261398</v>
      </c>
    </row>
    <row r="171" spans="1:15" x14ac:dyDescent="0.25">
      <c r="A171" s="1">
        <v>45908</v>
      </c>
      <c r="B171">
        <v>6495.15</v>
      </c>
      <c r="C171">
        <v>6495</v>
      </c>
      <c r="D171">
        <v>11</v>
      </c>
      <c r="E171">
        <v>39</v>
      </c>
      <c r="F171">
        <v>102.15</v>
      </c>
      <c r="G171">
        <v>209.5</v>
      </c>
      <c r="H171">
        <v>0.55351560303716052</v>
      </c>
      <c r="I171">
        <v>-0.44648439696283948</v>
      </c>
      <c r="J171">
        <v>-0.10703120607432104</v>
      </c>
      <c r="K171">
        <f t="shared" si="10"/>
        <v>209.5</v>
      </c>
      <c r="L171">
        <f t="shared" si="11"/>
        <v>-8.5999999999999943</v>
      </c>
      <c r="M171">
        <f t="shared" si="12"/>
        <v>-1.5348197986638807</v>
      </c>
      <c r="N171">
        <f t="shared" si="13"/>
        <v>-10.134819798663875</v>
      </c>
      <c r="O171">
        <f t="shared" si="14"/>
        <v>41.628198037597521</v>
      </c>
    </row>
    <row r="172" spans="1:15" x14ac:dyDescent="0.25">
      <c r="A172" s="1">
        <v>45909</v>
      </c>
      <c r="B172">
        <v>6512.61</v>
      </c>
      <c r="C172">
        <v>6515</v>
      </c>
      <c r="D172">
        <v>10</v>
      </c>
      <c r="E172">
        <v>38</v>
      </c>
      <c r="F172">
        <v>97.85</v>
      </c>
      <c r="G172">
        <v>206.6</v>
      </c>
      <c r="H172">
        <v>0.54881943298890734</v>
      </c>
      <c r="I172">
        <v>-0.45118056701109266</v>
      </c>
      <c r="J172">
        <v>-9.7638865977814682E-2</v>
      </c>
      <c r="K172">
        <f t="shared" si="10"/>
        <v>206.6</v>
      </c>
      <c r="L172">
        <f t="shared" si="11"/>
        <v>-2.9000000000000057</v>
      </c>
      <c r="M172">
        <f t="shared" si="12"/>
        <v>-1.8687648580576492</v>
      </c>
      <c r="N172">
        <f t="shared" si="13"/>
        <v>-4.7687648580576552</v>
      </c>
      <c r="O172">
        <f t="shared" si="14"/>
        <v>36.859433179539863</v>
      </c>
    </row>
    <row r="173" spans="1:15" x14ac:dyDescent="0.25">
      <c r="A173" s="1">
        <v>45910</v>
      </c>
      <c r="B173">
        <v>6532.04</v>
      </c>
      <c r="C173">
        <v>6530</v>
      </c>
      <c r="D173">
        <v>9</v>
      </c>
      <c r="E173">
        <v>37</v>
      </c>
      <c r="F173">
        <v>94.95</v>
      </c>
      <c r="G173">
        <v>203.7</v>
      </c>
      <c r="H173">
        <v>0.5551569518649635</v>
      </c>
      <c r="I173">
        <v>-0.4448430481350365</v>
      </c>
      <c r="J173">
        <v>-0.110313903729927</v>
      </c>
      <c r="K173">
        <f t="shared" si="10"/>
        <v>203.7</v>
      </c>
      <c r="L173">
        <f t="shared" si="11"/>
        <v>-2.9000000000000057</v>
      </c>
      <c r="M173">
        <f t="shared" si="12"/>
        <v>-1.8971231659489676</v>
      </c>
      <c r="N173">
        <f t="shared" si="13"/>
        <v>-4.7971231659489728</v>
      </c>
      <c r="O173">
        <f t="shared" si="14"/>
        <v>32.062310013590889</v>
      </c>
    </row>
    <row r="174" spans="1:15" x14ac:dyDescent="0.25">
      <c r="A174" s="1">
        <v>45911</v>
      </c>
      <c r="B174">
        <v>6587.47</v>
      </c>
      <c r="C174">
        <v>6585</v>
      </c>
      <c r="D174">
        <v>8</v>
      </c>
      <c r="E174">
        <v>36</v>
      </c>
      <c r="F174">
        <v>79.850000000000009</v>
      </c>
      <c r="G174">
        <v>195.8</v>
      </c>
      <c r="H174">
        <v>0.55620034052315381</v>
      </c>
      <c r="I174">
        <v>-0.44379965947684619</v>
      </c>
      <c r="J174">
        <v>-0.11240068104630763</v>
      </c>
      <c r="K174">
        <f t="shared" si="10"/>
        <v>195.8</v>
      </c>
      <c r="L174">
        <f t="shared" si="11"/>
        <v>-7.8999999999999773</v>
      </c>
      <c r="M174">
        <f t="shared" si="12"/>
        <v>-6.1146996837498859</v>
      </c>
      <c r="N174">
        <f t="shared" si="13"/>
        <v>-14.014699683749864</v>
      </c>
      <c r="O174">
        <f t="shared" si="14"/>
        <v>18.047610329841024</v>
      </c>
    </row>
    <row r="175" spans="1:15" x14ac:dyDescent="0.25">
      <c r="A175" s="1">
        <v>45912</v>
      </c>
      <c r="B175">
        <v>6584.29</v>
      </c>
      <c r="C175">
        <v>6585</v>
      </c>
      <c r="D175">
        <v>7</v>
      </c>
      <c r="E175">
        <v>35</v>
      </c>
      <c r="F175">
        <v>71.599999999999994</v>
      </c>
      <c r="G175">
        <v>191.65</v>
      </c>
      <c r="H175">
        <v>0.54981674316460594</v>
      </c>
      <c r="I175">
        <v>-0.45018325683539406</v>
      </c>
      <c r="J175">
        <v>-9.9633486329211873E-2</v>
      </c>
      <c r="K175">
        <f t="shared" si="10"/>
        <v>191.65</v>
      </c>
      <c r="L175">
        <f t="shared" si="11"/>
        <v>-4.1500000000000057</v>
      </c>
      <c r="M175">
        <f t="shared" si="12"/>
        <v>0.35743416572729098</v>
      </c>
      <c r="N175">
        <f t="shared" si="13"/>
        <v>-3.7925658342727147</v>
      </c>
      <c r="O175">
        <f t="shared" si="14"/>
        <v>14.25504449556831</v>
      </c>
    </row>
    <row r="176" spans="1:15" x14ac:dyDescent="0.25">
      <c r="A176" s="1">
        <v>45915</v>
      </c>
      <c r="B176">
        <v>6615.28</v>
      </c>
      <c r="C176">
        <v>6615</v>
      </c>
      <c r="D176">
        <v>4</v>
      </c>
      <c r="E176">
        <v>32</v>
      </c>
      <c r="F176">
        <v>67.699999999999989</v>
      </c>
      <c r="G176">
        <v>192.54999999999998</v>
      </c>
      <c r="H176">
        <v>0.54885086790831017</v>
      </c>
      <c r="I176">
        <v>-0.45114913209168983</v>
      </c>
      <c r="J176">
        <v>-9.7701735816620339E-2</v>
      </c>
      <c r="K176">
        <f t="shared" si="10"/>
        <v>192.54999999999998</v>
      </c>
      <c r="L176">
        <f t="shared" si="11"/>
        <v>0.89999999999997726</v>
      </c>
      <c r="M176">
        <f t="shared" si="12"/>
        <v>-3.0876417413422543</v>
      </c>
      <c r="N176">
        <f t="shared" si="13"/>
        <v>-2.1876417413422771</v>
      </c>
      <c r="O176">
        <f t="shared" si="14"/>
        <v>12.067402754226032</v>
      </c>
    </row>
    <row r="177" spans="1:15" x14ac:dyDescent="0.25">
      <c r="A177" s="1">
        <v>45916</v>
      </c>
      <c r="B177">
        <v>6606.76</v>
      </c>
      <c r="C177">
        <v>6605</v>
      </c>
      <c r="D177">
        <v>3</v>
      </c>
      <c r="E177">
        <v>31</v>
      </c>
      <c r="F177">
        <v>70.55</v>
      </c>
      <c r="G177">
        <v>199.25</v>
      </c>
      <c r="H177">
        <v>0.54843374665677014</v>
      </c>
      <c r="I177">
        <v>-0.45156625334322986</v>
      </c>
      <c r="J177">
        <v>-9.6867493313540276E-2</v>
      </c>
      <c r="K177">
        <f t="shared" si="10"/>
        <v>199.25</v>
      </c>
      <c r="L177">
        <f t="shared" si="11"/>
        <v>6.7000000000000171</v>
      </c>
      <c r="M177">
        <f t="shared" si="12"/>
        <v>0.83241878915755907</v>
      </c>
      <c r="N177">
        <f t="shared" si="13"/>
        <v>7.5324187891575765</v>
      </c>
      <c r="O177">
        <f t="shared" si="14"/>
        <v>19.599821543383609</v>
      </c>
    </row>
    <row r="178" spans="1:15" x14ac:dyDescent="0.25">
      <c r="A178" s="1">
        <v>45917</v>
      </c>
      <c r="B178">
        <v>6600.35</v>
      </c>
      <c r="C178">
        <v>6600</v>
      </c>
      <c r="D178">
        <v>2</v>
      </c>
      <c r="E178">
        <v>30</v>
      </c>
      <c r="F178">
        <v>49.15</v>
      </c>
      <c r="G178">
        <v>189.05</v>
      </c>
      <c r="H178">
        <v>0.54581146274623715</v>
      </c>
      <c r="I178">
        <v>-0.45418853725376285</v>
      </c>
      <c r="J178">
        <v>-9.1622925492474305E-2</v>
      </c>
      <c r="K178">
        <f t="shared" si="10"/>
        <v>189.05</v>
      </c>
      <c r="L178">
        <f t="shared" si="11"/>
        <v>-10.199999999999989</v>
      </c>
      <c r="M178">
        <f t="shared" si="12"/>
        <v>0.62092063213977911</v>
      </c>
      <c r="N178">
        <f t="shared" si="13"/>
        <v>-9.57907936786021</v>
      </c>
      <c r="O178">
        <f t="shared" si="14"/>
        <v>10.020742175523399</v>
      </c>
    </row>
    <row r="179" spans="1:15" x14ac:dyDescent="0.25">
      <c r="A179" s="1">
        <v>45918</v>
      </c>
      <c r="B179">
        <v>6631.96</v>
      </c>
      <c r="C179">
        <v>6630</v>
      </c>
      <c r="D179">
        <v>1</v>
      </c>
      <c r="E179">
        <v>29</v>
      </c>
      <c r="F179">
        <v>26.65</v>
      </c>
      <c r="G179">
        <v>185.45</v>
      </c>
      <c r="H179">
        <v>0.54822460247388227</v>
      </c>
      <c r="I179">
        <v>-0.45177539752611773</v>
      </c>
      <c r="J179">
        <v>-9.6449204947764544E-2</v>
      </c>
      <c r="K179">
        <f t="shared" si="10"/>
        <v>185.45</v>
      </c>
      <c r="L179">
        <f t="shared" si="11"/>
        <v>-3.6000000000000227</v>
      </c>
      <c r="M179">
        <f t="shared" si="12"/>
        <v>-2.896200674817083</v>
      </c>
      <c r="N179">
        <f t="shared" si="13"/>
        <v>-6.4962006748171053</v>
      </c>
      <c r="O179">
        <f t="shared" si="14"/>
        <v>3.5245415007062935</v>
      </c>
    </row>
    <row r="180" spans="1:15" x14ac:dyDescent="0.25">
      <c r="A180" s="1">
        <v>45919</v>
      </c>
      <c r="B180">
        <v>6664.36</v>
      </c>
      <c r="C180">
        <v>6665</v>
      </c>
      <c r="D180">
        <v>28</v>
      </c>
      <c r="E180">
        <v>63</v>
      </c>
      <c r="F180">
        <v>178.75</v>
      </c>
      <c r="G180">
        <v>298.64999999999998</v>
      </c>
      <c r="H180">
        <v>0.54232939744961861</v>
      </c>
      <c r="I180">
        <v>-0.45767060255038139</v>
      </c>
      <c r="J180">
        <v>-8.4658794899237222E-2</v>
      </c>
      <c r="K180">
        <f t="shared" si="10"/>
        <v>178.75</v>
      </c>
      <c r="L180">
        <f t="shared" si="11"/>
        <v>-6.6999999999999886</v>
      </c>
      <c r="M180">
        <f t="shared" si="12"/>
        <v>-3.1249542403075363</v>
      </c>
      <c r="N180">
        <f t="shared" si="13"/>
        <v>-9.824954240307525</v>
      </c>
      <c r="O180">
        <f t="shared" si="14"/>
        <v>-6.3004127396012315</v>
      </c>
    </row>
    <row r="181" spans="1:15" x14ac:dyDescent="0.25">
      <c r="A181" s="1">
        <v>45922</v>
      </c>
      <c r="B181">
        <v>6693.75</v>
      </c>
      <c r="C181">
        <v>6695</v>
      </c>
      <c r="D181">
        <v>25</v>
      </c>
      <c r="E181">
        <v>60</v>
      </c>
      <c r="F181">
        <v>177</v>
      </c>
      <c r="G181">
        <v>302.45000000000005</v>
      </c>
      <c r="H181">
        <v>0.53898478633656111</v>
      </c>
      <c r="I181">
        <v>-0.46101521366343889</v>
      </c>
      <c r="J181">
        <v>-7.7969572673122212E-2</v>
      </c>
      <c r="K181">
        <f t="shared" si="10"/>
        <v>177</v>
      </c>
      <c r="L181">
        <f t="shared" si="11"/>
        <v>-1.75</v>
      </c>
      <c r="M181">
        <f t="shared" si="12"/>
        <v>-2.4881219820886096</v>
      </c>
      <c r="N181">
        <f t="shared" si="13"/>
        <v>-4.2381219820886091</v>
      </c>
      <c r="O181">
        <f t="shared" si="14"/>
        <v>-10.538534721689841</v>
      </c>
    </row>
    <row r="182" spans="1:15" x14ac:dyDescent="0.25">
      <c r="A182" s="1">
        <v>45923</v>
      </c>
      <c r="B182">
        <v>6656.92</v>
      </c>
      <c r="C182">
        <v>6655</v>
      </c>
      <c r="D182">
        <v>24</v>
      </c>
      <c r="E182">
        <v>59</v>
      </c>
      <c r="F182">
        <v>180.7</v>
      </c>
      <c r="G182">
        <v>309.35000000000002</v>
      </c>
      <c r="H182">
        <v>0.54251333059782969</v>
      </c>
      <c r="I182">
        <v>-0.45748666940217031</v>
      </c>
      <c r="J182">
        <v>-8.5026661195659381E-2</v>
      </c>
      <c r="K182">
        <f t="shared" si="10"/>
        <v>180.7</v>
      </c>
      <c r="L182">
        <f t="shared" si="11"/>
        <v>3.6999999999999886</v>
      </c>
      <c r="M182">
        <f t="shared" si="12"/>
        <v>2.8716193615510854</v>
      </c>
      <c r="N182">
        <f t="shared" si="13"/>
        <v>6.5716193615510736</v>
      </c>
      <c r="O182">
        <f t="shared" si="14"/>
        <v>-3.966915360138767</v>
      </c>
    </row>
    <row r="183" spans="1:15" x14ac:dyDescent="0.25">
      <c r="A183" s="1">
        <v>45924</v>
      </c>
      <c r="B183">
        <v>6637.97</v>
      </c>
      <c r="C183">
        <v>6640</v>
      </c>
      <c r="D183">
        <v>23</v>
      </c>
      <c r="E183">
        <v>58</v>
      </c>
      <c r="F183">
        <v>171.5</v>
      </c>
      <c r="G183">
        <v>301.39999999999998</v>
      </c>
      <c r="H183">
        <v>0.53494863387796787</v>
      </c>
      <c r="I183">
        <v>-0.46505136612203213</v>
      </c>
      <c r="J183">
        <v>-6.9897267755935744E-2</v>
      </c>
      <c r="K183">
        <f t="shared" si="10"/>
        <v>171.5</v>
      </c>
      <c r="L183">
        <f t="shared" si="11"/>
        <v>-9.1999999999999886</v>
      </c>
      <c r="M183">
        <f t="shared" si="12"/>
        <v>1.6112552296577298</v>
      </c>
      <c r="N183">
        <f t="shared" si="13"/>
        <v>-7.5887447703422586</v>
      </c>
      <c r="O183">
        <f t="shared" si="14"/>
        <v>-11.555660130481026</v>
      </c>
    </row>
    <row r="184" spans="1:15" x14ac:dyDescent="0.25">
      <c r="A184" s="1">
        <v>45925</v>
      </c>
      <c r="B184">
        <v>6604.72</v>
      </c>
      <c r="C184">
        <v>6605</v>
      </c>
      <c r="D184">
        <v>22</v>
      </c>
      <c r="E184">
        <v>57</v>
      </c>
      <c r="F184">
        <v>171.9</v>
      </c>
      <c r="G184">
        <v>301.60000000000002</v>
      </c>
      <c r="H184">
        <v>0.5367112619419685</v>
      </c>
      <c r="I184">
        <v>-0.4632887380580315</v>
      </c>
      <c r="J184">
        <v>-7.3422523883936996E-2</v>
      </c>
      <c r="K184">
        <f t="shared" si="10"/>
        <v>171.9</v>
      </c>
      <c r="L184">
        <f t="shared" si="11"/>
        <v>0.40000000000000568</v>
      </c>
      <c r="M184">
        <f t="shared" si="12"/>
        <v>2.3240841528848635</v>
      </c>
      <c r="N184">
        <f t="shared" si="13"/>
        <v>2.7240841528848692</v>
      </c>
      <c r="O184">
        <f t="shared" si="14"/>
        <v>-8.8315759775961578</v>
      </c>
    </row>
    <row r="185" spans="1:15" x14ac:dyDescent="0.25">
      <c r="A185" s="1">
        <v>45926</v>
      </c>
      <c r="B185">
        <v>6643.7</v>
      </c>
      <c r="C185">
        <v>6645</v>
      </c>
      <c r="D185">
        <v>21</v>
      </c>
      <c r="E185">
        <v>56</v>
      </c>
      <c r="F185">
        <v>150.60000000000002</v>
      </c>
      <c r="G185">
        <v>280.60000000000002</v>
      </c>
      <c r="H185">
        <v>0.53627854715175494</v>
      </c>
      <c r="I185">
        <v>-0.46372145284824506</v>
      </c>
      <c r="J185">
        <v>-7.2557094303509873E-2</v>
      </c>
      <c r="K185">
        <f t="shared" si="10"/>
        <v>150.60000000000002</v>
      </c>
      <c r="L185">
        <f t="shared" si="11"/>
        <v>-21.299999999999983</v>
      </c>
      <c r="M185">
        <f t="shared" si="12"/>
        <v>-2.8620099809958321</v>
      </c>
      <c r="N185">
        <f t="shared" si="13"/>
        <v>-24.162009980995816</v>
      </c>
      <c r="O185">
        <f t="shared" si="14"/>
        <v>-32.993585958591972</v>
      </c>
    </row>
    <row r="186" spans="1:15" x14ac:dyDescent="0.25">
      <c r="A186" s="1">
        <v>45929</v>
      </c>
      <c r="B186">
        <v>6661.21</v>
      </c>
      <c r="C186">
        <v>6660</v>
      </c>
      <c r="D186">
        <v>18</v>
      </c>
      <c r="E186">
        <v>53</v>
      </c>
      <c r="F186">
        <v>142.25</v>
      </c>
      <c r="G186">
        <v>277.79999999999995</v>
      </c>
      <c r="H186">
        <v>0.53990939678663574</v>
      </c>
      <c r="I186">
        <v>-0.46009060321336426</v>
      </c>
      <c r="J186">
        <v>-7.9818793573271485E-2</v>
      </c>
      <c r="K186">
        <f t="shared" si="10"/>
        <v>142.25</v>
      </c>
      <c r="L186">
        <f t="shared" si="11"/>
        <v>-8.3500000000000227</v>
      </c>
      <c r="M186">
        <f t="shared" si="12"/>
        <v>-1.2704747212544738</v>
      </c>
      <c r="N186">
        <f t="shared" si="13"/>
        <v>-9.6204747212544959</v>
      </c>
      <c r="O186">
        <f t="shared" si="14"/>
        <v>-42.614060679846467</v>
      </c>
    </row>
    <row r="187" spans="1:15" x14ac:dyDescent="0.25">
      <c r="A187" s="1">
        <v>45930</v>
      </c>
      <c r="B187">
        <v>6688.46</v>
      </c>
      <c r="C187">
        <v>6690</v>
      </c>
      <c r="D187">
        <v>17</v>
      </c>
      <c r="E187">
        <v>52</v>
      </c>
      <c r="F187">
        <v>136.25</v>
      </c>
      <c r="G187">
        <v>271.7</v>
      </c>
      <c r="H187">
        <v>0.53209166789191165</v>
      </c>
      <c r="I187">
        <v>-0.46790833210808835</v>
      </c>
      <c r="J187">
        <v>-6.4183335783823292E-2</v>
      </c>
      <c r="K187">
        <f t="shared" si="10"/>
        <v>136.25</v>
      </c>
      <c r="L187">
        <f t="shared" si="11"/>
        <v>-6</v>
      </c>
      <c r="M187">
        <f t="shared" si="12"/>
        <v>-2.1750621248716477</v>
      </c>
      <c r="N187">
        <f t="shared" si="13"/>
        <v>-8.1750621248716477</v>
      </c>
      <c r="O187">
        <f t="shared" si="14"/>
        <v>-50.789122804718119</v>
      </c>
    </row>
    <row r="188" spans="1:15" x14ac:dyDescent="0.25">
      <c r="A188" s="1">
        <v>45931</v>
      </c>
      <c r="B188">
        <v>6711.2</v>
      </c>
      <c r="C188">
        <v>6710</v>
      </c>
      <c r="D188">
        <v>16</v>
      </c>
      <c r="E188">
        <v>51</v>
      </c>
      <c r="F188">
        <v>130.15</v>
      </c>
      <c r="G188">
        <v>271.60000000000002</v>
      </c>
      <c r="H188">
        <v>0.53791480333860431</v>
      </c>
      <c r="I188">
        <v>-0.46208519666139569</v>
      </c>
      <c r="J188">
        <v>-7.5829606677208616E-2</v>
      </c>
      <c r="K188">
        <f t="shared" si="10"/>
        <v>130.15</v>
      </c>
      <c r="L188">
        <f t="shared" si="11"/>
        <v>-6.0999999999999943</v>
      </c>
      <c r="M188">
        <f t="shared" si="12"/>
        <v>-1.4595290557241276</v>
      </c>
      <c r="N188">
        <f t="shared" si="13"/>
        <v>-7.5595290557241217</v>
      </c>
      <c r="O188">
        <f t="shared" si="14"/>
        <v>-58.348651860442239</v>
      </c>
    </row>
    <row r="189" spans="1:15" x14ac:dyDescent="0.25">
      <c r="A189" s="1">
        <v>45932</v>
      </c>
      <c r="B189">
        <v>6715.35</v>
      </c>
      <c r="C189">
        <v>6715</v>
      </c>
      <c r="D189">
        <v>15</v>
      </c>
      <c r="E189">
        <v>50</v>
      </c>
      <c r="F189">
        <v>127.7</v>
      </c>
      <c r="G189">
        <v>274.60000000000002</v>
      </c>
      <c r="H189">
        <v>0.5343299013328322</v>
      </c>
      <c r="I189">
        <v>-0.4656700986671678</v>
      </c>
      <c r="J189">
        <v>-6.8659802665664404E-2</v>
      </c>
      <c r="K189">
        <f t="shared" si="10"/>
        <v>127.7</v>
      </c>
      <c r="L189">
        <f t="shared" si="11"/>
        <v>-2.4500000000000028</v>
      </c>
      <c r="M189">
        <f t="shared" si="12"/>
        <v>-0.31469286771045712</v>
      </c>
      <c r="N189">
        <f t="shared" si="13"/>
        <v>-2.7646928677104601</v>
      </c>
      <c r="O189">
        <f t="shared" si="14"/>
        <v>-61.113344728152697</v>
      </c>
    </row>
    <row r="190" spans="1:15" x14ac:dyDescent="0.25">
      <c r="A190" s="1">
        <v>45933</v>
      </c>
      <c r="B190">
        <v>6715.79</v>
      </c>
      <c r="C190">
        <v>6715</v>
      </c>
      <c r="D190">
        <v>14</v>
      </c>
      <c r="E190">
        <v>49</v>
      </c>
      <c r="F190">
        <v>118.5</v>
      </c>
      <c r="G190">
        <v>268.5</v>
      </c>
      <c r="H190">
        <v>0.53478509806687846</v>
      </c>
      <c r="I190">
        <v>-0.46521490193312154</v>
      </c>
      <c r="J190">
        <v>-6.9570196133756923E-2</v>
      </c>
      <c r="K190">
        <f t="shared" si="10"/>
        <v>118.5</v>
      </c>
      <c r="L190">
        <f t="shared" si="11"/>
        <v>-9.2000000000000028</v>
      </c>
      <c r="M190">
        <f t="shared" si="12"/>
        <v>-3.021031317286486E-2</v>
      </c>
      <c r="N190">
        <f t="shared" si="13"/>
        <v>-9.2302103131728686</v>
      </c>
      <c r="O190">
        <f t="shared" si="14"/>
        <v>-70.343555041325573</v>
      </c>
    </row>
    <row r="191" spans="1:15" x14ac:dyDescent="0.25">
      <c r="A191" s="1">
        <v>45936</v>
      </c>
      <c r="B191">
        <v>6740.28</v>
      </c>
      <c r="C191">
        <v>6740</v>
      </c>
      <c r="D191">
        <v>11</v>
      </c>
      <c r="E191">
        <v>46</v>
      </c>
      <c r="F191">
        <v>104.7</v>
      </c>
      <c r="G191">
        <v>260.95000000000005</v>
      </c>
      <c r="H191">
        <v>0.55382229133502836</v>
      </c>
      <c r="I191">
        <v>-0.44617770866497164</v>
      </c>
      <c r="J191">
        <v>-0.10764458267005672</v>
      </c>
      <c r="K191">
        <f t="shared" si="10"/>
        <v>260.95000000000005</v>
      </c>
      <c r="L191">
        <f t="shared" si="11"/>
        <v>142.45000000000005</v>
      </c>
      <c r="M191">
        <f t="shared" si="12"/>
        <v>-1.7037741033156919</v>
      </c>
      <c r="N191">
        <f t="shared" si="13"/>
        <v>140.74622589668436</v>
      </c>
      <c r="O191">
        <f t="shared" si="14"/>
        <v>70.402670855358792</v>
      </c>
    </row>
    <row r="192" spans="1:15" x14ac:dyDescent="0.25">
      <c r="A192" s="1">
        <v>45937</v>
      </c>
      <c r="B192">
        <v>6714.59</v>
      </c>
      <c r="C192">
        <v>6715</v>
      </c>
      <c r="D192">
        <v>10</v>
      </c>
      <c r="E192">
        <v>45</v>
      </c>
      <c r="F192">
        <v>108.3</v>
      </c>
      <c r="G192">
        <v>267.15000000000003</v>
      </c>
      <c r="H192">
        <v>0.5507564813006377</v>
      </c>
      <c r="I192">
        <v>-0.4492435186993623</v>
      </c>
      <c r="J192">
        <v>-0.1015129626012754</v>
      </c>
      <c r="K192">
        <f t="shared" si="10"/>
        <v>267.15000000000003</v>
      </c>
      <c r="L192">
        <f t="shared" si="11"/>
        <v>6.1999999999999886</v>
      </c>
      <c r="M192">
        <f t="shared" si="12"/>
        <v>2.7653893287937139</v>
      </c>
      <c r="N192">
        <f t="shared" si="13"/>
        <v>8.9653893287937017</v>
      </c>
      <c r="O192">
        <f t="shared" si="14"/>
        <v>79.368060184152498</v>
      </c>
    </row>
    <row r="193" spans="1:15" x14ac:dyDescent="0.25">
      <c r="A193" s="1">
        <v>45938</v>
      </c>
      <c r="B193">
        <v>6753.72</v>
      </c>
      <c r="C193">
        <v>6755</v>
      </c>
      <c r="D193">
        <v>9</v>
      </c>
      <c r="E193">
        <v>44</v>
      </c>
      <c r="F193">
        <v>88.75</v>
      </c>
      <c r="G193">
        <v>253</v>
      </c>
      <c r="H193">
        <v>0.55031127957403014</v>
      </c>
      <c r="I193">
        <v>-0.44968872042596986</v>
      </c>
      <c r="J193">
        <v>-0.10062255914806029</v>
      </c>
      <c r="K193">
        <f t="shared" si="10"/>
        <v>253</v>
      </c>
      <c r="L193">
        <f t="shared" si="11"/>
        <v>-14.150000000000034</v>
      </c>
      <c r="M193">
        <f t="shared" si="12"/>
        <v>-3.9722022265879176</v>
      </c>
      <c r="N193">
        <f t="shared" si="13"/>
        <v>-18.122202226587952</v>
      </c>
      <c r="O193">
        <f t="shared" si="14"/>
        <v>61.245857957564546</v>
      </c>
    </row>
    <row r="194" spans="1:15" x14ac:dyDescent="0.25">
      <c r="A194" s="1">
        <v>45939</v>
      </c>
      <c r="B194">
        <v>6735.11</v>
      </c>
      <c r="C194">
        <v>6735</v>
      </c>
      <c r="D194">
        <v>8</v>
      </c>
      <c r="E194">
        <v>43</v>
      </c>
      <c r="F194">
        <v>85.65</v>
      </c>
      <c r="G194">
        <v>251.6</v>
      </c>
      <c r="H194">
        <v>0.55098431162894435</v>
      </c>
      <c r="I194">
        <v>-0.44901568837105565</v>
      </c>
      <c r="J194">
        <v>-0.10196862325788869</v>
      </c>
      <c r="K194">
        <f t="shared" si="10"/>
        <v>251.6</v>
      </c>
      <c r="L194">
        <f t="shared" si="11"/>
        <v>-1.4000000000000057</v>
      </c>
      <c r="M194">
        <f t="shared" si="12"/>
        <v>1.8725858257454604</v>
      </c>
      <c r="N194">
        <f t="shared" si="13"/>
        <v>0.47258582574545471</v>
      </c>
      <c r="O194">
        <f t="shared" si="14"/>
        <v>61.718443783310001</v>
      </c>
    </row>
    <row r="195" spans="1:15" x14ac:dyDescent="0.25">
      <c r="A195" s="1">
        <v>45940</v>
      </c>
      <c r="B195">
        <v>6552.51</v>
      </c>
      <c r="C195">
        <v>6555</v>
      </c>
      <c r="D195">
        <v>7</v>
      </c>
      <c r="E195">
        <v>42</v>
      </c>
      <c r="F195">
        <v>158.19999999999999</v>
      </c>
      <c r="G195">
        <v>325.75</v>
      </c>
      <c r="H195">
        <v>0.54082494512139179</v>
      </c>
      <c r="I195">
        <v>-0.45917505487860821</v>
      </c>
      <c r="J195">
        <v>-8.1649890242783574E-2</v>
      </c>
      <c r="K195">
        <f t="shared" ref="K195:K251" si="15">IF(ABS(D195-30)&lt;ABS(E195-30), F195, G195)</f>
        <v>325.75</v>
      </c>
      <c r="L195">
        <f t="shared" si="11"/>
        <v>74.150000000000006</v>
      </c>
      <c r="M195">
        <f t="shared" si="12"/>
        <v>18.61947060689042</v>
      </c>
      <c r="N195">
        <f t="shared" si="13"/>
        <v>92.769470606890422</v>
      </c>
      <c r="O195">
        <f t="shared" si="14"/>
        <v>154.48791439020042</v>
      </c>
    </row>
    <row r="196" spans="1:15" x14ac:dyDescent="0.25">
      <c r="A196" s="1">
        <v>45943</v>
      </c>
      <c r="B196">
        <v>6654.72</v>
      </c>
      <c r="C196">
        <v>6655</v>
      </c>
      <c r="D196">
        <v>4</v>
      </c>
      <c r="E196">
        <v>39</v>
      </c>
      <c r="F196">
        <v>81.400000000000006</v>
      </c>
      <c r="G196">
        <v>264.3</v>
      </c>
      <c r="H196">
        <v>0.54517659892129533</v>
      </c>
      <c r="I196">
        <v>-0.45482340107870467</v>
      </c>
      <c r="J196">
        <v>-9.035319784259066E-2</v>
      </c>
      <c r="K196">
        <f t="shared" si="15"/>
        <v>264.3</v>
      </c>
      <c r="L196">
        <f t="shared" ref="L196:L251" si="16">K196 - K195</f>
        <v>-61.449999999999989</v>
      </c>
      <c r="M196">
        <f t="shared" ref="M196:M251" si="17">J195 * (B196 - B195)</f>
        <v>-8.3454352817149129</v>
      </c>
      <c r="N196">
        <f t="shared" ref="N196:N251" si="18">L196 + M196</f>
        <v>-69.795435281714902</v>
      </c>
      <c r="O196">
        <f t="shared" ref="O196:O251" si="19">O195 + N196</f>
        <v>84.692479108485514</v>
      </c>
    </row>
    <row r="197" spans="1:15" x14ac:dyDescent="0.25">
      <c r="A197" s="1">
        <v>45944</v>
      </c>
      <c r="B197">
        <v>6644.31</v>
      </c>
      <c r="C197">
        <v>6645</v>
      </c>
      <c r="D197">
        <v>3</v>
      </c>
      <c r="E197">
        <v>38</v>
      </c>
      <c r="F197">
        <v>79.900000000000006</v>
      </c>
      <c r="G197">
        <v>279.64999999999998</v>
      </c>
      <c r="H197">
        <v>0.54264634241844723</v>
      </c>
      <c r="I197">
        <v>-0.45735365758155277</v>
      </c>
      <c r="J197">
        <v>-8.529268483689445E-2</v>
      </c>
      <c r="K197">
        <f t="shared" si="15"/>
        <v>279.64999999999998</v>
      </c>
      <c r="L197">
        <f t="shared" si="16"/>
        <v>15.349999999999966</v>
      </c>
      <c r="M197">
        <f t="shared" si="17"/>
        <v>0.9405767895413556</v>
      </c>
      <c r="N197">
        <f t="shared" si="18"/>
        <v>16.290576789541323</v>
      </c>
      <c r="O197">
        <f t="shared" si="19"/>
        <v>100.98305589802683</v>
      </c>
    </row>
    <row r="198" spans="1:15" x14ac:dyDescent="0.25">
      <c r="A198" s="1">
        <v>45945</v>
      </c>
      <c r="B198">
        <v>6671.06</v>
      </c>
      <c r="C198">
        <v>6670</v>
      </c>
      <c r="D198">
        <v>2</v>
      </c>
      <c r="E198">
        <v>37</v>
      </c>
      <c r="F198">
        <v>62.95</v>
      </c>
      <c r="G198">
        <v>278.75</v>
      </c>
      <c r="H198">
        <v>0.54387692629908879</v>
      </c>
      <c r="I198">
        <v>-0.45612307370091121</v>
      </c>
      <c r="J198">
        <v>-8.7753852598177584E-2</v>
      </c>
      <c r="K198">
        <f t="shared" si="15"/>
        <v>278.75</v>
      </c>
      <c r="L198">
        <f t="shared" si="16"/>
        <v>-0.89999999999997726</v>
      </c>
      <c r="M198">
        <f t="shared" si="17"/>
        <v>-2.2815793193869265</v>
      </c>
      <c r="N198">
        <f t="shared" si="18"/>
        <v>-3.1815793193869037</v>
      </c>
      <c r="O198">
        <f t="shared" si="19"/>
        <v>97.801476578639935</v>
      </c>
    </row>
    <row r="199" spans="1:15" x14ac:dyDescent="0.25">
      <c r="A199" s="1">
        <v>45946</v>
      </c>
      <c r="B199">
        <v>6629.07</v>
      </c>
      <c r="C199">
        <v>6630</v>
      </c>
      <c r="D199">
        <v>1</v>
      </c>
      <c r="E199">
        <v>36</v>
      </c>
      <c r="F199">
        <v>45.5</v>
      </c>
      <c r="G199">
        <v>318.75</v>
      </c>
      <c r="H199">
        <v>0.53810895273861981</v>
      </c>
      <c r="I199">
        <v>-0.46189104726138019</v>
      </c>
      <c r="J199">
        <v>-7.6217905477239611E-2</v>
      </c>
      <c r="K199">
        <f t="shared" si="15"/>
        <v>318.75</v>
      </c>
      <c r="L199">
        <f t="shared" si="16"/>
        <v>40</v>
      </c>
      <c r="M199">
        <f t="shared" si="17"/>
        <v>3.6847842705975373</v>
      </c>
      <c r="N199">
        <f t="shared" si="18"/>
        <v>43.68478427059754</v>
      </c>
      <c r="O199">
        <f t="shared" si="19"/>
        <v>141.48626084923748</v>
      </c>
    </row>
    <row r="200" spans="1:15" x14ac:dyDescent="0.25">
      <c r="A200" s="1">
        <v>45947</v>
      </c>
      <c r="B200">
        <v>6664.01</v>
      </c>
      <c r="C200">
        <v>6665</v>
      </c>
      <c r="D200">
        <v>35</v>
      </c>
      <c r="E200">
        <v>63</v>
      </c>
      <c r="F200">
        <v>270.14999999999998</v>
      </c>
      <c r="G200">
        <v>365.4</v>
      </c>
      <c r="H200">
        <v>0.5394953856363176</v>
      </c>
      <c r="I200">
        <v>-0.4605046143636824</v>
      </c>
      <c r="J200">
        <v>-7.8990771272635207E-2</v>
      </c>
      <c r="K200">
        <f t="shared" si="15"/>
        <v>270.14999999999998</v>
      </c>
      <c r="L200">
        <f t="shared" si="16"/>
        <v>-48.600000000000023</v>
      </c>
      <c r="M200">
        <f t="shared" si="17"/>
        <v>-2.663053617374791</v>
      </c>
      <c r="N200">
        <f t="shared" si="18"/>
        <v>-51.263053617374815</v>
      </c>
      <c r="O200">
        <f t="shared" si="19"/>
        <v>90.223207231862659</v>
      </c>
    </row>
    <row r="201" spans="1:15" x14ac:dyDescent="0.25">
      <c r="A201" s="1">
        <v>45950</v>
      </c>
      <c r="B201">
        <v>6735.13</v>
      </c>
      <c r="C201">
        <v>6735</v>
      </c>
      <c r="D201">
        <v>32</v>
      </c>
      <c r="E201">
        <v>60</v>
      </c>
      <c r="F201">
        <v>229.25</v>
      </c>
      <c r="G201">
        <v>324.75</v>
      </c>
      <c r="H201">
        <v>0.54262882033387172</v>
      </c>
      <c r="I201">
        <v>-0.45737117966612828</v>
      </c>
      <c r="J201">
        <v>-8.525764066774344E-2</v>
      </c>
      <c r="K201">
        <f t="shared" si="15"/>
        <v>229.25</v>
      </c>
      <c r="L201">
        <f t="shared" si="16"/>
        <v>-40.899999999999977</v>
      </c>
      <c r="M201">
        <f t="shared" si="17"/>
        <v>-5.6178236529098076</v>
      </c>
      <c r="N201">
        <f t="shared" si="18"/>
        <v>-46.517823652909783</v>
      </c>
      <c r="O201">
        <f t="shared" si="19"/>
        <v>43.705383578952876</v>
      </c>
    </row>
    <row r="202" spans="1:15" x14ac:dyDescent="0.25">
      <c r="A202" s="1">
        <v>45951</v>
      </c>
      <c r="B202">
        <v>6735.35</v>
      </c>
      <c r="C202">
        <v>6735</v>
      </c>
      <c r="D202">
        <v>31</v>
      </c>
      <c r="E202">
        <v>59</v>
      </c>
      <c r="F202">
        <v>220.35000000000002</v>
      </c>
      <c r="G202">
        <v>315.89999999999998</v>
      </c>
      <c r="H202">
        <v>0.54227652903855517</v>
      </c>
      <c r="I202">
        <v>-0.45772347096144483</v>
      </c>
      <c r="J202">
        <v>-8.4553058077110332E-2</v>
      </c>
      <c r="K202">
        <f t="shared" si="15"/>
        <v>220.35000000000002</v>
      </c>
      <c r="L202">
        <f t="shared" si="16"/>
        <v>-8.8999999999999773</v>
      </c>
      <c r="M202">
        <f t="shared" si="17"/>
        <v>-1.8756680946925269E-2</v>
      </c>
      <c r="N202">
        <f t="shared" si="18"/>
        <v>-8.9187566809469025</v>
      </c>
      <c r="O202">
        <f t="shared" si="19"/>
        <v>34.786626898005977</v>
      </c>
    </row>
    <row r="203" spans="1:15" x14ac:dyDescent="0.25">
      <c r="A203" s="1">
        <v>45952</v>
      </c>
      <c r="B203">
        <v>6699.4</v>
      </c>
      <c r="C203">
        <v>6700</v>
      </c>
      <c r="D203">
        <v>30</v>
      </c>
      <c r="E203">
        <v>58</v>
      </c>
      <c r="F203">
        <v>226.45</v>
      </c>
      <c r="G203">
        <v>322.35000000000002</v>
      </c>
      <c r="H203">
        <v>0.53902851892641335</v>
      </c>
      <c r="I203">
        <v>-0.46097148107358665</v>
      </c>
      <c r="J203">
        <v>-7.8057037852826694E-2</v>
      </c>
      <c r="K203">
        <f t="shared" si="15"/>
        <v>226.45</v>
      </c>
      <c r="L203">
        <f t="shared" si="16"/>
        <v>6.0999999999999659</v>
      </c>
      <c r="M203">
        <f t="shared" si="17"/>
        <v>3.0396824378721781</v>
      </c>
      <c r="N203">
        <f t="shared" si="18"/>
        <v>9.1396824378721444</v>
      </c>
      <c r="O203">
        <f t="shared" si="19"/>
        <v>43.926309335878123</v>
      </c>
    </row>
    <row r="204" spans="1:15" x14ac:dyDescent="0.25">
      <c r="A204" s="1">
        <v>45953</v>
      </c>
      <c r="B204">
        <v>6738.44</v>
      </c>
      <c r="C204">
        <v>6740</v>
      </c>
      <c r="D204">
        <v>29</v>
      </c>
      <c r="E204">
        <v>57</v>
      </c>
      <c r="F204">
        <v>207.7</v>
      </c>
      <c r="G204">
        <v>306.54999999999995</v>
      </c>
      <c r="H204">
        <v>0.53855305208695803</v>
      </c>
      <c r="I204">
        <v>-0.46144694791304197</v>
      </c>
      <c r="J204">
        <v>-7.7106104173916057E-2</v>
      </c>
      <c r="K204">
        <f t="shared" si="15"/>
        <v>207.7</v>
      </c>
      <c r="L204">
        <f t="shared" si="16"/>
        <v>-18.75</v>
      </c>
      <c r="M204">
        <f t="shared" si="17"/>
        <v>-3.0473467577743514</v>
      </c>
      <c r="N204">
        <f t="shared" si="18"/>
        <v>-21.797346757774353</v>
      </c>
      <c r="O204">
        <f t="shared" si="19"/>
        <v>22.128962578103771</v>
      </c>
    </row>
    <row r="205" spans="1:15" x14ac:dyDescent="0.25">
      <c r="A205" s="1">
        <v>45954</v>
      </c>
      <c r="B205">
        <v>6791.69</v>
      </c>
      <c r="C205">
        <v>6790</v>
      </c>
      <c r="D205">
        <v>28</v>
      </c>
      <c r="E205">
        <v>56</v>
      </c>
      <c r="F205">
        <v>193.15</v>
      </c>
      <c r="G205">
        <v>294.79999999999995</v>
      </c>
      <c r="H205">
        <v>0.54428071152387303</v>
      </c>
      <c r="I205">
        <v>-0.45571928847612697</v>
      </c>
      <c r="J205">
        <v>-8.8561423047746057E-2</v>
      </c>
      <c r="K205">
        <f t="shared" si="15"/>
        <v>193.15</v>
      </c>
      <c r="L205">
        <f t="shared" si="16"/>
        <v>-14.549999999999983</v>
      </c>
      <c r="M205">
        <f t="shared" si="17"/>
        <v>-4.1059000472610299</v>
      </c>
      <c r="N205">
        <f t="shared" si="18"/>
        <v>-18.655900047261014</v>
      </c>
      <c r="O205">
        <f t="shared" si="19"/>
        <v>3.473062530842757</v>
      </c>
    </row>
    <row r="206" spans="1:15" x14ac:dyDescent="0.25">
      <c r="A206" s="1">
        <v>45957</v>
      </c>
      <c r="B206">
        <v>6875.16</v>
      </c>
      <c r="C206">
        <v>6875</v>
      </c>
      <c r="D206">
        <v>25</v>
      </c>
      <c r="E206">
        <v>53</v>
      </c>
      <c r="F206">
        <v>184.5</v>
      </c>
      <c r="G206">
        <v>290.64999999999998</v>
      </c>
      <c r="H206">
        <v>0.54103572326218941</v>
      </c>
      <c r="I206">
        <v>-0.45896427673781059</v>
      </c>
      <c r="J206">
        <v>-8.207144652437881E-2</v>
      </c>
      <c r="K206">
        <f t="shared" si="15"/>
        <v>184.5</v>
      </c>
      <c r="L206">
        <f t="shared" si="16"/>
        <v>-8.6500000000000057</v>
      </c>
      <c r="M206">
        <f t="shared" si="17"/>
        <v>-7.3922219817953856</v>
      </c>
      <c r="N206">
        <f t="shared" si="18"/>
        <v>-16.042221981795393</v>
      </c>
      <c r="O206">
        <f t="shared" si="19"/>
        <v>-12.569159450952636</v>
      </c>
    </row>
    <row r="207" spans="1:15" x14ac:dyDescent="0.25">
      <c r="A207" s="1">
        <v>45958</v>
      </c>
      <c r="B207">
        <v>6890.89</v>
      </c>
      <c r="C207">
        <v>6890</v>
      </c>
      <c r="D207">
        <v>24</v>
      </c>
      <c r="E207">
        <v>52</v>
      </c>
      <c r="F207">
        <v>190.9</v>
      </c>
      <c r="G207">
        <v>301.2</v>
      </c>
      <c r="H207">
        <v>0.53918301020533232</v>
      </c>
      <c r="I207">
        <v>-0.46081698979466768</v>
      </c>
      <c r="J207">
        <v>-7.836602041066465E-2</v>
      </c>
      <c r="K207">
        <f t="shared" si="15"/>
        <v>190.9</v>
      </c>
      <c r="L207">
        <f t="shared" si="16"/>
        <v>6.4000000000000057</v>
      </c>
      <c r="M207">
        <f t="shared" si="17"/>
        <v>-1.2909838538285174</v>
      </c>
      <c r="N207">
        <f t="shared" si="18"/>
        <v>5.1090161461714878</v>
      </c>
      <c r="O207">
        <f t="shared" si="19"/>
        <v>-7.4601433047811483</v>
      </c>
    </row>
    <row r="208" spans="1:15" x14ac:dyDescent="0.25">
      <c r="A208" s="1">
        <v>45959</v>
      </c>
      <c r="B208">
        <v>6890.59</v>
      </c>
      <c r="C208">
        <v>6890</v>
      </c>
      <c r="D208">
        <v>23</v>
      </c>
      <c r="E208">
        <v>51</v>
      </c>
      <c r="F208">
        <v>194.29999999999998</v>
      </c>
      <c r="G208">
        <v>305.55</v>
      </c>
      <c r="H208">
        <v>0.5361782626163264</v>
      </c>
      <c r="I208">
        <v>-0.4638217373836736</v>
      </c>
      <c r="J208">
        <v>-7.2356525232652791E-2</v>
      </c>
      <c r="K208">
        <f t="shared" si="15"/>
        <v>194.29999999999998</v>
      </c>
      <c r="L208">
        <f t="shared" si="16"/>
        <v>3.3999999999999773</v>
      </c>
      <c r="M208">
        <f t="shared" si="17"/>
        <v>2.3509806123213649E-2</v>
      </c>
      <c r="N208">
        <f t="shared" si="18"/>
        <v>3.423509806123191</v>
      </c>
      <c r="O208">
        <f t="shared" si="19"/>
        <v>-4.0366334986579577</v>
      </c>
    </row>
    <row r="209" spans="1:15" x14ac:dyDescent="0.25">
      <c r="A209" s="1">
        <v>45960</v>
      </c>
      <c r="B209">
        <v>6822.34</v>
      </c>
      <c r="C209">
        <v>6820</v>
      </c>
      <c r="D209">
        <v>22</v>
      </c>
      <c r="E209">
        <v>50</v>
      </c>
      <c r="F209">
        <v>195.95</v>
      </c>
      <c r="G209">
        <v>313</v>
      </c>
      <c r="H209">
        <v>0.53805269341821793</v>
      </c>
      <c r="I209">
        <v>-0.46194730658178207</v>
      </c>
      <c r="J209">
        <v>-7.6105386836435862E-2</v>
      </c>
      <c r="K209">
        <f t="shared" si="15"/>
        <v>195.95</v>
      </c>
      <c r="L209">
        <f t="shared" si="16"/>
        <v>1.6500000000000057</v>
      </c>
      <c r="M209">
        <f t="shared" si="17"/>
        <v>4.938332847128553</v>
      </c>
      <c r="N209">
        <f t="shared" si="18"/>
        <v>6.5883328471285587</v>
      </c>
      <c r="O209">
        <f t="shared" si="19"/>
        <v>2.551699348470601</v>
      </c>
    </row>
    <row r="210" spans="1:15" x14ac:dyDescent="0.25">
      <c r="A210" s="1">
        <v>45961</v>
      </c>
      <c r="B210">
        <v>6840.2</v>
      </c>
      <c r="C210">
        <v>6840</v>
      </c>
      <c r="D210">
        <v>21</v>
      </c>
      <c r="E210">
        <v>49</v>
      </c>
      <c r="F210">
        <v>186.79999999999998</v>
      </c>
      <c r="G210">
        <v>307.64999999999998</v>
      </c>
      <c r="H210">
        <v>0.53349326573028177</v>
      </c>
      <c r="I210">
        <v>-0.46650673426971823</v>
      </c>
      <c r="J210">
        <v>-6.6986531460563548E-2</v>
      </c>
      <c r="K210">
        <f t="shared" si="15"/>
        <v>186.79999999999998</v>
      </c>
      <c r="L210">
        <f t="shared" si="16"/>
        <v>-9.1500000000000057</v>
      </c>
      <c r="M210">
        <f t="shared" si="17"/>
        <v>-1.3592422088987195</v>
      </c>
      <c r="N210">
        <f t="shared" si="18"/>
        <v>-10.509242208898725</v>
      </c>
      <c r="O210">
        <f t="shared" si="19"/>
        <v>-7.9575428604281235</v>
      </c>
    </row>
    <row r="211" spans="1:15" x14ac:dyDescent="0.25">
      <c r="A211" s="1">
        <v>45964</v>
      </c>
      <c r="B211">
        <v>6851.97</v>
      </c>
      <c r="C211">
        <v>6850</v>
      </c>
      <c r="D211">
        <v>18</v>
      </c>
      <c r="E211">
        <v>46</v>
      </c>
      <c r="F211">
        <v>170</v>
      </c>
      <c r="G211">
        <v>295.35000000000002</v>
      </c>
      <c r="H211">
        <v>0.53698292258607927</v>
      </c>
      <c r="I211">
        <v>-0.46301707741392073</v>
      </c>
      <c r="J211">
        <v>-7.396584517215854E-2</v>
      </c>
      <c r="K211">
        <f t="shared" si="15"/>
        <v>170</v>
      </c>
      <c r="L211">
        <f t="shared" si="16"/>
        <v>-16.799999999999983</v>
      </c>
      <c r="M211">
        <f t="shared" si="17"/>
        <v>-0.78843147529086222</v>
      </c>
      <c r="N211">
        <f t="shared" si="18"/>
        <v>-17.588431475290847</v>
      </c>
      <c r="O211">
        <f t="shared" si="19"/>
        <v>-25.54597433571897</v>
      </c>
    </row>
    <row r="212" spans="1:15" x14ac:dyDescent="0.25">
      <c r="A212" s="1">
        <v>45965</v>
      </c>
      <c r="B212">
        <v>6771.55</v>
      </c>
      <c r="C212">
        <v>6770</v>
      </c>
      <c r="D212">
        <v>17</v>
      </c>
      <c r="E212">
        <v>45</v>
      </c>
      <c r="F212">
        <v>183.85</v>
      </c>
      <c r="G212">
        <v>307.29999999999995</v>
      </c>
      <c r="H212">
        <v>0.53174938716477871</v>
      </c>
      <c r="I212">
        <v>-0.46825061283522129</v>
      </c>
      <c r="J212">
        <v>-6.3498774329557417E-2</v>
      </c>
      <c r="K212">
        <f t="shared" si="15"/>
        <v>183.85</v>
      </c>
      <c r="L212">
        <f t="shared" si="16"/>
        <v>13.849999999999994</v>
      </c>
      <c r="M212">
        <f t="shared" si="17"/>
        <v>5.948333268744995</v>
      </c>
      <c r="N212">
        <f t="shared" si="18"/>
        <v>19.79833326874499</v>
      </c>
      <c r="O212">
        <f t="shared" si="19"/>
        <v>-5.7476410669739799</v>
      </c>
    </row>
    <row r="213" spans="1:15" x14ac:dyDescent="0.25">
      <c r="A213" s="1">
        <v>45966</v>
      </c>
      <c r="B213">
        <v>6796.29</v>
      </c>
      <c r="C213">
        <v>6795</v>
      </c>
      <c r="D213">
        <v>16</v>
      </c>
      <c r="E213">
        <v>44</v>
      </c>
      <c r="F213">
        <v>164.3</v>
      </c>
      <c r="G213">
        <v>288.85000000000002</v>
      </c>
      <c r="H213">
        <v>0.54765105716693641</v>
      </c>
      <c r="I213">
        <v>-0.45234894283306359</v>
      </c>
      <c r="J213">
        <v>-9.5302114333872812E-2</v>
      </c>
      <c r="K213">
        <f t="shared" si="15"/>
        <v>288.85000000000002</v>
      </c>
      <c r="L213">
        <f t="shared" si="16"/>
        <v>105.00000000000003</v>
      </c>
      <c r="M213">
        <f t="shared" si="17"/>
        <v>-1.5709596769132366</v>
      </c>
      <c r="N213">
        <f t="shared" si="18"/>
        <v>103.4290403230868</v>
      </c>
      <c r="O213">
        <f t="shared" si="19"/>
        <v>97.681399256112812</v>
      </c>
    </row>
    <row r="214" spans="1:15" x14ac:dyDescent="0.25">
      <c r="A214" s="1">
        <v>45967</v>
      </c>
      <c r="B214">
        <v>6720.32</v>
      </c>
      <c r="C214">
        <v>6720</v>
      </c>
      <c r="D214">
        <v>15</v>
      </c>
      <c r="E214">
        <v>43</v>
      </c>
      <c r="F214">
        <v>179.70000000000002</v>
      </c>
      <c r="G214">
        <v>305</v>
      </c>
      <c r="H214">
        <v>0.54361862352583246</v>
      </c>
      <c r="I214">
        <v>-0.45638137647416754</v>
      </c>
      <c r="J214">
        <v>-8.7237247051664912E-2</v>
      </c>
      <c r="K214">
        <f t="shared" si="15"/>
        <v>305</v>
      </c>
      <c r="L214">
        <f t="shared" si="16"/>
        <v>16.149999999999977</v>
      </c>
      <c r="M214">
        <f t="shared" si="17"/>
        <v>7.2401016259443418</v>
      </c>
      <c r="N214">
        <f t="shared" si="18"/>
        <v>23.390101625944318</v>
      </c>
      <c r="O214">
        <f t="shared" si="19"/>
        <v>121.07150088205714</v>
      </c>
    </row>
    <row r="215" spans="1:15" x14ac:dyDescent="0.25">
      <c r="A215" s="1">
        <v>45968</v>
      </c>
      <c r="B215">
        <v>6728.8</v>
      </c>
      <c r="C215">
        <v>6730</v>
      </c>
      <c r="D215">
        <v>14</v>
      </c>
      <c r="E215">
        <v>42</v>
      </c>
      <c r="F215">
        <v>167.14999999999998</v>
      </c>
      <c r="G215">
        <v>294.3</v>
      </c>
      <c r="H215">
        <v>0.5416430668993597</v>
      </c>
      <c r="I215">
        <v>-0.4583569331006403</v>
      </c>
      <c r="J215">
        <v>-8.3286133798719408E-2</v>
      </c>
      <c r="K215">
        <f t="shared" si="15"/>
        <v>294.3</v>
      </c>
      <c r="L215">
        <f t="shared" si="16"/>
        <v>-10.699999999999989</v>
      </c>
      <c r="M215">
        <f t="shared" si="17"/>
        <v>-0.73977185499815967</v>
      </c>
      <c r="N215">
        <f t="shared" si="18"/>
        <v>-11.439771854998149</v>
      </c>
      <c r="O215">
        <f t="shared" si="19"/>
        <v>109.63172902705898</v>
      </c>
    </row>
    <row r="216" spans="1:15" x14ac:dyDescent="0.25">
      <c r="A216" s="1">
        <v>45971</v>
      </c>
      <c r="B216">
        <v>6832.43</v>
      </c>
      <c r="C216">
        <v>6830</v>
      </c>
      <c r="D216">
        <v>11</v>
      </c>
      <c r="E216">
        <v>39</v>
      </c>
      <c r="F216">
        <v>130.19999999999999</v>
      </c>
      <c r="G216">
        <v>262.35000000000002</v>
      </c>
      <c r="H216">
        <v>0.54783619960736396</v>
      </c>
      <c r="I216">
        <v>-0.45216380039263604</v>
      </c>
      <c r="J216">
        <v>-9.5672399214727921E-2</v>
      </c>
      <c r="K216">
        <f t="shared" si="15"/>
        <v>262.35000000000002</v>
      </c>
      <c r="L216">
        <f t="shared" si="16"/>
        <v>-31.949999999999989</v>
      </c>
      <c r="M216">
        <f t="shared" si="17"/>
        <v>-8.6309420455613015</v>
      </c>
      <c r="N216">
        <f t="shared" si="18"/>
        <v>-40.580942045561287</v>
      </c>
      <c r="O216">
        <f t="shared" si="19"/>
        <v>69.050786981497694</v>
      </c>
    </row>
    <row r="217" spans="1:15" x14ac:dyDescent="0.25">
      <c r="A217" s="1">
        <v>45972</v>
      </c>
      <c r="B217">
        <v>6846.61</v>
      </c>
      <c r="C217">
        <v>6845</v>
      </c>
      <c r="D217">
        <v>10</v>
      </c>
      <c r="E217">
        <v>38</v>
      </c>
      <c r="F217">
        <v>119.1</v>
      </c>
      <c r="G217">
        <v>256.54999999999995</v>
      </c>
      <c r="H217">
        <v>0.54657848659231711</v>
      </c>
      <c r="I217">
        <v>-0.45342151340768289</v>
      </c>
      <c r="J217">
        <v>-9.3156973184634229E-2</v>
      </c>
      <c r="K217">
        <f t="shared" si="15"/>
        <v>256.54999999999995</v>
      </c>
      <c r="L217">
        <f t="shared" si="16"/>
        <v>-5.8000000000000682</v>
      </c>
      <c r="M217">
        <f t="shared" si="17"/>
        <v>-1.3566346208647828</v>
      </c>
      <c r="N217">
        <f t="shared" si="18"/>
        <v>-7.1566346208648515</v>
      </c>
      <c r="O217">
        <f t="shared" si="19"/>
        <v>61.894152360632845</v>
      </c>
    </row>
    <row r="218" spans="1:15" x14ac:dyDescent="0.25">
      <c r="A218" s="1">
        <v>45973</v>
      </c>
      <c r="B218">
        <v>6850.92</v>
      </c>
      <c r="C218">
        <v>6850</v>
      </c>
      <c r="D218">
        <v>9</v>
      </c>
      <c r="E218">
        <v>37</v>
      </c>
      <c r="F218">
        <v>116.2</v>
      </c>
      <c r="G218">
        <v>255.20000000000002</v>
      </c>
      <c r="H218">
        <v>0.54492359856231398</v>
      </c>
      <c r="I218">
        <v>-0.45507640143768602</v>
      </c>
      <c r="J218">
        <v>-8.9847197124627964E-2</v>
      </c>
      <c r="K218">
        <f t="shared" si="15"/>
        <v>255.20000000000002</v>
      </c>
      <c r="L218">
        <f t="shared" si="16"/>
        <v>-1.3499999999999375</v>
      </c>
      <c r="M218">
        <f t="shared" si="17"/>
        <v>-0.40150655442581079</v>
      </c>
      <c r="N218">
        <f t="shared" si="18"/>
        <v>-1.7515065544257482</v>
      </c>
      <c r="O218">
        <f t="shared" si="19"/>
        <v>60.142645806207099</v>
      </c>
    </row>
    <row r="219" spans="1:15" x14ac:dyDescent="0.25">
      <c r="A219" s="1">
        <v>45974</v>
      </c>
      <c r="B219">
        <v>6737.49</v>
      </c>
      <c r="C219">
        <v>6735</v>
      </c>
      <c r="D219">
        <v>8</v>
      </c>
      <c r="E219">
        <v>36</v>
      </c>
      <c r="F219">
        <v>136.69999999999999</v>
      </c>
      <c r="G219">
        <v>280.59999999999997</v>
      </c>
      <c r="H219">
        <v>0.54297869038973623</v>
      </c>
      <c r="I219">
        <v>-0.45702130961026377</v>
      </c>
      <c r="J219">
        <v>-8.5957380779472459E-2</v>
      </c>
      <c r="K219">
        <f t="shared" si="15"/>
        <v>280.59999999999997</v>
      </c>
      <c r="L219">
        <f t="shared" si="16"/>
        <v>25.399999999999949</v>
      </c>
      <c r="M219">
        <f t="shared" si="17"/>
        <v>10.191367569846577</v>
      </c>
      <c r="N219">
        <f t="shared" si="18"/>
        <v>35.591367569846525</v>
      </c>
      <c r="O219">
        <f t="shared" si="19"/>
        <v>95.734013376053625</v>
      </c>
    </row>
    <row r="220" spans="1:15" x14ac:dyDescent="0.25">
      <c r="A220" s="1">
        <v>45975</v>
      </c>
      <c r="B220">
        <v>6734.11</v>
      </c>
      <c r="C220">
        <v>6735</v>
      </c>
      <c r="D220">
        <v>7</v>
      </c>
      <c r="E220">
        <v>35</v>
      </c>
      <c r="F220">
        <v>125</v>
      </c>
      <c r="G220">
        <v>273.5</v>
      </c>
      <c r="H220">
        <v>0.53836155889557236</v>
      </c>
      <c r="I220">
        <v>-0.46163844110442764</v>
      </c>
      <c r="J220">
        <v>-7.6723117791144713E-2</v>
      </c>
      <c r="K220">
        <f t="shared" si="15"/>
        <v>273.5</v>
      </c>
      <c r="L220">
        <f t="shared" si="16"/>
        <v>-7.0999999999999659</v>
      </c>
      <c r="M220">
        <f t="shared" si="17"/>
        <v>0.29053594703462632</v>
      </c>
      <c r="N220">
        <f t="shared" si="18"/>
        <v>-6.8094640529653399</v>
      </c>
      <c r="O220">
        <f t="shared" si="19"/>
        <v>88.924549323088286</v>
      </c>
    </row>
    <row r="221" spans="1:15" x14ac:dyDescent="0.25">
      <c r="A221" s="1">
        <v>45978</v>
      </c>
      <c r="B221">
        <v>6672.41</v>
      </c>
      <c r="C221">
        <v>6670</v>
      </c>
      <c r="D221">
        <v>4</v>
      </c>
      <c r="E221">
        <v>32</v>
      </c>
      <c r="F221">
        <v>126</v>
      </c>
      <c r="G221">
        <v>288.75</v>
      </c>
      <c r="H221">
        <v>0.53926067305785952</v>
      </c>
      <c r="I221">
        <v>-0.46073932694214048</v>
      </c>
      <c r="J221">
        <v>-7.8521346115719037E-2</v>
      </c>
      <c r="K221">
        <f t="shared" si="15"/>
        <v>288.75</v>
      </c>
      <c r="L221">
        <f t="shared" si="16"/>
        <v>15.25</v>
      </c>
      <c r="M221">
        <f t="shared" si="17"/>
        <v>4.7338163677136151</v>
      </c>
      <c r="N221">
        <f t="shared" si="18"/>
        <v>19.983816367713615</v>
      </c>
      <c r="O221">
        <f t="shared" si="19"/>
        <v>108.9083656908019</v>
      </c>
    </row>
    <row r="222" spans="1:15" x14ac:dyDescent="0.25">
      <c r="A222" s="1">
        <v>45979</v>
      </c>
      <c r="B222">
        <v>6617.32</v>
      </c>
      <c r="C222">
        <v>6615</v>
      </c>
      <c r="D222">
        <v>3</v>
      </c>
      <c r="E222">
        <v>31</v>
      </c>
      <c r="F222">
        <v>121.2</v>
      </c>
      <c r="G222">
        <v>304.39999999999998</v>
      </c>
      <c r="H222">
        <v>0.53709169838407234</v>
      </c>
      <c r="I222">
        <v>-0.46290830161592766</v>
      </c>
      <c r="J222">
        <v>-7.4183396768144672E-2</v>
      </c>
      <c r="K222">
        <f t="shared" si="15"/>
        <v>304.39999999999998</v>
      </c>
      <c r="L222">
        <f t="shared" si="16"/>
        <v>15.649999999999977</v>
      </c>
      <c r="M222">
        <f t="shared" si="17"/>
        <v>4.3257409575149728</v>
      </c>
      <c r="N222">
        <f t="shared" si="18"/>
        <v>19.975740957514951</v>
      </c>
      <c r="O222">
        <f t="shared" si="19"/>
        <v>128.88410664831684</v>
      </c>
    </row>
    <row r="223" spans="1:15" x14ac:dyDescent="0.25">
      <c r="A223" s="1">
        <v>45980</v>
      </c>
      <c r="B223">
        <v>6642.16</v>
      </c>
      <c r="C223">
        <v>6640</v>
      </c>
      <c r="D223">
        <v>2</v>
      </c>
      <c r="E223">
        <v>30</v>
      </c>
      <c r="F223">
        <v>98.350000000000009</v>
      </c>
      <c r="G223">
        <v>288.89999999999998</v>
      </c>
      <c r="H223">
        <v>0.5367310165080611</v>
      </c>
      <c r="I223">
        <v>-0.4632689834919389</v>
      </c>
      <c r="J223">
        <v>-7.3462033016122197E-2</v>
      </c>
      <c r="K223">
        <f t="shared" si="15"/>
        <v>288.89999999999998</v>
      </c>
      <c r="L223">
        <f t="shared" si="16"/>
        <v>-15.5</v>
      </c>
      <c r="M223">
        <f t="shared" si="17"/>
        <v>-1.8427155757207245</v>
      </c>
      <c r="N223">
        <f t="shared" si="18"/>
        <v>-17.342715575720725</v>
      </c>
      <c r="O223">
        <f t="shared" si="19"/>
        <v>111.54139107259613</v>
      </c>
    </row>
    <row r="224" spans="1:15" x14ac:dyDescent="0.25">
      <c r="A224" s="1">
        <v>45981</v>
      </c>
      <c r="B224">
        <v>6538.76</v>
      </c>
      <c r="C224">
        <v>6540</v>
      </c>
      <c r="D224">
        <v>1</v>
      </c>
      <c r="E224">
        <v>29</v>
      </c>
      <c r="F224">
        <v>59.45</v>
      </c>
      <c r="G224">
        <v>315.39999999999998</v>
      </c>
      <c r="H224">
        <v>0.53132800826576598</v>
      </c>
      <c r="I224">
        <v>-0.46867199173423402</v>
      </c>
      <c r="J224">
        <v>-6.2656016531531966E-2</v>
      </c>
      <c r="K224">
        <f t="shared" si="15"/>
        <v>315.39999999999998</v>
      </c>
      <c r="L224">
        <f t="shared" si="16"/>
        <v>26.5</v>
      </c>
      <c r="M224">
        <f t="shared" si="17"/>
        <v>7.5959742138670086</v>
      </c>
      <c r="N224">
        <f t="shared" si="18"/>
        <v>34.095974213867009</v>
      </c>
      <c r="O224">
        <f t="shared" si="19"/>
        <v>145.63736528646314</v>
      </c>
    </row>
    <row r="225" spans="1:15" x14ac:dyDescent="0.25">
      <c r="A225" s="1">
        <v>45982</v>
      </c>
      <c r="B225">
        <v>6602.99</v>
      </c>
      <c r="C225">
        <v>6605</v>
      </c>
      <c r="D225">
        <v>28</v>
      </c>
      <c r="E225">
        <v>56</v>
      </c>
      <c r="F225">
        <v>280.45000000000005</v>
      </c>
      <c r="G225">
        <v>380.7</v>
      </c>
      <c r="H225">
        <v>0.53071382010051238</v>
      </c>
      <c r="I225">
        <v>-0.46928617989948762</v>
      </c>
      <c r="J225">
        <v>-6.1427640201024758E-2</v>
      </c>
      <c r="K225">
        <f t="shared" si="15"/>
        <v>280.45000000000005</v>
      </c>
      <c r="L225">
        <f t="shared" si="16"/>
        <v>-34.949999999999932</v>
      </c>
      <c r="M225">
        <f t="shared" si="17"/>
        <v>-4.0243959418202708</v>
      </c>
      <c r="N225">
        <f t="shared" si="18"/>
        <v>-38.974395941820205</v>
      </c>
      <c r="O225">
        <f t="shared" si="19"/>
        <v>106.66296934464293</v>
      </c>
    </row>
    <row r="226" spans="1:15" x14ac:dyDescent="0.25">
      <c r="A226" s="1">
        <v>45985</v>
      </c>
      <c r="B226">
        <v>6705.12</v>
      </c>
      <c r="C226">
        <v>6705</v>
      </c>
      <c r="D226">
        <v>25</v>
      </c>
      <c r="E226">
        <v>53</v>
      </c>
      <c r="F226">
        <v>234.75</v>
      </c>
      <c r="G226">
        <v>335.4</v>
      </c>
      <c r="H226">
        <v>0.53374817844033839</v>
      </c>
      <c r="I226">
        <v>-0.46625182155966161</v>
      </c>
      <c r="J226">
        <v>-6.7496356880676789E-2</v>
      </c>
      <c r="K226">
        <f t="shared" si="15"/>
        <v>234.75</v>
      </c>
      <c r="L226">
        <f t="shared" si="16"/>
        <v>-45.700000000000045</v>
      </c>
      <c r="M226">
        <f t="shared" si="17"/>
        <v>-6.2736048937306652</v>
      </c>
      <c r="N226">
        <f t="shared" si="18"/>
        <v>-51.973604893730709</v>
      </c>
      <c r="O226">
        <f t="shared" si="19"/>
        <v>54.689364450912223</v>
      </c>
    </row>
    <row r="227" spans="1:15" x14ac:dyDescent="0.25">
      <c r="A227" s="1">
        <v>45986</v>
      </c>
      <c r="B227">
        <v>6765.88</v>
      </c>
      <c r="C227">
        <v>6765</v>
      </c>
      <c r="D227">
        <v>24</v>
      </c>
      <c r="E227">
        <v>52</v>
      </c>
      <c r="F227">
        <v>208.8</v>
      </c>
      <c r="G227">
        <v>310.75</v>
      </c>
      <c r="H227">
        <v>0.53601311347852232</v>
      </c>
      <c r="I227">
        <v>-0.46398688652147768</v>
      </c>
      <c r="J227">
        <v>-7.2026226957044637E-2</v>
      </c>
      <c r="K227">
        <f t="shared" si="15"/>
        <v>208.8</v>
      </c>
      <c r="L227">
        <f t="shared" si="16"/>
        <v>-25.949999999999989</v>
      </c>
      <c r="M227">
        <f t="shared" si="17"/>
        <v>-4.1010786440699363</v>
      </c>
      <c r="N227">
        <f t="shared" si="18"/>
        <v>-30.051078644069925</v>
      </c>
      <c r="O227">
        <f t="shared" si="19"/>
        <v>24.638285806842298</v>
      </c>
    </row>
    <row r="228" spans="1:15" x14ac:dyDescent="0.25">
      <c r="A228" s="1">
        <v>45987</v>
      </c>
      <c r="B228">
        <v>6812.61</v>
      </c>
      <c r="C228">
        <v>6815</v>
      </c>
      <c r="D228">
        <v>23</v>
      </c>
      <c r="E228">
        <v>51</v>
      </c>
      <c r="F228">
        <v>192.3</v>
      </c>
      <c r="G228">
        <v>296.70000000000005</v>
      </c>
      <c r="H228">
        <v>0.53146765068786928</v>
      </c>
      <c r="I228">
        <v>-0.46853234931213072</v>
      </c>
      <c r="J228">
        <v>-6.293530137573855E-2</v>
      </c>
      <c r="K228">
        <f t="shared" si="15"/>
        <v>192.3</v>
      </c>
      <c r="L228">
        <f t="shared" si="16"/>
        <v>-16.5</v>
      </c>
      <c r="M228">
        <f t="shared" si="17"/>
        <v>-3.3657855857026644</v>
      </c>
      <c r="N228">
        <f t="shared" si="18"/>
        <v>-19.865785585702664</v>
      </c>
      <c r="O228">
        <f t="shared" si="19"/>
        <v>4.7725002211396337</v>
      </c>
    </row>
    <row r="229" spans="1:15" x14ac:dyDescent="0.25">
      <c r="A229" s="1">
        <v>45989</v>
      </c>
      <c r="B229">
        <v>6849.09</v>
      </c>
      <c r="C229">
        <v>6850</v>
      </c>
      <c r="D229">
        <v>21</v>
      </c>
      <c r="E229">
        <v>49</v>
      </c>
      <c r="F229">
        <v>178.05</v>
      </c>
      <c r="G229">
        <v>281.85000000000002</v>
      </c>
      <c r="H229">
        <v>0.53243969841689287</v>
      </c>
      <c r="I229">
        <v>-0.46756030158310713</v>
      </c>
      <c r="J229">
        <v>-6.4879396833785741E-2</v>
      </c>
      <c r="K229">
        <f t="shared" si="15"/>
        <v>178.05</v>
      </c>
      <c r="L229">
        <f t="shared" si="16"/>
        <v>-14.25</v>
      </c>
      <c r="M229">
        <f t="shared" si="17"/>
        <v>-2.295879794186972</v>
      </c>
      <c r="N229">
        <f t="shared" si="18"/>
        <v>-16.545879794186973</v>
      </c>
      <c r="O229">
        <f t="shared" si="19"/>
        <v>-11.77337957304734</v>
      </c>
    </row>
    <row r="230" spans="1:15" x14ac:dyDescent="0.25">
      <c r="A230" s="1">
        <v>45992</v>
      </c>
      <c r="B230">
        <v>6812.63</v>
      </c>
      <c r="C230">
        <v>6815</v>
      </c>
      <c r="D230">
        <v>18</v>
      </c>
      <c r="E230">
        <v>46</v>
      </c>
      <c r="F230">
        <v>175.15</v>
      </c>
      <c r="G230">
        <v>281.7</v>
      </c>
      <c r="H230">
        <v>0.52651820613345834</v>
      </c>
      <c r="I230">
        <v>-0.47348179386654166</v>
      </c>
      <c r="J230">
        <v>-5.3036412266916688E-2</v>
      </c>
      <c r="K230">
        <f t="shared" si="15"/>
        <v>175.15</v>
      </c>
      <c r="L230">
        <f t="shared" si="16"/>
        <v>-2.9000000000000057</v>
      </c>
      <c r="M230">
        <f t="shared" si="17"/>
        <v>2.3655028085598304</v>
      </c>
      <c r="N230">
        <f t="shared" si="18"/>
        <v>-0.53449719144017527</v>
      </c>
      <c r="O230">
        <f t="shared" si="19"/>
        <v>-12.307876764487515</v>
      </c>
    </row>
    <row r="231" spans="1:15" x14ac:dyDescent="0.25">
      <c r="A231" s="1">
        <v>45993</v>
      </c>
      <c r="B231">
        <v>6829.37</v>
      </c>
      <c r="C231">
        <v>6830</v>
      </c>
      <c r="D231">
        <v>17</v>
      </c>
      <c r="E231">
        <v>45</v>
      </c>
      <c r="F231">
        <v>163.9</v>
      </c>
      <c r="G231">
        <v>273.8</v>
      </c>
      <c r="H231">
        <v>0.52896135512570841</v>
      </c>
      <c r="I231">
        <v>-0.47103864487429159</v>
      </c>
      <c r="J231">
        <v>-5.792271025141682E-2</v>
      </c>
      <c r="K231">
        <f t="shared" si="15"/>
        <v>163.9</v>
      </c>
      <c r="L231">
        <f t="shared" si="16"/>
        <v>-11.25</v>
      </c>
      <c r="M231">
        <f t="shared" si="17"/>
        <v>-0.88782954134817382</v>
      </c>
      <c r="N231">
        <f t="shared" si="18"/>
        <v>-12.137829541348173</v>
      </c>
      <c r="O231">
        <f t="shared" si="19"/>
        <v>-24.445706305835689</v>
      </c>
    </row>
    <row r="232" spans="1:15" x14ac:dyDescent="0.25">
      <c r="A232" s="1">
        <v>45994</v>
      </c>
      <c r="B232">
        <v>6849.72</v>
      </c>
      <c r="C232">
        <v>6850</v>
      </c>
      <c r="D232">
        <v>16</v>
      </c>
      <c r="E232">
        <v>44</v>
      </c>
      <c r="F232">
        <v>153.6</v>
      </c>
      <c r="G232">
        <v>265.89999999999998</v>
      </c>
      <c r="H232">
        <v>0.54636988535044062</v>
      </c>
      <c r="I232">
        <v>-0.45363011464955938</v>
      </c>
      <c r="J232">
        <v>-9.2739770700881241E-2</v>
      </c>
      <c r="K232">
        <f t="shared" si="15"/>
        <v>265.89999999999998</v>
      </c>
      <c r="L232">
        <f t="shared" si="16"/>
        <v>101.99999999999997</v>
      </c>
      <c r="M232">
        <f t="shared" si="17"/>
        <v>-1.1787271536163533</v>
      </c>
      <c r="N232">
        <f t="shared" si="18"/>
        <v>100.82127284638362</v>
      </c>
      <c r="O232">
        <f t="shared" si="19"/>
        <v>76.375566540547936</v>
      </c>
    </row>
    <row r="233" spans="1:15" x14ac:dyDescent="0.25">
      <c r="A233" s="1">
        <v>45995</v>
      </c>
      <c r="B233">
        <v>6857.12</v>
      </c>
      <c r="C233">
        <v>6855</v>
      </c>
      <c r="D233">
        <v>15</v>
      </c>
      <c r="E233">
        <v>43</v>
      </c>
      <c r="F233">
        <v>143.65</v>
      </c>
      <c r="G233">
        <v>256</v>
      </c>
      <c r="H233">
        <v>0.5494692177882452</v>
      </c>
      <c r="I233">
        <v>-0.4505307822117548</v>
      </c>
      <c r="J233">
        <v>-9.8938435576490402E-2</v>
      </c>
      <c r="K233">
        <f t="shared" si="15"/>
        <v>256</v>
      </c>
      <c r="L233">
        <f t="shared" si="16"/>
        <v>-9.8999999999999773</v>
      </c>
      <c r="M233">
        <f t="shared" si="17"/>
        <v>-0.68627430318648741</v>
      </c>
      <c r="N233">
        <f t="shared" si="18"/>
        <v>-10.586274303186464</v>
      </c>
      <c r="O233">
        <f t="shared" si="19"/>
        <v>65.789292237361479</v>
      </c>
    </row>
    <row r="234" spans="1:15" x14ac:dyDescent="0.25">
      <c r="A234" s="1">
        <v>45996</v>
      </c>
      <c r="B234">
        <v>6870.4</v>
      </c>
      <c r="C234">
        <v>6870</v>
      </c>
      <c r="D234">
        <v>14</v>
      </c>
      <c r="E234">
        <v>42</v>
      </c>
      <c r="F234">
        <v>134.1</v>
      </c>
      <c r="G234">
        <v>247.9</v>
      </c>
      <c r="H234">
        <v>0.54653180399521184</v>
      </c>
      <c r="I234">
        <v>-0.45346819600478816</v>
      </c>
      <c r="J234">
        <v>-9.306360799042368E-2</v>
      </c>
      <c r="K234">
        <f t="shared" si="15"/>
        <v>247.9</v>
      </c>
      <c r="L234">
        <f t="shared" si="16"/>
        <v>-8.0999999999999943</v>
      </c>
      <c r="M234">
        <f t="shared" si="17"/>
        <v>-1.3139024244557673</v>
      </c>
      <c r="N234">
        <f t="shared" si="18"/>
        <v>-9.4139024244557614</v>
      </c>
      <c r="O234">
        <f t="shared" si="19"/>
        <v>56.375389812905716</v>
      </c>
    </row>
    <row r="235" spans="1:15" x14ac:dyDescent="0.25">
      <c r="A235" s="1">
        <v>45999</v>
      </c>
      <c r="B235">
        <v>6846.51</v>
      </c>
      <c r="C235">
        <v>6845</v>
      </c>
      <c r="D235">
        <v>11</v>
      </c>
      <c r="E235">
        <v>39</v>
      </c>
      <c r="F235">
        <v>133.94999999999999</v>
      </c>
      <c r="G235">
        <v>251.1</v>
      </c>
      <c r="H235">
        <v>0.54586128917249521</v>
      </c>
      <c r="I235">
        <v>-0.45413871082750479</v>
      </c>
      <c r="J235">
        <v>-9.1722578344990424E-2</v>
      </c>
      <c r="K235">
        <f t="shared" si="15"/>
        <v>251.1</v>
      </c>
      <c r="L235">
        <f t="shared" si="16"/>
        <v>3.1999999999999886</v>
      </c>
      <c r="M235">
        <f t="shared" si="17"/>
        <v>2.2232895948911677</v>
      </c>
      <c r="N235">
        <f t="shared" si="18"/>
        <v>5.4232895948911564</v>
      </c>
      <c r="O235">
        <f t="shared" si="19"/>
        <v>61.798679407796875</v>
      </c>
    </row>
    <row r="236" spans="1:15" x14ac:dyDescent="0.25">
      <c r="A236" s="1">
        <v>46000</v>
      </c>
      <c r="B236">
        <v>6840.51</v>
      </c>
      <c r="C236">
        <v>6840</v>
      </c>
      <c r="D236">
        <v>10</v>
      </c>
      <c r="E236">
        <v>38</v>
      </c>
      <c r="F236">
        <v>128.15</v>
      </c>
      <c r="G236">
        <v>247.75</v>
      </c>
      <c r="H236">
        <v>0.54368922874185177</v>
      </c>
      <c r="I236">
        <v>-0.45631077125814823</v>
      </c>
      <c r="J236">
        <v>-8.7378457483703542E-2</v>
      </c>
      <c r="K236">
        <f t="shared" si="15"/>
        <v>247.75</v>
      </c>
      <c r="L236">
        <f t="shared" si="16"/>
        <v>-3.3499999999999943</v>
      </c>
      <c r="M236">
        <f t="shared" si="17"/>
        <v>0.55033547006994255</v>
      </c>
      <c r="N236">
        <f t="shared" si="18"/>
        <v>-2.7996645299300518</v>
      </c>
      <c r="O236">
        <f t="shared" si="19"/>
        <v>58.999014877866827</v>
      </c>
    </row>
    <row r="237" spans="1:15" x14ac:dyDescent="0.25">
      <c r="A237" s="1">
        <v>46001</v>
      </c>
      <c r="B237">
        <v>6886.68</v>
      </c>
      <c r="C237">
        <v>6885</v>
      </c>
      <c r="D237">
        <v>9</v>
      </c>
      <c r="E237">
        <v>37</v>
      </c>
      <c r="F237">
        <v>110.05</v>
      </c>
      <c r="G237">
        <v>229.45000000000002</v>
      </c>
      <c r="H237">
        <v>0.54670840242754881</v>
      </c>
      <c r="I237">
        <v>-0.45329159757245119</v>
      </c>
      <c r="J237">
        <v>-9.3416804855097624E-2</v>
      </c>
      <c r="K237">
        <f t="shared" si="15"/>
        <v>229.45000000000002</v>
      </c>
      <c r="L237">
        <f t="shared" si="16"/>
        <v>-18.299999999999983</v>
      </c>
      <c r="M237">
        <f t="shared" si="17"/>
        <v>-4.0342633820225986</v>
      </c>
      <c r="N237">
        <f t="shared" si="18"/>
        <v>-22.334263382022581</v>
      </c>
      <c r="O237">
        <f t="shared" si="19"/>
        <v>36.664751495844243</v>
      </c>
    </row>
    <row r="238" spans="1:15" x14ac:dyDescent="0.25">
      <c r="A238" s="1">
        <v>46002</v>
      </c>
      <c r="B238">
        <v>6901</v>
      </c>
      <c r="C238">
        <v>6900</v>
      </c>
      <c r="D238">
        <v>8</v>
      </c>
      <c r="E238">
        <v>36</v>
      </c>
      <c r="F238">
        <v>93.949999999999989</v>
      </c>
      <c r="G238">
        <v>218.35</v>
      </c>
      <c r="H238">
        <v>0.54590242292045732</v>
      </c>
      <c r="I238">
        <v>-0.45409757707954268</v>
      </c>
      <c r="J238">
        <v>-9.180484584091464E-2</v>
      </c>
      <c r="K238">
        <f t="shared" si="15"/>
        <v>218.35</v>
      </c>
      <c r="L238">
        <f t="shared" si="16"/>
        <v>-11.100000000000023</v>
      </c>
      <c r="M238">
        <f t="shared" si="17"/>
        <v>-1.3377286455249708</v>
      </c>
      <c r="N238">
        <f t="shared" si="18"/>
        <v>-12.437728645524993</v>
      </c>
      <c r="O238">
        <f t="shared" si="19"/>
        <v>24.227022850319251</v>
      </c>
    </row>
    <row r="239" spans="1:15" x14ac:dyDescent="0.25">
      <c r="A239" s="1">
        <v>46003</v>
      </c>
      <c r="B239">
        <v>6827.41</v>
      </c>
      <c r="C239">
        <v>6825</v>
      </c>
      <c r="D239">
        <v>7</v>
      </c>
      <c r="E239">
        <v>35</v>
      </c>
      <c r="F239">
        <v>93.55</v>
      </c>
      <c r="G239">
        <v>218.25</v>
      </c>
      <c r="H239">
        <v>0.54556451166467335</v>
      </c>
      <c r="I239">
        <v>-0.45443548833532665</v>
      </c>
      <c r="J239">
        <v>-9.1129023329346692E-2</v>
      </c>
      <c r="K239">
        <f t="shared" si="15"/>
        <v>218.25</v>
      </c>
      <c r="L239">
        <f t="shared" si="16"/>
        <v>-9.9999999999994316E-2</v>
      </c>
      <c r="M239">
        <f t="shared" si="17"/>
        <v>6.7559186054329219</v>
      </c>
      <c r="N239">
        <f t="shared" si="18"/>
        <v>6.6559186054329276</v>
      </c>
      <c r="O239">
        <f t="shared" si="19"/>
        <v>30.882941455752178</v>
      </c>
    </row>
    <row r="240" spans="1:15" x14ac:dyDescent="0.25">
      <c r="A240" s="1">
        <v>46006</v>
      </c>
      <c r="B240">
        <v>6816.51</v>
      </c>
      <c r="C240">
        <v>6815</v>
      </c>
      <c r="D240">
        <v>4</v>
      </c>
      <c r="E240">
        <v>32</v>
      </c>
      <c r="F240">
        <v>80.400000000000006</v>
      </c>
      <c r="G240">
        <v>212.75</v>
      </c>
      <c r="H240">
        <v>0.54292610107697126</v>
      </c>
      <c r="I240">
        <v>-0.45707389892302874</v>
      </c>
      <c r="J240">
        <v>-8.5852202153942514E-2</v>
      </c>
      <c r="K240">
        <f t="shared" si="15"/>
        <v>212.75</v>
      </c>
      <c r="L240">
        <f t="shared" si="16"/>
        <v>-5.5</v>
      </c>
      <c r="M240">
        <f t="shared" si="17"/>
        <v>0.99330635428984582</v>
      </c>
      <c r="N240">
        <f t="shared" si="18"/>
        <v>-4.5066936457101541</v>
      </c>
      <c r="O240">
        <f t="shared" si="19"/>
        <v>26.376247810042024</v>
      </c>
    </row>
    <row r="241" spans="1:15" x14ac:dyDescent="0.25">
      <c r="A241" s="1">
        <v>46007</v>
      </c>
      <c r="B241">
        <v>6800.26</v>
      </c>
      <c r="C241">
        <v>6800</v>
      </c>
      <c r="D241">
        <v>3</v>
      </c>
      <c r="E241">
        <v>31</v>
      </c>
      <c r="F241">
        <v>66.3</v>
      </c>
      <c r="G241">
        <v>206.39999999999998</v>
      </c>
      <c r="H241">
        <v>0.54036040124285167</v>
      </c>
      <c r="I241">
        <v>-0.45963959875714833</v>
      </c>
      <c r="J241">
        <v>-8.0720802485703347E-2</v>
      </c>
      <c r="K241">
        <f t="shared" si="15"/>
        <v>206.39999999999998</v>
      </c>
      <c r="L241">
        <f t="shared" si="16"/>
        <v>-6.3500000000000227</v>
      </c>
      <c r="M241">
        <f t="shared" si="17"/>
        <v>1.3950982850015659</v>
      </c>
      <c r="N241">
        <f t="shared" si="18"/>
        <v>-4.9549017149984564</v>
      </c>
      <c r="O241">
        <f t="shared" si="19"/>
        <v>21.421346095043567</v>
      </c>
    </row>
    <row r="242" spans="1:15" x14ac:dyDescent="0.25">
      <c r="A242" s="1">
        <v>46008</v>
      </c>
      <c r="B242">
        <v>6721.43</v>
      </c>
      <c r="C242">
        <v>6720</v>
      </c>
      <c r="D242">
        <v>2</v>
      </c>
      <c r="E242">
        <v>30</v>
      </c>
      <c r="F242">
        <v>67.7</v>
      </c>
      <c r="G242">
        <v>225.4</v>
      </c>
      <c r="H242">
        <v>0.53830311208708692</v>
      </c>
      <c r="I242">
        <v>-0.46169688791291308</v>
      </c>
      <c r="J242">
        <v>-7.6606224174173843E-2</v>
      </c>
      <c r="K242">
        <f t="shared" si="15"/>
        <v>225.4</v>
      </c>
      <c r="L242">
        <f t="shared" si="16"/>
        <v>19.000000000000028</v>
      </c>
      <c r="M242">
        <f t="shared" si="17"/>
        <v>6.3632208599479894</v>
      </c>
      <c r="N242">
        <f t="shared" si="18"/>
        <v>25.363220859948019</v>
      </c>
      <c r="O242">
        <f t="shared" si="19"/>
        <v>46.78456695499159</v>
      </c>
    </row>
    <row r="243" spans="1:15" x14ac:dyDescent="0.25">
      <c r="A243" s="1">
        <v>46009</v>
      </c>
      <c r="B243">
        <v>6774.76</v>
      </c>
      <c r="C243">
        <v>6775</v>
      </c>
      <c r="D243">
        <v>1</v>
      </c>
      <c r="E243">
        <v>29</v>
      </c>
      <c r="F243">
        <v>31.1</v>
      </c>
      <c r="G243">
        <v>203.3</v>
      </c>
      <c r="H243">
        <v>0.53660076250393751</v>
      </c>
      <c r="I243">
        <v>-0.46339923749606249</v>
      </c>
      <c r="J243">
        <v>-7.3201525007875023E-2</v>
      </c>
      <c r="K243">
        <f t="shared" si="15"/>
        <v>203.3</v>
      </c>
      <c r="L243">
        <f t="shared" si="16"/>
        <v>-22.099999999999994</v>
      </c>
      <c r="M243">
        <f t="shared" si="17"/>
        <v>-4.085409935208685</v>
      </c>
      <c r="N243">
        <f t="shared" si="18"/>
        <v>-26.185409935208678</v>
      </c>
      <c r="O243">
        <f t="shared" si="19"/>
        <v>20.599157019782911</v>
      </c>
    </row>
    <row r="244" spans="1:15" x14ac:dyDescent="0.25">
      <c r="A244" s="1">
        <v>46010</v>
      </c>
      <c r="B244">
        <v>6834.5</v>
      </c>
      <c r="C244">
        <v>6835</v>
      </c>
      <c r="D244">
        <v>28</v>
      </c>
      <c r="E244">
        <v>63</v>
      </c>
      <c r="F244">
        <v>176.20000000000002</v>
      </c>
      <c r="G244">
        <v>296.64999999999998</v>
      </c>
      <c r="H244">
        <v>0.53835500631126953</v>
      </c>
      <c r="I244">
        <v>-0.46164499368873047</v>
      </c>
      <c r="J244">
        <v>-7.671001262253907E-2</v>
      </c>
      <c r="K244">
        <f t="shared" si="15"/>
        <v>176.20000000000002</v>
      </c>
      <c r="L244">
        <f t="shared" si="16"/>
        <v>-27.099999999999994</v>
      </c>
      <c r="M244">
        <f t="shared" si="17"/>
        <v>-4.3730591039704381</v>
      </c>
      <c r="N244">
        <f t="shared" si="18"/>
        <v>-31.473059103970431</v>
      </c>
      <c r="O244">
        <f t="shared" si="19"/>
        <v>-10.87390208418752</v>
      </c>
    </row>
    <row r="245" spans="1:15" x14ac:dyDescent="0.25">
      <c r="A245" s="1">
        <v>46013</v>
      </c>
      <c r="B245">
        <v>6878.49</v>
      </c>
      <c r="C245">
        <v>6880</v>
      </c>
      <c r="D245">
        <v>25</v>
      </c>
      <c r="E245">
        <v>60</v>
      </c>
      <c r="F245">
        <v>156.35000000000002</v>
      </c>
      <c r="G245">
        <v>279.5</v>
      </c>
      <c r="H245">
        <v>0.5372035906885122</v>
      </c>
      <c r="I245">
        <v>-0.4627964093114878</v>
      </c>
      <c r="J245">
        <v>-7.4407181377024401E-2</v>
      </c>
      <c r="K245">
        <f t="shared" si="15"/>
        <v>156.35000000000002</v>
      </c>
      <c r="L245">
        <f t="shared" si="16"/>
        <v>-19.849999999999994</v>
      </c>
      <c r="M245">
        <f t="shared" si="17"/>
        <v>-3.3744734552654769</v>
      </c>
      <c r="N245">
        <f t="shared" si="18"/>
        <v>-23.224473455265471</v>
      </c>
      <c r="O245">
        <f t="shared" si="19"/>
        <v>-34.098375539452988</v>
      </c>
    </row>
    <row r="246" spans="1:15" x14ac:dyDescent="0.25">
      <c r="A246" s="1">
        <v>46014</v>
      </c>
      <c r="B246">
        <v>6909.79</v>
      </c>
      <c r="C246">
        <v>6910</v>
      </c>
      <c r="D246">
        <v>24</v>
      </c>
      <c r="E246">
        <v>59</v>
      </c>
      <c r="F246">
        <v>149.85000000000002</v>
      </c>
      <c r="G246">
        <v>277.10000000000002</v>
      </c>
      <c r="H246">
        <v>0.53943069655419351</v>
      </c>
      <c r="I246">
        <v>-0.46056930344580649</v>
      </c>
      <c r="J246">
        <v>-7.8861393108387023E-2</v>
      </c>
      <c r="K246">
        <f t="shared" si="15"/>
        <v>149.85000000000002</v>
      </c>
      <c r="L246">
        <f t="shared" si="16"/>
        <v>-6.5</v>
      </c>
      <c r="M246">
        <f t="shared" si="17"/>
        <v>-2.3289447771008773</v>
      </c>
      <c r="N246">
        <f t="shared" si="18"/>
        <v>-8.8289447771008778</v>
      </c>
      <c r="O246">
        <f t="shared" si="19"/>
        <v>-42.927320316553867</v>
      </c>
    </row>
    <row r="247" spans="1:15" x14ac:dyDescent="0.25">
      <c r="A247" s="1">
        <v>46015</v>
      </c>
      <c r="B247">
        <v>6932.05</v>
      </c>
      <c r="C247">
        <v>6930</v>
      </c>
      <c r="D247">
        <v>23</v>
      </c>
      <c r="E247">
        <v>58</v>
      </c>
      <c r="F247">
        <v>142.64999999999998</v>
      </c>
      <c r="G247">
        <v>273.79999999999995</v>
      </c>
      <c r="H247">
        <v>0.54380378084418601</v>
      </c>
      <c r="I247">
        <v>-0.45619621915581399</v>
      </c>
      <c r="J247">
        <v>-8.7607561688372027E-2</v>
      </c>
      <c r="K247">
        <f t="shared" si="15"/>
        <v>142.64999999999998</v>
      </c>
      <c r="L247">
        <f t="shared" si="16"/>
        <v>-7.2000000000000455</v>
      </c>
      <c r="M247">
        <f t="shared" si="17"/>
        <v>-1.7554546105927125</v>
      </c>
      <c r="N247">
        <f t="shared" si="18"/>
        <v>-8.9554546105927582</v>
      </c>
      <c r="O247">
        <f t="shared" si="19"/>
        <v>-51.882774927146627</v>
      </c>
    </row>
    <row r="248" spans="1:15" x14ac:dyDescent="0.25">
      <c r="A248" s="1">
        <v>46017</v>
      </c>
      <c r="B248">
        <v>6929.94</v>
      </c>
      <c r="C248">
        <v>6930</v>
      </c>
      <c r="D248">
        <v>21</v>
      </c>
      <c r="E248">
        <v>56</v>
      </c>
      <c r="F248">
        <v>134.25</v>
      </c>
      <c r="G248">
        <v>269.2</v>
      </c>
      <c r="H248">
        <v>0.53797576588607621</v>
      </c>
      <c r="I248">
        <v>-0.46202423411392379</v>
      </c>
      <c r="J248">
        <v>-7.5951531772152414E-2</v>
      </c>
      <c r="K248">
        <f t="shared" si="15"/>
        <v>134.25</v>
      </c>
      <c r="L248">
        <f t="shared" si="16"/>
        <v>-8.3999999999999773</v>
      </c>
      <c r="M248">
        <f t="shared" si="17"/>
        <v>0.18485195516251596</v>
      </c>
      <c r="N248">
        <f t="shared" si="18"/>
        <v>-8.215148044837461</v>
      </c>
      <c r="O248">
        <f t="shared" si="19"/>
        <v>-60.09792297198409</v>
      </c>
    </row>
    <row r="249" spans="1:15" x14ac:dyDescent="0.25">
      <c r="A249" s="1">
        <v>46020</v>
      </c>
      <c r="B249">
        <v>6905.74</v>
      </c>
      <c r="C249">
        <v>6905</v>
      </c>
      <c r="D249">
        <v>18</v>
      </c>
      <c r="E249">
        <v>53</v>
      </c>
      <c r="F249">
        <v>130.70000000000002</v>
      </c>
      <c r="G249">
        <v>264.95</v>
      </c>
      <c r="H249">
        <v>0.53690624135961762</v>
      </c>
      <c r="I249">
        <v>-0.46309375864038238</v>
      </c>
      <c r="J249">
        <v>-7.381248271923524E-2</v>
      </c>
      <c r="K249">
        <f t="shared" si="15"/>
        <v>130.70000000000002</v>
      </c>
      <c r="L249">
        <f t="shared" si="16"/>
        <v>-3.5499999999999829</v>
      </c>
      <c r="M249">
        <f t="shared" si="17"/>
        <v>1.8380270688860747</v>
      </c>
      <c r="N249">
        <f t="shared" si="18"/>
        <v>-1.7119729311139082</v>
      </c>
      <c r="O249">
        <f t="shared" si="19"/>
        <v>-61.809895903097996</v>
      </c>
    </row>
    <row r="250" spans="1:15" x14ac:dyDescent="0.25">
      <c r="A250" s="1">
        <v>46021</v>
      </c>
      <c r="B250">
        <v>6896.24</v>
      </c>
      <c r="C250">
        <v>6895</v>
      </c>
      <c r="D250">
        <v>17</v>
      </c>
      <c r="E250">
        <v>52</v>
      </c>
      <c r="F250">
        <v>127.35</v>
      </c>
      <c r="G250">
        <v>262.3</v>
      </c>
      <c r="H250">
        <v>0.53623594341398784</v>
      </c>
      <c r="I250">
        <v>-0.46376405658601216</v>
      </c>
      <c r="J250">
        <v>-7.2471886827975673E-2</v>
      </c>
      <c r="K250">
        <f t="shared" si="15"/>
        <v>127.35</v>
      </c>
      <c r="L250">
        <f t="shared" si="16"/>
        <v>-3.3500000000000227</v>
      </c>
      <c r="M250">
        <f t="shared" si="17"/>
        <v>0.70121858583273478</v>
      </c>
      <c r="N250">
        <f t="shared" si="18"/>
        <v>-2.6487814141672881</v>
      </c>
      <c r="O250">
        <f t="shared" si="19"/>
        <v>-64.458677317265284</v>
      </c>
    </row>
    <row r="251" spans="1:15" x14ac:dyDescent="0.25">
      <c r="A251" s="1">
        <v>46022</v>
      </c>
      <c r="B251">
        <v>6845.5</v>
      </c>
      <c r="C251">
        <v>6845</v>
      </c>
      <c r="D251">
        <v>16</v>
      </c>
      <c r="E251">
        <v>51</v>
      </c>
      <c r="F251">
        <v>130.5</v>
      </c>
      <c r="G251">
        <v>263.10000000000002</v>
      </c>
      <c r="H251">
        <v>0.53201139816530718</v>
      </c>
      <c r="I251">
        <v>-0.46798860183469282</v>
      </c>
      <c r="J251">
        <v>-6.4022796330614362E-2</v>
      </c>
      <c r="K251">
        <f t="shared" si="15"/>
        <v>130.5</v>
      </c>
      <c r="L251">
        <f t="shared" si="16"/>
        <v>3.1500000000000057</v>
      </c>
      <c r="M251">
        <f t="shared" si="17"/>
        <v>3.6772235376514697</v>
      </c>
      <c r="N251">
        <f t="shared" si="18"/>
        <v>6.8272235376514754</v>
      </c>
      <c r="O251">
        <f t="shared" si="19"/>
        <v>-57.631453779613807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ExpiryTable</vt:lpstr>
      <vt:lpstr>Call</vt:lpstr>
      <vt:lpstr>Put</vt:lpstr>
      <vt:lpstr>IV</vt:lpstr>
      <vt:lpstr>Straddle</vt:lpstr>
      <vt:lpstr>Delta_interpolation</vt:lpstr>
      <vt:lpstr>Delta_Trading</vt:lpstr>
      <vt:lpstr>Pnl_interpolation</vt:lpstr>
      <vt:lpstr>Pnl_Trading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Chien</dc:creator>
  <cp:lastModifiedBy>Leo Chien</cp:lastModifiedBy>
  <dcterms:created xsi:type="dcterms:W3CDTF">2026-02-14T05:04:49Z</dcterms:created>
  <dcterms:modified xsi:type="dcterms:W3CDTF">2026-03-31T01:42:59Z</dcterms:modified>
</cp:coreProperties>
</file>